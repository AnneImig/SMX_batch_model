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ula.rodriguez\Dropbox\01 recerca\03 articles\08_2016 modelling SMX\01 models\01 denitrifying\02 licha\"/>
    </mc:Choice>
  </mc:AlternateContent>
  <bookViews>
    <workbookView xWindow="0" yWindow="0" windowWidth="16890" windowHeight="3795" tabRatio="609" activeTab="2"/>
  </bookViews>
  <sheets>
    <sheet name="EXP" sheetId="13" r:id="rId1"/>
    <sheet name="MOD_SMXN_Nodler" sheetId="7" r:id="rId2"/>
    <sheet name="MODEL" sheetId="10" r:id="rId3"/>
    <sheet name="PEST" sheetId="1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0" l="1"/>
  <c r="I3" i="10"/>
  <c r="J3" i="10"/>
  <c r="K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S9" i="13" l="1"/>
  <c r="F66" i="12" l="1"/>
  <c r="E66" i="12"/>
  <c r="F65" i="12"/>
  <c r="E65" i="12"/>
  <c r="F64" i="12"/>
  <c r="E64" i="12"/>
  <c r="F63" i="12"/>
  <c r="E63" i="12"/>
  <c r="F62" i="12"/>
  <c r="E62" i="12"/>
  <c r="F61" i="12"/>
  <c r="E61" i="12"/>
  <c r="F60" i="12"/>
  <c r="E60" i="12"/>
  <c r="F58" i="12"/>
  <c r="E58" i="12"/>
  <c r="F57" i="12"/>
  <c r="E57" i="12"/>
  <c r="F56" i="12"/>
  <c r="E56" i="12"/>
  <c r="F55" i="12"/>
  <c r="E55" i="12"/>
  <c r="F54" i="12"/>
  <c r="E54" i="12"/>
  <c r="F53" i="12"/>
  <c r="E53" i="12"/>
  <c r="F52" i="12"/>
  <c r="E52" i="12"/>
  <c r="G46" i="12"/>
  <c r="D46" i="12"/>
  <c r="C46" i="12"/>
  <c r="G45" i="12"/>
  <c r="D45" i="12"/>
  <c r="C45" i="12"/>
  <c r="G44" i="12"/>
  <c r="D44" i="12"/>
  <c r="C44" i="12"/>
  <c r="G43" i="12"/>
  <c r="D43" i="12"/>
  <c r="C43" i="12"/>
  <c r="G42" i="12"/>
  <c r="D42" i="12"/>
  <c r="C42" i="12"/>
  <c r="G41" i="12"/>
  <c r="D41" i="12"/>
  <c r="C41" i="12"/>
  <c r="G40" i="12"/>
  <c r="C40" i="12"/>
  <c r="D34" i="12"/>
  <c r="F34" i="12" s="1"/>
  <c r="D33" i="12"/>
  <c r="E33" i="12" s="1"/>
  <c r="D32" i="12"/>
  <c r="E32" i="12" s="1"/>
  <c r="D31" i="12"/>
  <c r="E31" i="12" s="1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H18" i="12"/>
  <c r="G18" i="12"/>
  <c r="D18" i="12"/>
  <c r="C18" i="12"/>
  <c r="H17" i="12"/>
  <c r="G17" i="12"/>
  <c r="D17" i="12"/>
  <c r="C17" i="12"/>
  <c r="H16" i="12"/>
  <c r="G16" i="12"/>
  <c r="D16" i="12"/>
  <c r="C16" i="12"/>
  <c r="H15" i="12"/>
  <c r="G15" i="12"/>
  <c r="D15" i="12"/>
  <c r="C15" i="12"/>
  <c r="H14" i="12"/>
  <c r="G14" i="12"/>
  <c r="D14" i="12"/>
  <c r="C14" i="12"/>
  <c r="H13" i="12"/>
  <c r="G13" i="12"/>
  <c r="D13" i="12"/>
  <c r="C13" i="12"/>
  <c r="H12" i="12"/>
  <c r="G12" i="12"/>
  <c r="D12" i="12"/>
  <c r="C12" i="12"/>
  <c r="H11" i="12"/>
  <c r="G11" i="12"/>
  <c r="D11" i="12"/>
  <c r="C11" i="12"/>
  <c r="A11" i="12"/>
  <c r="H10" i="12"/>
  <c r="G10" i="12"/>
  <c r="D10" i="12"/>
  <c r="C10" i="12"/>
  <c r="A10" i="12"/>
  <c r="H9" i="12"/>
  <c r="G9" i="12"/>
  <c r="D9" i="12"/>
  <c r="C9" i="12"/>
  <c r="A9" i="12"/>
  <c r="H8" i="12"/>
  <c r="G8" i="12"/>
  <c r="D8" i="12"/>
  <c r="C8" i="12"/>
  <c r="A8" i="12"/>
  <c r="H7" i="12"/>
  <c r="G7" i="12"/>
  <c r="D7" i="12"/>
  <c r="C7" i="12"/>
  <c r="A7" i="12"/>
  <c r="H6" i="12"/>
  <c r="G6" i="12"/>
  <c r="D6" i="12"/>
  <c r="C6" i="12"/>
  <c r="A6" i="12"/>
  <c r="H5" i="12"/>
  <c r="G5" i="12"/>
  <c r="D5" i="12"/>
  <c r="C5" i="12"/>
  <c r="A5" i="12"/>
  <c r="L3" i="10"/>
  <c r="Q2" i="10"/>
  <c r="M3" i="10"/>
  <c r="F505" i="7"/>
  <c r="E505" i="7"/>
  <c r="D505" i="7"/>
  <c r="C505" i="7"/>
  <c r="B505" i="7"/>
  <c r="F504" i="7"/>
  <c r="E504" i="7"/>
  <c r="D504" i="7"/>
  <c r="C504" i="7"/>
  <c r="B504" i="7"/>
  <c r="F503" i="7"/>
  <c r="E503" i="7"/>
  <c r="D503" i="7"/>
  <c r="C503" i="7"/>
  <c r="B503" i="7"/>
  <c r="F502" i="7"/>
  <c r="E502" i="7"/>
  <c r="D502" i="7"/>
  <c r="C502" i="7"/>
  <c r="B502" i="7"/>
  <c r="F501" i="7"/>
  <c r="E501" i="7"/>
  <c r="D501" i="7"/>
  <c r="C501" i="7"/>
  <c r="B501" i="7"/>
  <c r="F500" i="7"/>
  <c r="E500" i="7"/>
  <c r="D500" i="7"/>
  <c r="C500" i="7"/>
  <c r="B500" i="7"/>
  <c r="F499" i="7"/>
  <c r="E499" i="7"/>
  <c r="D499" i="7"/>
  <c r="C499" i="7"/>
  <c r="B499" i="7"/>
  <c r="F498" i="7"/>
  <c r="E498" i="7"/>
  <c r="D498" i="7"/>
  <c r="C498" i="7"/>
  <c r="B498" i="7"/>
  <c r="F497" i="7"/>
  <c r="E497" i="7"/>
  <c r="D497" i="7"/>
  <c r="C497" i="7"/>
  <c r="B497" i="7"/>
  <c r="F496" i="7"/>
  <c r="E496" i="7"/>
  <c r="D496" i="7"/>
  <c r="C496" i="7"/>
  <c r="B496" i="7"/>
  <c r="F495" i="7"/>
  <c r="E495" i="7"/>
  <c r="D495" i="7"/>
  <c r="C495" i="7"/>
  <c r="B495" i="7"/>
  <c r="F494" i="7"/>
  <c r="E494" i="7"/>
  <c r="D494" i="7"/>
  <c r="C494" i="7"/>
  <c r="B494" i="7"/>
  <c r="F493" i="7"/>
  <c r="E493" i="7"/>
  <c r="D493" i="7"/>
  <c r="C493" i="7"/>
  <c r="B493" i="7"/>
  <c r="F492" i="7"/>
  <c r="E492" i="7"/>
  <c r="D492" i="7"/>
  <c r="C492" i="7"/>
  <c r="B492" i="7"/>
  <c r="F491" i="7"/>
  <c r="E491" i="7"/>
  <c r="D491" i="7"/>
  <c r="C491" i="7"/>
  <c r="B491" i="7"/>
  <c r="F490" i="7"/>
  <c r="E490" i="7"/>
  <c r="D490" i="7"/>
  <c r="C490" i="7"/>
  <c r="B490" i="7"/>
  <c r="F489" i="7"/>
  <c r="E489" i="7"/>
  <c r="D489" i="7"/>
  <c r="C489" i="7"/>
  <c r="B489" i="7"/>
  <c r="F488" i="7"/>
  <c r="E488" i="7"/>
  <c r="D488" i="7"/>
  <c r="C488" i="7"/>
  <c r="B488" i="7"/>
  <c r="F487" i="7"/>
  <c r="E487" i="7"/>
  <c r="D487" i="7"/>
  <c r="C487" i="7"/>
  <c r="B487" i="7"/>
  <c r="F486" i="7"/>
  <c r="E486" i="7"/>
  <c r="D486" i="7"/>
  <c r="C486" i="7"/>
  <c r="B486" i="7"/>
  <c r="F485" i="7"/>
  <c r="E485" i="7"/>
  <c r="D485" i="7"/>
  <c r="C485" i="7"/>
  <c r="B485" i="7"/>
  <c r="F484" i="7"/>
  <c r="E484" i="7"/>
  <c r="D484" i="7"/>
  <c r="C484" i="7"/>
  <c r="B484" i="7"/>
  <c r="F483" i="7"/>
  <c r="E483" i="7"/>
  <c r="D483" i="7"/>
  <c r="C483" i="7"/>
  <c r="B483" i="7"/>
  <c r="F482" i="7"/>
  <c r="E482" i="7"/>
  <c r="D482" i="7"/>
  <c r="C482" i="7"/>
  <c r="B482" i="7"/>
  <c r="F481" i="7"/>
  <c r="E481" i="7"/>
  <c r="D481" i="7"/>
  <c r="C481" i="7"/>
  <c r="B481" i="7"/>
  <c r="F480" i="7"/>
  <c r="E480" i="7"/>
  <c r="D480" i="7"/>
  <c r="C480" i="7"/>
  <c r="B480" i="7"/>
  <c r="F479" i="7"/>
  <c r="E479" i="7"/>
  <c r="D479" i="7"/>
  <c r="C479" i="7"/>
  <c r="B479" i="7"/>
  <c r="F478" i="7"/>
  <c r="E478" i="7"/>
  <c r="D478" i="7"/>
  <c r="C478" i="7"/>
  <c r="B478" i="7"/>
  <c r="F477" i="7"/>
  <c r="E477" i="7"/>
  <c r="D477" i="7"/>
  <c r="C477" i="7"/>
  <c r="B477" i="7"/>
  <c r="F476" i="7"/>
  <c r="E476" i="7"/>
  <c r="D476" i="7"/>
  <c r="C476" i="7"/>
  <c r="B476" i="7"/>
  <c r="F475" i="7"/>
  <c r="E475" i="7"/>
  <c r="D475" i="7"/>
  <c r="C475" i="7"/>
  <c r="B475" i="7"/>
  <c r="F474" i="7"/>
  <c r="E474" i="7"/>
  <c r="D474" i="7"/>
  <c r="C474" i="7"/>
  <c r="B474" i="7"/>
  <c r="F473" i="7"/>
  <c r="E473" i="7"/>
  <c r="D473" i="7"/>
  <c r="C473" i="7"/>
  <c r="B473" i="7"/>
  <c r="F472" i="7"/>
  <c r="E472" i="7"/>
  <c r="D472" i="7"/>
  <c r="C472" i="7"/>
  <c r="B472" i="7"/>
  <c r="F471" i="7"/>
  <c r="E471" i="7"/>
  <c r="D471" i="7"/>
  <c r="C471" i="7"/>
  <c r="B471" i="7"/>
  <c r="F470" i="7"/>
  <c r="E470" i="7"/>
  <c r="D470" i="7"/>
  <c r="C470" i="7"/>
  <c r="B470" i="7"/>
  <c r="F469" i="7"/>
  <c r="E469" i="7"/>
  <c r="D469" i="7"/>
  <c r="C469" i="7"/>
  <c r="B469" i="7"/>
  <c r="F468" i="7"/>
  <c r="E468" i="7"/>
  <c r="D468" i="7"/>
  <c r="C468" i="7"/>
  <c r="B468" i="7"/>
  <c r="F467" i="7"/>
  <c r="E467" i="7"/>
  <c r="D467" i="7"/>
  <c r="C467" i="7"/>
  <c r="B467" i="7"/>
  <c r="F466" i="7"/>
  <c r="E466" i="7"/>
  <c r="D466" i="7"/>
  <c r="C466" i="7"/>
  <c r="B466" i="7"/>
  <c r="F465" i="7"/>
  <c r="E465" i="7"/>
  <c r="D465" i="7"/>
  <c r="C465" i="7"/>
  <c r="B465" i="7"/>
  <c r="F464" i="7"/>
  <c r="E464" i="7"/>
  <c r="D464" i="7"/>
  <c r="C464" i="7"/>
  <c r="B464" i="7"/>
  <c r="F463" i="7"/>
  <c r="E463" i="7"/>
  <c r="D463" i="7"/>
  <c r="C463" i="7"/>
  <c r="B463" i="7"/>
  <c r="F462" i="7"/>
  <c r="E462" i="7"/>
  <c r="D462" i="7"/>
  <c r="C462" i="7"/>
  <c r="B462" i="7"/>
  <c r="F461" i="7"/>
  <c r="E461" i="7"/>
  <c r="D461" i="7"/>
  <c r="C461" i="7"/>
  <c r="B461" i="7"/>
  <c r="F460" i="7"/>
  <c r="E460" i="7"/>
  <c r="D460" i="7"/>
  <c r="C460" i="7"/>
  <c r="B460" i="7"/>
  <c r="F459" i="7"/>
  <c r="E459" i="7"/>
  <c r="D459" i="7"/>
  <c r="C459" i="7"/>
  <c r="B459" i="7"/>
  <c r="F458" i="7"/>
  <c r="E458" i="7"/>
  <c r="D458" i="7"/>
  <c r="C458" i="7"/>
  <c r="B458" i="7"/>
  <c r="F457" i="7"/>
  <c r="E457" i="7"/>
  <c r="D457" i="7"/>
  <c r="C457" i="7"/>
  <c r="B457" i="7"/>
  <c r="F456" i="7"/>
  <c r="E456" i="7"/>
  <c r="D456" i="7"/>
  <c r="C456" i="7"/>
  <c r="B456" i="7"/>
  <c r="F455" i="7"/>
  <c r="E455" i="7"/>
  <c r="D455" i="7"/>
  <c r="C455" i="7"/>
  <c r="B455" i="7"/>
  <c r="F454" i="7"/>
  <c r="E454" i="7"/>
  <c r="D454" i="7"/>
  <c r="C454" i="7"/>
  <c r="B454" i="7"/>
  <c r="F453" i="7"/>
  <c r="E453" i="7"/>
  <c r="D453" i="7"/>
  <c r="C453" i="7"/>
  <c r="B453" i="7"/>
  <c r="F452" i="7"/>
  <c r="E452" i="7"/>
  <c r="D452" i="7"/>
  <c r="C452" i="7"/>
  <c r="B452" i="7"/>
  <c r="F451" i="7"/>
  <c r="E451" i="7"/>
  <c r="D451" i="7"/>
  <c r="C451" i="7"/>
  <c r="B451" i="7"/>
  <c r="F450" i="7"/>
  <c r="E450" i="7"/>
  <c r="D450" i="7"/>
  <c r="C450" i="7"/>
  <c r="B450" i="7"/>
  <c r="F449" i="7"/>
  <c r="E449" i="7"/>
  <c r="D449" i="7"/>
  <c r="C449" i="7"/>
  <c r="B449" i="7"/>
  <c r="F448" i="7"/>
  <c r="E448" i="7"/>
  <c r="D448" i="7"/>
  <c r="C448" i="7"/>
  <c r="B448" i="7"/>
  <c r="F447" i="7"/>
  <c r="E447" i="7"/>
  <c r="D447" i="7"/>
  <c r="C447" i="7"/>
  <c r="B447" i="7"/>
  <c r="F446" i="7"/>
  <c r="E446" i="7"/>
  <c r="D446" i="7"/>
  <c r="C446" i="7"/>
  <c r="B446" i="7"/>
  <c r="F445" i="7"/>
  <c r="E445" i="7"/>
  <c r="D445" i="7"/>
  <c r="C445" i="7"/>
  <c r="B445" i="7"/>
  <c r="F444" i="7"/>
  <c r="E444" i="7"/>
  <c r="D444" i="7"/>
  <c r="C444" i="7"/>
  <c r="B444" i="7"/>
  <c r="F443" i="7"/>
  <c r="E443" i="7"/>
  <c r="D443" i="7"/>
  <c r="C443" i="7"/>
  <c r="B443" i="7"/>
  <c r="F442" i="7"/>
  <c r="E442" i="7"/>
  <c r="D442" i="7"/>
  <c r="C442" i="7"/>
  <c r="B442" i="7"/>
  <c r="F441" i="7"/>
  <c r="E441" i="7"/>
  <c r="D441" i="7"/>
  <c r="C441" i="7"/>
  <c r="B441" i="7"/>
  <c r="F440" i="7"/>
  <c r="E440" i="7"/>
  <c r="D440" i="7"/>
  <c r="C440" i="7"/>
  <c r="B440" i="7"/>
  <c r="F439" i="7"/>
  <c r="E439" i="7"/>
  <c r="D439" i="7"/>
  <c r="C439" i="7"/>
  <c r="B439" i="7"/>
  <c r="F438" i="7"/>
  <c r="E438" i="7"/>
  <c r="D438" i="7"/>
  <c r="C438" i="7"/>
  <c r="B438" i="7"/>
  <c r="F437" i="7"/>
  <c r="E437" i="7"/>
  <c r="D437" i="7"/>
  <c r="C437" i="7"/>
  <c r="B437" i="7"/>
  <c r="F436" i="7"/>
  <c r="E436" i="7"/>
  <c r="D436" i="7"/>
  <c r="C436" i="7"/>
  <c r="B436" i="7"/>
  <c r="F435" i="7"/>
  <c r="E435" i="7"/>
  <c r="D435" i="7"/>
  <c r="C435" i="7"/>
  <c r="B435" i="7"/>
  <c r="F434" i="7"/>
  <c r="E434" i="7"/>
  <c r="D434" i="7"/>
  <c r="C434" i="7"/>
  <c r="B434" i="7"/>
  <c r="F433" i="7"/>
  <c r="E433" i="7"/>
  <c r="D433" i="7"/>
  <c r="C433" i="7"/>
  <c r="B433" i="7"/>
  <c r="F432" i="7"/>
  <c r="E432" i="7"/>
  <c r="D432" i="7"/>
  <c r="C432" i="7"/>
  <c r="B432" i="7"/>
  <c r="F431" i="7"/>
  <c r="E431" i="7"/>
  <c r="D431" i="7"/>
  <c r="C431" i="7"/>
  <c r="B431" i="7"/>
  <c r="F430" i="7"/>
  <c r="E430" i="7"/>
  <c r="D430" i="7"/>
  <c r="C430" i="7"/>
  <c r="B430" i="7"/>
  <c r="F429" i="7"/>
  <c r="E429" i="7"/>
  <c r="D429" i="7"/>
  <c r="C429" i="7"/>
  <c r="B429" i="7"/>
  <c r="F428" i="7"/>
  <c r="E428" i="7"/>
  <c r="D428" i="7"/>
  <c r="C428" i="7"/>
  <c r="B428" i="7"/>
  <c r="F427" i="7"/>
  <c r="E427" i="7"/>
  <c r="D427" i="7"/>
  <c r="C427" i="7"/>
  <c r="B427" i="7"/>
  <c r="F426" i="7"/>
  <c r="E426" i="7"/>
  <c r="D426" i="7"/>
  <c r="C426" i="7"/>
  <c r="B426" i="7"/>
  <c r="F425" i="7"/>
  <c r="E425" i="7"/>
  <c r="D425" i="7"/>
  <c r="C425" i="7"/>
  <c r="B425" i="7"/>
  <c r="F424" i="7"/>
  <c r="E424" i="7"/>
  <c r="D424" i="7"/>
  <c r="C424" i="7"/>
  <c r="B424" i="7"/>
  <c r="F423" i="7"/>
  <c r="E423" i="7"/>
  <c r="D423" i="7"/>
  <c r="C423" i="7"/>
  <c r="B423" i="7"/>
  <c r="F422" i="7"/>
  <c r="E422" i="7"/>
  <c r="D422" i="7"/>
  <c r="C422" i="7"/>
  <c r="B422" i="7"/>
  <c r="F421" i="7"/>
  <c r="E421" i="7"/>
  <c r="D421" i="7"/>
  <c r="C421" i="7"/>
  <c r="B421" i="7"/>
  <c r="F420" i="7"/>
  <c r="E420" i="7"/>
  <c r="D420" i="7"/>
  <c r="C420" i="7"/>
  <c r="B420" i="7"/>
  <c r="F419" i="7"/>
  <c r="E419" i="7"/>
  <c r="D419" i="7"/>
  <c r="C419" i="7"/>
  <c r="B419" i="7"/>
  <c r="F418" i="7"/>
  <c r="E418" i="7"/>
  <c r="D418" i="7"/>
  <c r="C418" i="7"/>
  <c r="B418" i="7"/>
  <c r="F417" i="7"/>
  <c r="E417" i="7"/>
  <c r="D417" i="7"/>
  <c r="C417" i="7"/>
  <c r="B417" i="7"/>
  <c r="F416" i="7"/>
  <c r="E416" i="7"/>
  <c r="D416" i="7"/>
  <c r="C416" i="7"/>
  <c r="B416" i="7"/>
  <c r="F415" i="7"/>
  <c r="E415" i="7"/>
  <c r="D415" i="7"/>
  <c r="C415" i="7"/>
  <c r="B415" i="7"/>
  <c r="F414" i="7"/>
  <c r="E414" i="7"/>
  <c r="D414" i="7"/>
  <c r="C414" i="7"/>
  <c r="B414" i="7"/>
  <c r="F413" i="7"/>
  <c r="E413" i="7"/>
  <c r="D413" i="7"/>
  <c r="C413" i="7"/>
  <c r="B413" i="7"/>
  <c r="F412" i="7"/>
  <c r="E412" i="7"/>
  <c r="D412" i="7"/>
  <c r="C412" i="7"/>
  <c r="B412" i="7"/>
  <c r="F411" i="7"/>
  <c r="E411" i="7"/>
  <c r="D411" i="7"/>
  <c r="C411" i="7"/>
  <c r="B411" i="7"/>
  <c r="F410" i="7"/>
  <c r="E410" i="7"/>
  <c r="D410" i="7"/>
  <c r="C410" i="7"/>
  <c r="B410" i="7"/>
  <c r="F409" i="7"/>
  <c r="E409" i="7"/>
  <c r="D409" i="7"/>
  <c r="C409" i="7"/>
  <c r="B409" i="7"/>
  <c r="F408" i="7"/>
  <c r="E408" i="7"/>
  <c r="D408" i="7"/>
  <c r="C408" i="7"/>
  <c r="B408" i="7"/>
  <c r="F407" i="7"/>
  <c r="E407" i="7"/>
  <c r="D407" i="7"/>
  <c r="C407" i="7"/>
  <c r="B407" i="7"/>
  <c r="F406" i="7"/>
  <c r="E406" i="7"/>
  <c r="D406" i="7"/>
  <c r="C406" i="7"/>
  <c r="B406" i="7"/>
  <c r="F405" i="7"/>
  <c r="E405" i="7"/>
  <c r="D405" i="7"/>
  <c r="C405" i="7"/>
  <c r="B405" i="7"/>
  <c r="F404" i="7"/>
  <c r="E404" i="7"/>
  <c r="D404" i="7"/>
  <c r="C404" i="7"/>
  <c r="B404" i="7"/>
  <c r="F403" i="7"/>
  <c r="E403" i="7"/>
  <c r="D403" i="7"/>
  <c r="C403" i="7"/>
  <c r="B403" i="7"/>
  <c r="F402" i="7"/>
  <c r="E402" i="7"/>
  <c r="D402" i="7"/>
  <c r="C402" i="7"/>
  <c r="B402" i="7"/>
  <c r="F401" i="7"/>
  <c r="E401" i="7"/>
  <c r="D401" i="7"/>
  <c r="C401" i="7"/>
  <c r="B401" i="7"/>
  <c r="F400" i="7"/>
  <c r="E400" i="7"/>
  <c r="D400" i="7"/>
  <c r="C400" i="7"/>
  <c r="B400" i="7"/>
  <c r="F399" i="7"/>
  <c r="E399" i="7"/>
  <c r="D399" i="7"/>
  <c r="C399" i="7"/>
  <c r="B399" i="7"/>
  <c r="F398" i="7"/>
  <c r="E398" i="7"/>
  <c r="D398" i="7"/>
  <c r="C398" i="7"/>
  <c r="B398" i="7"/>
  <c r="F397" i="7"/>
  <c r="E397" i="7"/>
  <c r="D397" i="7"/>
  <c r="C397" i="7"/>
  <c r="B397" i="7"/>
  <c r="F396" i="7"/>
  <c r="E396" i="7"/>
  <c r="D396" i="7"/>
  <c r="C396" i="7"/>
  <c r="B396" i="7"/>
  <c r="F395" i="7"/>
  <c r="E395" i="7"/>
  <c r="D395" i="7"/>
  <c r="C395" i="7"/>
  <c r="B395" i="7"/>
  <c r="F394" i="7"/>
  <c r="E394" i="7"/>
  <c r="D394" i="7"/>
  <c r="C394" i="7"/>
  <c r="B394" i="7"/>
  <c r="F393" i="7"/>
  <c r="E393" i="7"/>
  <c r="D393" i="7"/>
  <c r="C393" i="7"/>
  <c r="B393" i="7"/>
  <c r="F392" i="7"/>
  <c r="E392" i="7"/>
  <c r="D392" i="7"/>
  <c r="C392" i="7"/>
  <c r="B392" i="7"/>
  <c r="F391" i="7"/>
  <c r="E391" i="7"/>
  <c r="D391" i="7"/>
  <c r="C391" i="7"/>
  <c r="B391" i="7"/>
  <c r="F390" i="7"/>
  <c r="E390" i="7"/>
  <c r="D390" i="7"/>
  <c r="C390" i="7"/>
  <c r="B390" i="7"/>
  <c r="F389" i="7"/>
  <c r="E389" i="7"/>
  <c r="D389" i="7"/>
  <c r="C389" i="7"/>
  <c r="B389" i="7"/>
  <c r="F388" i="7"/>
  <c r="E388" i="7"/>
  <c r="D388" i="7"/>
  <c r="C388" i="7"/>
  <c r="B388" i="7"/>
  <c r="F387" i="7"/>
  <c r="E387" i="7"/>
  <c r="D387" i="7"/>
  <c r="C387" i="7"/>
  <c r="B387" i="7"/>
  <c r="F386" i="7"/>
  <c r="E386" i="7"/>
  <c r="D386" i="7"/>
  <c r="C386" i="7"/>
  <c r="B386" i="7"/>
  <c r="F385" i="7"/>
  <c r="E385" i="7"/>
  <c r="D385" i="7"/>
  <c r="C385" i="7"/>
  <c r="B385" i="7"/>
  <c r="F384" i="7"/>
  <c r="E384" i="7"/>
  <c r="D384" i="7"/>
  <c r="C384" i="7"/>
  <c r="B384" i="7"/>
  <c r="F383" i="7"/>
  <c r="E383" i="7"/>
  <c r="D383" i="7"/>
  <c r="C383" i="7"/>
  <c r="B383" i="7"/>
  <c r="F382" i="7"/>
  <c r="E382" i="7"/>
  <c r="D382" i="7"/>
  <c r="C382" i="7"/>
  <c r="B382" i="7"/>
  <c r="F381" i="7"/>
  <c r="E381" i="7"/>
  <c r="D381" i="7"/>
  <c r="C381" i="7"/>
  <c r="B381" i="7"/>
  <c r="F380" i="7"/>
  <c r="E380" i="7"/>
  <c r="D380" i="7"/>
  <c r="C380" i="7"/>
  <c r="B380" i="7"/>
  <c r="F379" i="7"/>
  <c r="E379" i="7"/>
  <c r="D379" i="7"/>
  <c r="C379" i="7"/>
  <c r="B379" i="7"/>
  <c r="F378" i="7"/>
  <c r="E378" i="7"/>
  <c r="D378" i="7"/>
  <c r="C378" i="7"/>
  <c r="B378" i="7"/>
  <c r="F377" i="7"/>
  <c r="E377" i="7"/>
  <c r="D377" i="7"/>
  <c r="C377" i="7"/>
  <c r="B377" i="7"/>
  <c r="F376" i="7"/>
  <c r="E376" i="7"/>
  <c r="D376" i="7"/>
  <c r="C376" i="7"/>
  <c r="B376" i="7"/>
  <c r="F375" i="7"/>
  <c r="E375" i="7"/>
  <c r="D375" i="7"/>
  <c r="C375" i="7"/>
  <c r="B375" i="7"/>
  <c r="F374" i="7"/>
  <c r="E374" i="7"/>
  <c r="D374" i="7"/>
  <c r="C374" i="7"/>
  <c r="B374" i="7"/>
  <c r="F373" i="7"/>
  <c r="E373" i="7"/>
  <c r="D373" i="7"/>
  <c r="C373" i="7"/>
  <c r="B373" i="7"/>
  <c r="F372" i="7"/>
  <c r="E372" i="7"/>
  <c r="D372" i="7"/>
  <c r="C372" i="7"/>
  <c r="B372" i="7"/>
  <c r="F371" i="7"/>
  <c r="E371" i="7"/>
  <c r="D371" i="7"/>
  <c r="C371" i="7"/>
  <c r="B371" i="7"/>
  <c r="F370" i="7"/>
  <c r="E370" i="7"/>
  <c r="D370" i="7"/>
  <c r="C370" i="7"/>
  <c r="B370" i="7"/>
  <c r="F369" i="7"/>
  <c r="E369" i="7"/>
  <c r="D369" i="7"/>
  <c r="C369" i="7"/>
  <c r="B369" i="7"/>
  <c r="F368" i="7"/>
  <c r="E368" i="7"/>
  <c r="D368" i="7"/>
  <c r="C368" i="7"/>
  <c r="B368" i="7"/>
  <c r="F367" i="7"/>
  <c r="E367" i="7"/>
  <c r="D367" i="7"/>
  <c r="C367" i="7"/>
  <c r="B367" i="7"/>
  <c r="F366" i="7"/>
  <c r="E366" i="7"/>
  <c r="D366" i="7"/>
  <c r="C366" i="7"/>
  <c r="B366" i="7"/>
  <c r="F365" i="7"/>
  <c r="E365" i="7"/>
  <c r="D365" i="7"/>
  <c r="C365" i="7"/>
  <c r="B365" i="7"/>
  <c r="F364" i="7"/>
  <c r="E364" i="7"/>
  <c r="D364" i="7"/>
  <c r="C364" i="7"/>
  <c r="B364" i="7"/>
  <c r="F363" i="7"/>
  <c r="E363" i="7"/>
  <c r="D363" i="7"/>
  <c r="C363" i="7"/>
  <c r="B363" i="7"/>
  <c r="F362" i="7"/>
  <c r="E362" i="7"/>
  <c r="D362" i="7"/>
  <c r="C362" i="7"/>
  <c r="B362" i="7"/>
  <c r="F361" i="7"/>
  <c r="E361" i="7"/>
  <c r="D361" i="7"/>
  <c r="C361" i="7"/>
  <c r="B361" i="7"/>
  <c r="F360" i="7"/>
  <c r="E360" i="7"/>
  <c r="D360" i="7"/>
  <c r="C360" i="7"/>
  <c r="B360" i="7"/>
  <c r="F359" i="7"/>
  <c r="E359" i="7"/>
  <c r="D359" i="7"/>
  <c r="C359" i="7"/>
  <c r="B359" i="7"/>
  <c r="F358" i="7"/>
  <c r="E358" i="7"/>
  <c r="D358" i="7"/>
  <c r="C358" i="7"/>
  <c r="B358" i="7"/>
  <c r="F357" i="7"/>
  <c r="E357" i="7"/>
  <c r="D357" i="7"/>
  <c r="C357" i="7"/>
  <c r="B357" i="7"/>
  <c r="F356" i="7"/>
  <c r="E356" i="7"/>
  <c r="D356" i="7"/>
  <c r="C356" i="7"/>
  <c r="B356" i="7"/>
  <c r="F355" i="7"/>
  <c r="E355" i="7"/>
  <c r="D355" i="7"/>
  <c r="C355" i="7"/>
  <c r="B355" i="7"/>
  <c r="F354" i="7"/>
  <c r="E354" i="7"/>
  <c r="D354" i="7"/>
  <c r="C354" i="7"/>
  <c r="B354" i="7"/>
  <c r="F353" i="7"/>
  <c r="E353" i="7"/>
  <c r="D353" i="7"/>
  <c r="C353" i="7"/>
  <c r="B353" i="7"/>
  <c r="F352" i="7"/>
  <c r="E352" i="7"/>
  <c r="D352" i="7"/>
  <c r="C352" i="7"/>
  <c r="B352" i="7"/>
  <c r="F351" i="7"/>
  <c r="E351" i="7"/>
  <c r="D351" i="7"/>
  <c r="C351" i="7"/>
  <c r="B351" i="7"/>
  <c r="F350" i="7"/>
  <c r="E350" i="7"/>
  <c r="D350" i="7"/>
  <c r="C350" i="7"/>
  <c r="B350" i="7"/>
  <c r="F349" i="7"/>
  <c r="E349" i="7"/>
  <c r="D349" i="7"/>
  <c r="C349" i="7"/>
  <c r="B349" i="7"/>
  <c r="F348" i="7"/>
  <c r="E348" i="7"/>
  <c r="D348" i="7"/>
  <c r="C348" i="7"/>
  <c r="B348" i="7"/>
  <c r="F347" i="7"/>
  <c r="E347" i="7"/>
  <c r="D347" i="7"/>
  <c r="C347" i="7"/>
  <c r="B347" i="7"/>
  <c r="F346" i="7"/>
  <c r="E346" i="7"/>
  <c r="D346" i="7"/>
  <c r="C346" i="7"/>
  <c r="B346" i="7"/>
  <c r="F345" i="7"/>
  <c r="E345" i="7"/>
  <c r="D345" i="7"/>
  <c r="C345" i="7"/>
  <c r="B345" i="7"/>
  <c r="F344" i="7"/>
  <c r="E344" i="7"/>
  <c r="D344" i="7"/>
  <c r="C344" i="7"/>
  <c r="B344" i="7"/>
  <c r="F343" i="7"/>
  <c r="E343" i="7"/>
  <c r="D343" i="7"/>
  <c r="C343" i="7"/>
  <c r="B343" i="7"/>
  <c r="F342" i="7"/>
  <c r="E342" i="7"/>
  <c r="D342" i="7"/>
  <c r="C342" i="7"/>
  <c r="B342" i="7"/>
  <c r="F341" i="7"/>
  <c r="E341" i="7"/>
  <c r="D341" i="7"/>
  <c r="C341" i="7"/>
  <c r="B341" i="7"/>
  <c r="F340" i="7"/>
  <c r="E340" i="7"/>
  <c r="D340" i="7"/>
  <c r="C340" i="7"/>
  <c r="B340" i="7"/>
  <c r="F339" i="7"/>
  <c r="E339" i="7"/>
  <c r="D339" i="7"/>
  <c r="C339" i="7"/>
  <c r="B339" i="7"/>
  <c r="F338" i="7"/>
  <c r="E338" i="7"/>
  <c r="D338" i="7"/>
  <c r="C338" i="7"/>
  <c r="B338" i="7"/>
  <c r="F337" i="7"/>
  <c r="E337" i="7"/>
  <c r="D337" i="7"/>
  <c r="C337" i="7"/>
  <c r="B337" i="7"/>
  <c r="F336" i="7"/>
  <c r="E336" i="7"/>
  <c r="D336" i="7"/>
  <c r="C336" i="7"/>
  <c r="B336" i="7"/>
  <c r="F335" i="7"/>
  <c r="E335" i="7"/>
  <c r="D335" i="7"/>
  <c r="C335" i="7"/>
  <c r="B335" i="7"/>
  <c r="F334" i="7"/>
  <c r="E334" i="7"/>
  <c r="D334" i="7"/>
  <c r="C334" i="7"/>
  <c r="B334" i="7"/>
  <c r="F333" i="7"/>
  <c r="E333" i="7"/>
  <c r="D333" i="7"/>
  <c r="C333" i="7"/>
  <c r="B333" i="7"/>
  <c r="F332" i="7"/>
  <c r="E332" i="7"/>
  <c r="D332" i="7"/>
  <c r="C332" i="7"/>
  <c r="B332" i="7"/>
  <c r="F331" i="7"/>
  <c r="E331" i="7"/>
  <c r="D331" i="7"/>
  <c r="C331" i="7"/>
  <c r="B331" i="7"/>
  <c r="F330" i="7"/>
  <c r="E330" i="7"/>
  <c r="D330" i="7"/>
  <c r="C330" i="7"/>
  <c r="B330" i="7"/>
  <c r="F329" i="7"/>
  <c r="E329" i="7"/>
  <c r="D329" i="7"/>
  <c r="C329" i="7"/>
  <c r="B329" i="7"/>
  <c r="F328" i="7"/>
  <c r="E328" i="7"/>
  <c r="D328" i="7"/>
  <c r="C328" i="7"/>
  <c r="B328" i="7"/>
  <c r="F327" i="7"/>
  <c r="E327" i="7"/>
  <c r="D327" i="7"/>
  <c r="C327" i="7"/>
  <c r="B327" i="7"/>
  <c r="F326" i="7"/>
  <c r="E326" i="7"/>
  <c r="D326" i="7"/>
  <c r="C326" i="7"/>
  <c r="B326" i="7"/>
  <c r="F325" i="7"/>
  <c r="E325" i="7"/>
  <c r="D325" i="7"/>
  <c r="C325" i="7"/>
  <c r="B325" i="7"/>
  <c r="F324" i="7"/>
  <c r="E324" i="7"/>
  <c r="D324" i="7"/>
  <c r="C324" i="7"/>
  <c r="B324" i="7"/>
  <c r="F323" i="7"/>
  <c r="E323" i="7"/>
  <c r="D323" i="7"/>
  <c r="C323" i="7"/>
  <c r="B323" i="7"/>
  <c r="F322" i="7"/>
  <c r="E322" i="7"/>
  <c r="D322" i="7"/>
  <c r="C322" i="7"/>
  <c r="B322" i="7"/>
  <c r="F321" i="7"/>
  <c r="E321" i="7"/>
  <c r="D321" i="7"/>
  <c r="C321" i="7"/>
  <c r="B321" i="7"/>
  <c r="F320" i="7"/>
  <c r="E320" i="7"/>
  <c r="D320" i="7"/>
  <c r="C320" i="7"/>
  <c r="B320" i="7"/>
  <c r="F319" i="7"/>
  <c r="E319" i="7"/>
  <c r="D319" i="7"/>
  <c r="C319" i="7"/>
  <c r="B319" i="7"/>
  <c r="F318" i="7"/>
  <c r="E318" i="7"/>
  <c r="D318" i="7"/>
  <c r="C318" i="7"/>
  <c r="B318" i="7"/>
  <c r="F317" i="7"/>
  <c r="E317" i="7"/>
  <c r="D317" i="7"/>
  <c r="C317" i="7"/>
  <c r="B317" i="7"/>
  <c r="F316" i="7"/>
  <c r="E316" i="7"/>
  <c r="D316" i="7"/>
  <c r="C316" i="7"/>
  <c r="B316" i="7"/>
  <c r="F315" i="7"/>
  <c r="E315" i="7"/>
  <c r="D315" i="7"/>
  <c r="C315" i="7"/>
  <c r="B315" i="7"/>
  <c r="F314" i="7"/>
  <c r="E314" i="7"/>
  <c r="D314" i="7"/>
  <c r="C314" i="7"/>
  <c r="B314" i="7"/>
  <c r="F313" i="7"/>
  <c r="E313" i="7"/>
  <c r="D313" i="7"/>
  <c r="C313" i="7"/>
  <c r="B313" i="7"/>
  <c r="F312" i="7"/>
  <c r="E312" i="7"/>
  <c r="D312" i="7"/>
  <c r="C312" i="7"/>
  <c r="B312" i="7"/>
  <c r="F311" i="7"/>
  <c r="E311" i="7"/>
  <c r="D311" i="7"/>
  <c r="C311" i="7"/>
  <c r="B311" i="7"/>
  <c r="F310" i="7"/>
  <c r="E310" i="7"/>
  <c r="D310" i="7"/>
  <c r="C310" i="7"/>
  <c r="B310" i="7"/>
  <c r="F309" i="7"/>
  <c r="E309" i="7"/>
  <c r="D309" i="7"/>
  <c r="C309" i="7"/>
  <c r="B309" i="7"/>
  <c r="F308" i="7"/>
  <c r="E308" i="7"/>
  <c r="D308" i="7"/>
  <c r="C308" i="7"/>
  <c r="B308" i="7"/>
  <c r="F307" i="7"/>
  <c r="E307" i="7"/>
  <c r="D307" i="7"/>
  <c r="C307" i="7"/>
  <c r="B307" i="7"/>
  <c r="F306" i="7"/>
  <c r="E306" i="7"/>
  <c r="D306" i="7"/>
  <c r="C306" i="7"/>
  <c r="B306" i="7"/>
  <c r="F305" i="7"/>
  <c r="E305" i="7"/>
  <c r="D305" i="7"/>
  <c r="C305" i="7"/>
  <c r="B305" i="7"/>
  <c r="F304" i="7"/>
  <c r="E304" i="7"/>
  <c r="D304" i="7"/>
  <c r="C304" i="7"/>
  <c r="B304" i="7"/>
  <c r="F303" i="7"/>
  <c r="E303" i="7"/>
  <c r="D303" i="7"/>
  <c r="C303" i="7"/>
  <c r="B303" i="7"/>
  <c r="F302" i="7"/>
  <c r="E302" i="7"/>
  <c r="D302" i="7"/>
  <c r="C302" i="7"/>
  <c r="B302" i="7"/>
  <c r="F301" i="7"/>
  <c r="E301" i="7"/>
  <c r="D301" i="7"/>
  <c r="C301" i="7"/>
  <c r="B301" i="7"/>
  <c r="F300" i="7"/>
  <c r="E300" i="7"/>
  <c r="D300" i="7"/>
  <c r="C300" i="7"/>
  <c r="B300" i="7"/>
  <c r="F299" i="7"/>
  <c r="E299" i="7"/>
  <c r="D299" i="7"/>
  <c r="C299" i="7"/>
  <c r="B299" i="7"/>
  <c r="F298" i="7"/>
  <c r="E298" i="7"/>
  <c r="D298" i="7"/>
  <c r="C298" i="7"/>
  <c r="B298" i="7"/>
  <c r="F297" i="7"/>
  <c r="E297" i="7"/>
  <c r="D297" i="7"/>
  <c r="C297" i="7"/>
  <c r="B297" i="7"/>
  <c r="F296" i="7"/>
  <c r="E296" i="7"/>
  <c r="D296" i="7"/>
  <c r="C296" i="7"/>
  <c r="B296" i="7"/>
  <c r="F295" i="7"/>
  <c r="E295" i="7"/>
  <c r="D295" i="7"/>
  <c r="C295" i="7"/>
  <c r="B295" i="7"/>
  <c r="F294" i="7"/>
  <c r="E294" i="7"/>
  <c r="D294" i="7"/>
  <c r="C294" i="7"/>
  <c r="B294" i="7"/>
  <c r="F293" i="7"/>
  <c r="E293" i="7"/>
  <c r="D293" i="7"/>
  <c r="C293" i="7"/>
  <c r="B293" i="7"/>
  <c r="F292" i="7"/>
  <c r="E292" i="7"/>
  <c r="D292" i="7"/>
  <c r="C292" i="7"/>
  <c r="B292" i="7"/>
  <c r="F291" i="7"/>
  <c r="E291" i="7"/>
  <c r="D291" i="7"/>
  <c r="C291" i="7"/>
  <c r="B291" i="7"/>
  <c r="F290" i="7"/>
  <c r="E290" i="7"/>
  <c r="D290" i="7"/>
  <c r="C290" i="7"/>
  <c r="B290" i="7"/>
  <c r="F289" i="7"/>
  <c r="E289" i="7"/>
  <c r="D289" i="7"/>
  <c r="C289" i="7"/>
  <c r="B289" i="7"/>
  <c r="F288" i="7"/>
  <c r="E288" i="7"/>
  <c r="D288" i="7"/>
  <c r="C288" i="7"/>
  <c r="B288" i="7"/>
  <c r="F287" i="7"/>
  <c r="E287" i="7"/>
  <c r="D287" i="7"/>
  <c r="C287" i="7"/>
  <c r="B287" i="7"/>
  <c r="F286" i="7"/>
  <c r="E286" i="7"/>
  <c r="D286" i="7"/>
  <c r="C286" i="7"/>
  <c r="B286" i="7"/>
  <c r="F285" i="7"/>
  <c r="E285" i="7"/>
  <c r="D285" i="7"/>
  <c r="C285" i="7"/>
  <c r="B285" i="7"/>
  <c r="F284" i="7"/>
  <c r="E284" i="7"/>
  <c r="D284" i="7"/>
  <c r="C284" i="7"/>
  <c r="B284" i="7"/>
  <c r="F283" i="7"/>
  <c r="E283" i="7"/>
  <c r="D283" i="7"/>
  <c r="C283" i="7"/>
  <c r="B283" i="7"/>
  <c r="F282" i="7"/>
  <c r="E282" i="7"/>
  <c r="D282" i="7"/>
  <c r="C282" i="7"/>
  <c r="B282" i="7"/>
  <c r="F281" i="7"/>
  <c r="E281" i="7"/>
  <c r="D281" i="7"/>
  <c r="C281" i="7"/>
  <c r="B281" i="7"/>
  <c r="F280" i="7"/>
  <c r="E280" i="7"/>
  <c r="D280" i="7"/>
  <c r="C280" i="7"/>
  <c r="B280" i="7"/>
  <c r="F279" i="7"/>
  <c r="E279" i="7"/>
  <c r="D279" i="7"/>
  <c r="C279" i="7"/>
  <c r="B279" i="7"/>
  <c r="F278" i="7"/>
  <c r="E278" i="7"/>
  <c r="D278" i="7"/>
  <c r="C278" i="7"/>
  <c r="B278" i="7"/>
  <c r="F277" i="7"/>
  <c r="E277" i="7"/>
  <c r="D277" i="7"/>
  <c r="C277" i="7"/>
  <c r="B277" i="7"/>
  <c r="F276" i="7"/>
  <c r="E276" i="7"/>
  <c r="D276" i="7"/>
  <c r="C276" i="7"/>
  <c r="B276" i="7"/>
  <c r="F275" i="7"/>
  <c r="E275" i="7"/>
  <c r="D275" i="7"/>
  <c r="C275" i="7"/>
  <c r="B275" i="7"/>
  <c r="F274" i="7"/>
  <c r="E274" i="7"/>
  <c r="D274" i="7"/>
  <c r="C274" i="7"/>
  <c r="B274" i="7"/>
  <c r="F273" i="7"/>
  <c r="E273" i="7"/>
  <c r="D273" i="7"/>
  <c r="C273" i="7"/>
  <c r="B273" i="7"/>
  <c r="F272" i="7"/>
  <c r="E272" i="7"/>
  <c r="D272" i="7"/>
  <c r="C272" i="7"/>
  <c r="B272" i="7"/>
  <c r="F271" i="7"/>
  <c r="E271" i="7"/>
  <c r="D271" i="7"/>
  <c r="C271" i="7"/>
  <c r="B271" i="7"/>
  <c r="F270" i="7"/>
  <c r="E270" i="7"/>
  <c r="D270" i="7"/>
  <c r="C270" i="7"/>
  <c r="B270" i="7"/>
  <c r="F269" i="7"/>
  <c r="E269" i="7"/>
  <c r="D269" i="7"/>
  <c r="C269" i="7"/>
  <c r="B269" i="7"/>
  <c r="F268" i="7"/>
  <c r="E268" i="7"/>
  <c r="D268" i="7"/>
  <c r="C268" i="7"/>
  <c r="B268" i="7"/>
  <c r="F267" i="7"/>
  <c r="E267" i="7"/>
  <c r="D267" i="7"/>
  <c r="C267" i="7"/>
  <c r="B267" i="7"/>
  <c r="F266" i="7"/>
  <c r="E266" i="7"/>
  <c r="D266" i="7"/>
  <c r="C266" i="7"/>
  <c r="B266" i="7"/>
  <c r="F265" i="7"/>
  <c r="E265" i="7"/>
  <c r="D265" i="7"/>
  <c r="C265" i="7"/>
  <c r="B265" i="7"/>
  <c r="F264" i="7"/>
  <c r="E264" i="7"/>
  <c r="D264" i="7"/>
  <c r="C264" i="7"/>
  <c r="B264" i="7"/>
  <c r="F263" i="7"/>
  <c r="E263" i="7"/>
  <c r="D263" i="7"/>
  <c r="C263" i="7"/>
  <c r="B263" i="7"/>
  <c r="F262" i="7"/>
  <c r="E262" i="7"/>
  <c r="D262" i="7"/>
  <c r="C262" i="7"/>
  <c r="B262" i="7"/>
  <c r="F261" i="7"/>
  <c r="E261" i="7"/>
  <c r="D261" i="7"/>
  <c r="C261" i="7"/>
  <c r="B261" i="7"/>
  <c r="F260" i="7"/>
  <c r="E260" i="7"/>
  <c r="D260" i="7"/>
  <c r="C260" i="7"/>
  <c r="B260" i="7"/>
  <c r="F259" i="7"/>
  <c r="E259" i="7"/>
  <c r="D259" i="7"/>
  <c r="C259" i="7"/>
  <c r="B259" i="7"/>
  <c r="F258" i="7"/>
  <c r="E258" i="7"/>
  <c r="D258" i="7"/>
  <c r="C258" i="7"/>
  <c r="B258" i="7"/>
  <c r="F257" i="7"/>
  <c r="E257" i="7"/>
  <c r="D257" i="7"/>
  <c r="C257" i="7"/>
  <c r="B257" i="7"/>
  <c r="F256" i="7"/>
  <c r="E256" i="7"/>
  <c r="D256" i="7"/>
  <c r="C256" i="7"/>
  <c r="B256" i="7"/>
  <c r="F255" i="7"/>
  <c r="E255" i="7"/>
  <c r="D255" i="7"/>
  <c r="C255" i="7"/>
  <c r="B255" i="7"/>
  <c r="F254" i="7"/>
  <c r="E254" i="7"/>
  <c r="D254" i="7"/>
  <c r="C254" i="7"/>
  <c r="B254" i="7"/>
  <c r="F253" i="7"/>
  <c r="E253" i="7"/>
  <c r="D253" i="7"/>
  <c r="C253" i="7"/>
  <c r="B253" i="7"/>
  <c r="F252" i="7"/>
  <c r="E252" i="7"/>
  <c r="D252" i="7"/>
  <c r="C252" i="7"/>
  <c r="B252" i="7"/>
  <c r="F251" i="7"/>
  <c r="E251" i="7"/>
  <c r="D251" i="7"/>
  <c r="C251" i="7"/>
  <c r="B251" i="7"/>
  <c r="F250" i="7"/>
  <c r="E250" i="7"/>
  <c r="D250" i="7"/>
  <c r="C250" i="7"/>
  <c r="B250" i="7"/>
  <c r="F249" i="7"/>
  <c r="E249" i="7"/>
  <c r="D249" i="7"/>
  <c r="C249" i="7"/>
  <c r="B249" i="7"/>
  <c r="F248" i="7"/>
  <c r="E248" i="7"/>
  <c r="D248" i="7"/>
  <c r="C248" i="7"/>
  <c r="B248" i="7"/>
  <c r="F247" i="7"/>
  <c r="E247" i="7"/>
  <c r="D247" i="7"/>
  <c r="C247" i="7"/>
  <c r="B247" i="7"/>
  <c r="F246" i="7"/>
  <c r="E246" i="7"/>
  <c r="D246" i="7"/>
  <c r="C246" i="7"/>
  <c r="B246" i="7"/>
  <c r="F245" i="7"/>
  <c r="E245" i="7"/>
  <c r="D245" i="7"/>
  <c r="C245" i="7"/>
  <c r="B245" i="7"/>
  <c r="F244" i="7"/>
  <c r="E244" i="7"/>
  <c r="D244" i="7"/>
  <c r="C244" i="7"/>
  <c r="B244" i="7"/>
  <c r="F243" i="7"/>
  <c r="E243" i="7"/>
  <c r="D243" i="7"/>
  <c r="C243" i="7"/>
  <c r="B243" i="7"/>
  <c r="F242" i="7"/>
  <c r="E242" i="7"/>
  <c r="D242" i="7"/>
  <c r="C242" i="7"/>
  <c r="B242" i="7"/>
  <c r="F241" i="7"/>
  <c r="E241" i="7"/>
  <c r="D241" i="7"/>
  <c r="C241" i="7"/>
  <c r="B241" i="7"/>
  <c r="F240" i="7"/>
  <c r="E240" i="7"/>
  <c r="D240" i="7"/>
  <c r="C240" i="7"/>
  <c r="B240" i="7"/>
  <c r="F239" i="7"/>
  <c r="E239" i="7"/>
  <c r="D239" i="7"/>
  <c r="C239" i="7"/>
  <c r="B239" i="7"/>
  <c r="F238" i="7"/>
  <c r="E238" i="7"/>
  <c r="D238" i="7"/>
  <c r="C238" i="7"/>
  <c r="B238" i="7"/>
  <c r="F237" i="7"/>
  <c r="E237" i="7"/>
  <c r="D237" i="7"/>
  <c r="C237" i="7"/>
  <c r="B237" i="7"/>
  <c r="F236" i="7"/>
  <c r="E236" i="7"/>
  <c r="D236" i="7"/>
  <c r="C236" i="7"/>
  <c r="B236" i="7"/>
  <c r="F235" i="7"/>
  <c r="E235" i="7"/>
  <c r="D235" i="7"/>
  <c r="C235" i="7"/>
  <c r="B235" i="7"/>
  <c r="F234" i="7"/>
  <c r="E234" i="7"/>
  <c r="D234" i="7"/>
  <c r="C234" i="7"/>
  <c r="B234" i="7"/>
  <c r="F233" i="7"/>
  <c r="E233" i="7"/>
  <c r="D233" i="7"/>
  <c r="C233" i="7"/>
  <c r="B233" i="7"/>
  <c r="F232" i="7"/>
  <c r="E232" i="7"/>
  <c r="D232" i="7"/>
  <c r="C232" i="7"/>
  <c r="B232" i="7"/>
  <c r="F231" i="7"/>
  <c r="E231" i="7"/>
  <c r="D231" i="7"/>
  <c r="C231" i="7"/>
  <c r="B231" i="7"/>
  <c r="F230" i="7"/>
  <c r="E230" i="7"/>
  <c r="D230" i="7"/>
  <c r="C230" i="7"/>
  <c r="B230" i="7"/>
  <c r="F229" i="7"/>
  <c r="E229" i="7"/>
  <c r="D229" i="7"/>
  <c r="C229" i="7"/>
  <c r="B229" i="7"/>
  <c r="F228" i="7"/>
  <c r="E228" i="7"/>
  <c r="D228" i="7"/>
  <c r="C228" i="7"/>
  <c r="B228" i="7"/>
  <c r="F227" i="7"/>
  <c r="E227" i="7"/>
  <c r="D227" i="7"/>
  <c r="C227" i="7"/>
  <c r="B227" i="7"/>
  <c r="F226" i="7"/>
  <c r="E226" i="7"/>
  <c r="D226" i="7"/>
  <c r="C226" i="7"/>
  <c r="B226" i="7"/>
  <c r="F225" i="7"/>
  <c r="E225" i="7"/>
  <c r="D225" i="7"/>
  <c r="C225" i="7"/>
  <c r="B225" i="7"/>
  <c r="F224" i="7"/>
  <c r="E224" i="7"/>
  <c r="D224" i="7"/>
  <c r="C224" i="7"/>
  <c r="B224" i="7"/>
  <c r="F223" i="7"/>
  <c r="E223" i="7"/>
  <c r="D223" i="7"/>
  <c r="C223" i="7"/>
  <c r="B223" i="7"/>
  <c r="F222" i="7"/>
  <c r="E222" i="7"/>
  <c r="D222" i="7"/>
  <c r="C222" i="7"/>
  <c r="B222" i="7"/>
  <c r="F221" i="7"/>
  <c r="E221" i="7"/>
  <c r="D221" i="7"/>
  <c r="C221" i="7"/>
  <c r="B221" i="7"/>
  <c r="F220" i="7"/>
  <c r="E220" i="7"/>
  <c r="D220" i="7"/>
  <c r="C220" i="7"/>
  <c r="B220" i="7"/>
  <c r="F219" i="7"/>
  <c r="E219" i="7"/>
  <c r="D219" i="7"/>
  <c r="C219" i="7"/>
  <c r="B219" i="7"/>
  <c r="F218" i="7"/>
  <c r="E218" i="7"/>
  <c r="D218" i="7"/>
  <c r="C218" i="7"/>
  <c r="B218" i="7"/>
  <c r="F217" i="7"/>
  <c r="E217" i="7"/>
  <c r="D217" i="7"/>
  <c r="C217" i="7"/>
  <c r="B217" i="7"/>
  <c r="F216" i="7"/>
  <c r="E216" i="7"/>
  <c r="D216" i="7"/>
  <c r="C216" i="7"/>
  <c r="B216" i="7"/>
  <c r="F215" i="7"/>
  <c r="E215" i="7"/>
  <c r="D215" i="7"/>
  <c r="C215" i="7"/>
  <c r="B215" i="7"/>
  <c r="F214" i="7"/>
  <c r="E214" i="7"/>
  <c r="D214" i="7"/>
  <c r="C214" i="7"/>
  <c r="B214" i="7"/>
  <c r="F213" i="7"/>
  <c r="E213" i="7"/>
  <c r="D213" i="7"/>
  <c r="C213" i="7"/>
  <c r="B213" i="7"/>
  <c r="F212" i="7"/>
  <c r="E212" i="7"/>
  <c r="D212" i="7"/>
  <c r="C212" i="7"/>
  <c r="B212" i="7"/>
  <c r="F211" i="7"/>
  <c r="E211" i="7"/>
  <c r="D211" i="7"/>
  <c r="C211" i="7"/>
  <c r="B211" i="7"/>
  <c r="F210" i="7"/>
  <c r="E210" i="7"/>
  <c r="D210" i="7"/>
  <c r="C210" i="7"/>
  <c r="B210" i="7"/>
  <c r="F209" i="7"/>
  <c r="E209" i="7"/>
  <c r="D209" i="7"/>
  <c r="C209" i="7"/>
  <c r="B209" i="7"/>
  <c r="F208" i="7"/>
  <c r="E208" i="7"/>
  <c r="D208" i="7"/>
  <c r="C208" i="7"/>
  <c r="B208" i="7"/>
  <c r="F207" i="7"/>
  <c r="E207" i="7"/>
  <c r="D207" i="7"/>
  <c r="C207" i="7"/>
  <c r="B207" i="7"/>
  <c r="F206" i="7"/>
  <c r="E206" i="7"/>
  <c r="D206" i="7"/>
  <c r="C206" i="7"/>
  <c r="B206" i="7"/>
  <c r="F205" i="7"/>
  <c r="E205" i="7"/>
  <c r="D205" i="7"/>
  <c r="C205" i="7"/>
  <c r="B205" i="7"/>
  <c r="F204" i="7"/>
  <c r="E204" i="7"/>
  <c r="D204" i="7"/>
  <c r="C204" i="7"/>
  <c r="B204" i="7"/>
  <c r="F203" i="7"/>
  <c r="E203" i="7"/>
  <c r="D203" i="7"/>
  <c r="C203" i="7"/>
  <c r="B203" i="7"/>
  <c r="F202" i="7"/>
  <c r="E202" i="7"/>
  <c r="D202" i="7"/>
  <c r="C202" i="7"/>
  <c r="B202" i="7"/>
  <c r="F201" i="7"/>
  <c r="E201" i="7"/>
  <c r="D201" i="7"/>
  <c r="C201" i="7"/>
  <c r="B201" i="7"/>
  <c r="F200" i="7"/>
  <c r="E200" i="7"/>
  <c r="D200" i="7"/>
  <c r="C200" i="7"/>
  <c r="B200" i="7"/>
  <c r="F199" i="7"/>
  <c r="E199" i="7"/>
  <c r="D199" i="7"/>
  <c r="C199" i="7"/>
  <c r="B199" i="7"/>
  <c r="F198" i="7"/>
  <c r="E198" i="7"/>
  <c r="D198" i="7"/>
  <c r="C198" i="7"/>
  <c r="B198" i="7"/>
  <c r="F197" i="7"/>
  <c r="E197" i="7"/>
  <c r="D197" i="7"/>
  <c r="C197" i="7"/>
  <c r="B197" i="7"/>
  <c r="F196" i="7"/>
  <c r="E196" i="7"/>
  <c r="D196" i="7"/>
  <c r="C196" i="7"/>
  <c r="B196" i="7"/>
  <c r="F195" i="7"/>
  <c r="E195" i="7"/>
  <c r="D195" i="7"/>
  <c r="C195" i="7"/>
  <c r="B195" i="7"/>
  <c r="F194" i="7"/>
  <c r="E194" i="7"/>
  <c r="D194" i="7"/>
  <c r="C194" i="7"/>
  <c r="B194" i="7"/>
  <c r="F193" i="7"/>
  <c r="E193" i="7"/>
  <c r="D193" i="7"/>
  <c r="C193" i="7"/>
  <c r="B193" i="7"/>
  <c r="F192" i="7"/>
  <c r="E192" i="7"/>
  <c r="D192" i="7"/>
  <c r="C192" i="7"/>
  <c r="B192" i="7"/>
  <c r="F191" i="7"/>
  <c r="E191" i="7"/>
  <c r="D191" i="7"/>
  <c r="C191" i="7"/>
  <c r="B191" i="7"/>
  <c r="F190" i="7"/>
  <c r="E190" i="7"/>
  <c r="D190" i="7"/>
  <c r="C190" i="7"/>
  <c r="B190" i="7"/>
  <c r="F189" i="7"/>
  <c r="E189" i="7"/>
  <c r="D189" i="7"/>
  <c r="C189" i="7"/>
  <c r="B189" i="7"/>
  <c r="F188" i="7"/>
  <c r="E188" i="7"/>
  <c r="D188" i="7"/>
  <c r="C188" i="7"/>
  <c r="B188" i="7"/>
  <c r="F187" i="7"/>
  <c r="E187" i="7"/>
  <c r="D187" i="7"/>
  <c r="C187" i="7"/>
  <c r="B187" i="7"/>
  <c r="F186" i="7"/>
  <c r="E186" i="7"/>
  <c r="D186" i="7"/>
  <c r="C186" i="7"/>
  <c r="B186" i="7"/>
  <c r="F185" i="7"/>
  <c r="E185" i="7"/>
  <c r="D185" i="7"/>
  <c r="C185" i="7"/>
  <c r="B185" i="7"/>
  <c r="F184" i="7"/>
  <c r="E184" i="7"/>
  <c r="D184" i="7"/>
  <c r="C184" i="7"/>
  <c r="B184" i="7"/>
  <c r="F183" i="7"/>
  <c r="E183" i="7"/>
  <c r="D183" i="7"/>
  <c r="C183" i="7"/>
  <c r="B183" i="7"/>
  <c r="F182" i="7"/>
  <c r="E182" i="7"/>
  <c r="D182" i="7"/>
  <c r="C182" i="7"/>
  <c r="B182" i="7"/>
  <c r="F181" i="7"/>
  <c r="E181" i="7"/>
  <c r="D181" i="7"/>
  <c r="C181" i="7"/>
  <c r="B181" i="7"/>
  <c r="F180" i="7"/>
  <c r="E180" i="7"/>
  <c r="D180" i="7"/>
  <c r="C180" i="7"/>
  <c r="B180" i="7"/>
  <c r="F179" i="7"/>
  <c r="E179" i="7"/>
  <c r="D179" i="7"/>
  <c r="C179" i="7"/>
  <c r="B179" i="7"/>
  <c r="F178" i="7"/>
  <c r="E178" i="7"/>
  <c r="D178" i="7"/>
  <c r="C178" i="7"/>
  <c r="B178" i="7"/>
  <c r="F177" i="7"/>
  <c r="E177" i="7"/>
  <c r="D177" i="7"/>
  <c r="C177" i="7"/>
  <c r="B177" i="7"/>
  <c r="F176" i="7"/>
  <c r="E176" i="7"/>
  <c r="D176" i="7"/>
  <c r="C176" i="7"/>
  <c r="B176" i="7"/>
  <c r="F175" i="7"/>
  <c r="E175" i="7"/>
  <c r="D175" i="7"/>
  <c r="C175" i="7"/>
  <c r="B175" i="7"/>
  <c r="F174" i="7"/>
  <c r="E174" i="7"/>
  <c r="D174" i="7"/>
  <c r="C174" i="7"/>
  <c r="B174" i="7"/>
  <c r="F173" i="7"/>
  <c r="E173" i="7"/>
  <c r="D173" i="7"/>
  <c r="C173" i="7"/>
  <c r="B173" i="7"/>
  <c r="F172" i="7"/>
  <c r="E172" i="7"/>
  <c r="D172" i="7"/>
  <c r="C172" i="7"/>
  <c r="B172" i="7"/>
  <c r="F171" i="7"/>
  <c r="E171" i="7"/>
  <c r="D171" i="7"/>
  <c r="C171" i="7"/>
  <c r="B171" i="7"/>
  <c r="F170" i="7"/>
  <c r="E170" i="7"/>
  <c r="D170" i="7"/>
  <c r="C170" i="7"/>
  <c r="B170" i="7"/>
  <c r="F169" i="7"/>
  <c r="E169" i="7"/>
  <c r="D169" i="7"/>
  <c r="C169" i="7"/>
  <c r="B169" i="7"/>
  <c r="F168" i="7"/>
  <c r="E168" i="7"/>
  <c r="D168" i="7"/>
  <c r="C168" i="7"/>
  <c r="B168" i="7"/>
  <c r="F167" i="7"/>
  <c r="E167" i="7"/>
  <c r="D167" i="7"/>
  <c r="C167" i="7"/>
  <c r="B167" i="7"/>
  <c r="F166" i="7"/>
  <c r="E166" i="7"/>
  <c r="D166" i="7"/>
  <c r="C166" i="7"/>
  <c r="B166" i="7"/>
  <c r="F165" i="7"/>
  <c r="E165" i="7"/>
  <c r="D165" i="7"/>
  <c r="C165" i="7"/>
  <c r="B165" i="7"/>
  <c r="F164" i="7"/>
  <c r="E164" i="7"/>
  <c r="D164" i="7"/>
  <c r="C164" i="7"/>
  <c r="B164" i="7"/>
  <c r="F163" i="7"/>
  <c r="E163" i="7"/>
  <c r="D163" i="7"/>
  <c r="C163" i="7"/>
  <c r="B163" i="7"/>
  <c r="F162" i="7"/>
  <c r="E162" i="7"/>
  <c r="D162" i="7"/>
  <c r="C162" i="7"/>
  <c r="B162" i="7"/>
  <c r="F161" i="7"/>
  <c r="E161" i="7"/>
  <c r="D161" i="7"/>
  <c r="C161" i="7"/>
  <c r="B161" i="7"/>
  <c r="F160" i="7"/>
  <c r="E160" i="7"/>
  <c r="D160" i="7"/>
  <c r="C160" i="7"/>
  <c r="B160" i="7"/>
  <c r="F159" i="7"/>
  <c r="E159" i="7"/>
  <c r="D159" i="7"/>
  <c r="C159" i="7"/>
  <c r="B159" i="7"/>
  <c r="F158" i="7"/>
  <c r="E158" i="7"/>
  <c r="D158" i="7"/>
  <c r="C158" i="7"/>
  <c r="B158" i="7"/>
  <c r="F157" i="7"/>
  <c r="E157" i="7"/>
  <c r="D157" i="7"/>
  <c r="C157" i="7"/>
  <c r="B157" i="7"/>
  <c r="F156" i="7"/>
  <c r="E156" i="7"/>
  <c r="D156" i="7"/>
  <c r="C156" i="7"/>
  <c r="B156" i="7"/>
  <c r="F155" i="7"/>
  <c r="E155" i="7"/>
  <c r="D155" i="7"/>
  <c r="C155" i="7"/>
  <c r="B155" i="7"/>
  <c r="F154" i="7"/>
  <c r="E154" i="7"/>
  <c r="D154" i="7"/>
  <c r="C154" i="7"/>
  <c r="B154" i="7"/>
  <c r="F153" i="7"/>
  <c r="E153" i="7"/>
  <c r="D153" i="7"/>
  <c r="C153" i="7"/>
  <c r="B153" i="7"/>
  <c r="F152" i="7"/>
  <c r="E152" i="7"/>
  <c r="D152" i="7"/>
  <c r="C152" i="7"/>
  <c r="B152" i="7"/>
  <c r="F151" i="7"/>
  <c r="E151" i="7"/>
  <c r="D151" i="7"/>
  <c r="C151" i="7"/>
  <c r="B151" i="7"/>
  <c r="F150" i="7"/>
  <c r="E150" i="7"/>
  <c r="D150" i="7"/>
  <c r="C150" i="7"/>
  <c r="B150" i="7"/>
  <c r="F149" i="7"/>
  <c r="E149" i="7"/>
  <c r="D149" i="7"/>
  <c r="C149" i="7"/>
  <c r="B149" i="7"/>
  <c r="F148" i="7"/>
  <c r="E148" i="7"/>
  <c r="D148" i="7"/>
  <c r="C148" i="7"/>
  <c r="B148" i="7"/>
  <c r="F147" i="7"/>
  <c r="E147" i="7"/>
  <c r="D147" i="7"/>
  <c r="C147" i="7"/>
  <c r="B147" i="7"/>
  <c r="F146" i="7"/>
  <c r="E146" i="7"/>
  <c r="D146" i="7"/>
  <c r="C146" i="7"/>
  <c r="B146" i="7"/>
  <c r="F145" i="7"/>
  <c r="E145" i="7"/>
  <c r="D145" i="7"/>
  <c r="C145" i="7"/>
  <c r="B145" i="7"/>
  <c r="F144" i="7"/>
  <c r="E144" i="7"/>
  <c r="D144" i="7"/>
  <c r="C144" i="7"/>
  <c r="B144" i="7"/>
  <c r="F143" i="7"/>
  <c r="E143" i="7"/>
  <c r="D143" i="7"/>
  <c r="C143" i="7"/>
  <c r="B143" i="7"/>
  <c r="F142" i="7"/>
  <c r="E142" i="7"/>
  <c r="D142" i="7"/>
  <c r="C142" i="7"/>
  <c r="B142" i="7"/>
  <c r="F141" i="7"/>
  <c r="E141" i="7"/>
  <c r="D141" i="7"/>
  <c r="C141" i="7"/>
  <c r="B141" i="7"/>
  <c r="F140" i="7"/>
  <c r="E140" i="7"/>
  <c r="D140" i="7"/>
  <c r="C140" i="7"/>
  <c r="B140" i="7"/>
  <c r="F139" i="7"/>
  <c r="E139" i="7"/>
  <c r="D139" i="7"/>
  <c r="C139" i="7"/>
  <c r="B139" i="7"/>
  <c r="F138" i="7"/>
  <c r="E138" i="7"/>
  <c r="D138" i="7"/>
  <c r="C138" i="7"/>
  <c r="B138" i="7"/>
  <c r="F137" i="7"/>
  <c r="E137" i="7"/>
  <c r="D137" i="7"/>
  <c r="C137" i="7"/>
  <c r="B137" i="7"/>
  <c r="F136" i="7"/>
  <c r="E136" i="7"/>
  <c r="D136" i="7"/>
  <c r="C136" i="7"/>
  <c r="B136" i="7"/>
  <c r="F135" i="7"/>
  <c r="E135" i="7"/>
  <c r="D135" i="7"/>
  <c r="C135" i="7"/>
  <c r="B135" i="7"/>
  <c r="F134" i="7"/>
  <c r="E134" i="7"/>
  <c r="D134" i="7"/>
  <c r="C134" i="7"/>
  <c r="B134" i="7"/>
  <c r="F133" i="7"/>
  <c r="E133" i="7"/>
  <c r="D133" i="7"/>
  <c r="C133" i="7"/>
  <c r="B133" i="7"/>
  <c r="F132" i="7"/>
  <c r="E132" i="7"/>
  <c r="D132" i="7"/>
  <c r="C132" i="7"/>
  <c r="B132" i="7"/>
  <c r="F131" i="7"/>
  <c r="E131" i="7"/>
  <c r="D131" i="7"/>
  <c r="C131" i="7"/>
  <c r="B131" i="7"/>
  <c r="F130" i="7"/>
  <c r="E130" i="7"/>
  <c r="D130" i="7"/>
  <c r="C130" i="7"/>
  <c r="B130" i="7"/>
  <c r="F129" i="7"/>
  <c r="E129" i="7"/>
  <c r="D129" i="7"/>
  <c r="C129" i="7"/>
  <c r="B129" i="7"/>
  <c r="F128" i="7"/>
  <c r="E128" i="7"/>
  <c r="D128" i="7"/>
  <c r="C128" i="7"/>
  <c r="B128" i="7"/>
  <c r="F127" i="7"/>
  <c r="E127" i="7"/>
  <c r="D127" i="7"/>
  <c r="C127" i="7"/>
  <c r="B127" i="7"/>
  <c r="F126" i="7"/>
  <c r="E126" i="7"/>
  <c r="D126" i="7"/>
  <c r="C126" i="7"/>
  <c r="B126" i="7"/>
  <c r="F125" i="7"/>
  <c r="E125" i="7"/>
  <c r="D125" i="7"/>
  <c r="C125" i="7"/>
  <c r="B125" i="7"/>
  <c r="F124" i="7"/>
  <c r="E124" i="7"/>
  <c r="D124" i="7"/>
  <c r="C124" i="7"/>
  <c r="B124" i="7"/>
  <c r="F123" i="7"/>
  <c r="E123" i="7"/>
  <c r="D123" i="7"/>
  <c r="C123" i="7"/>
  <c r="B123" i="7"/>
  <c r="F122" i="7"/>
  <c r="E122" i="7"/>
  <c r="D122" i="7"/>
  <c r="C122" i="7"/>
  <c r="B122" i="7"/>
  <c r="F121" i="7"/>
  <c r="E121" i="7"/>
  <c r="D121" i="7"/>
  <c r="C121" i="7"/>
  <c r="B121" i="7"/>
  <c r="F120" i="7"/>
  <c r="E120" i="7"/>
  <c r="D120" i="7"/>
  <c r="C120" i="7"/>
  <c r="B120" i="7"/>
  <c r="F119" i="7"/>
  <c r="E119" i="7"/>
  <c r="D119" i="7"/>
  <c r="C119" i="7"/>
  <c r="B119" i="7"/>
  <c r="F118" i="7"/>
  <c r="E118" i="7"/>
  <c r="D118" i="7"/>
  <c r="C118" i="7"/>
  <c r="B118" i="7"/>
  <c r="F117" i="7"/>
  <c r="E117" i="7"/>
  <c r="D117" i="7"/>
  <c r="C117" i="7"/>
  <c r="B117" i="7"/>
  <c r="F116" i="7"/>
  <c r="E116" i="7"/>
  <c r="D116" i="7"/>
  <c r="C116" i="7"/>
  <c r="B116" i="7"/>
  <c r="F115" i="7"/>
  <c r="E115" i="7"/>
  <c r="D115" i="7"/>
  <c r="C115" i="7"/>
  <c r="B115" i="7"/>
  <c r="F114" i="7"/>
  <c r="E114" i="7"/>
  <c r="D114" i="7"/>
  <c r="C114" i="7"/>
  <c r="B114" i="7"/>
  <c r="F113" i="7"/>
  <c r="E113" i="7"/>
  <c r="D113" i="7"/>
  <c r="C113" i="7"/>
  <c r="B113" i="7"/>
  <c r="F112" i="7"/>
  <c r="E112" i="7"/>
  <c r="D112" i="7"/>
  <c r="C112" i="7"/>
  <c r="B112" i="7"/>
  <c r="F111" i="7"/>
  <c r="E111" i="7"/>
  <c r="D111" i="7"/>
  <c r="C111" i="7"/>
  <c r="B111" i="7"/>
  <c r="F110" i="7"/>
  <c r="E110" i="7"/>
  <c r="D110" i="7"/>
  <c r="C110" i="7"/>
  <c r="B110" i="7"/>
  <c r="F109" i="7"/>
  <c r="E109" i="7"/>
  <c r="D109" i="7"/>
  <c r="C109" i="7"/>
  <c r="B109" i="7"/>
  <c r="F108" i="7"/>
  <c r="E108" i="7"/>
  <c r="D108" i="7"/>
  <c r="C108" i="7"/>
  <c r="B108" i="7"/>
  <c r="F107" i="7"/>
  <c r="E107" i="7"/>
  <c r="D107" i="7"/>
  <c r="C107" i="7"/>
  <c r="B107" i="7"/>
  <c r="F106" i="7"/>
  <c r="E106" i="7"/>
  <c r="D106" i="7"/>
  <c r="C106" i="7"/>
  <c r="B106" i="7"/>
  <c r="F105" i="7"/>
  <c r="E105" i="7"/>
  <c r="D105" i="7"/>
  <c r="C105" i="7"/>
  <c r="B105" i="7"/>
  <c r="F104" i="7"/>
  <c r="E104" i="7"/>
  <c r="D104" i="7"/>
  <c r="C104" i="7"/>
  <c r="B104" i="7"/>
  <c r="F103" i="7"/>
  <c r="E103" i="7"/>
  <c r="D103" i="7"/>
  <c r="C103" i="7"/>
  <c r="B103" i="7"/>
  <c r="F102" i="7"/>
  <c r="E102" i="7"/>
  <c r="D102" i="7"/>
  <c r="C102" i="7"/>
  <c r="B102" i="7"/>
  <c r="F101" i="7"/>
  <c r="E101" i="7"/>
  <c r="D101" i="7"/>
  <c r="C101" i="7"/>
  <c r="B101" i="7"/>
  <c r="F100" i="7"/>
  <c r="E100" i="7"/>
  <c r="D100" i="7"/>
  <c r="C100" i="7"/>
  <c r="B100" i="7"/>
  <c r="F99" i="7"/>
  <c r="E99" i="7"/>
  <c r="D99" i="7"/>
  <c r="C99" i="7"/>
  <c r="B99" i="7"/>
  <c r="F98" i="7"/>
  <c r="E98" i="7"/>
  <c r="D98" i="7"/>
  <c r="C98" i="7"/>
  <c r="B98" i="7"/>
  <c r="F97" i="7"/>
  <c r="E97" i="7"/>
  <c r="D97" i="7"/>
  <c r="C97" i="7"/>
  <c r="B97" i="7"/>
  <c r="F96" i="7"/>
  <c r="E96" i="7"/>
  <c r="D96" i="7"/>
  <c r="C96" i="7"/>
  <c r="B96" i="7"/>
  <c r="F95" i="7"/>
  <c r="E95" i="7"/>
  <c r="D95" i="7"/>
  <c r="C95" i="7"/>
  <c r="B95" i="7"/>
  <c r="F94" i="7"/>
  <c r="E94" i="7"/>
  <c r="D94" i="7"/>
  <c r="C94" i="7"/>
  <c r="B94" i="7"/>
  <c r="F93" i="7"/>
  <c r="E93" i="7"/>
  <c r="D93" i="7"/>
  <c r="C93" i="7"/>
  <c r="B93" i="7"/>
  <c r="F92" i="7"/>
  <c r="E92" i="7"/>
  <c r="D92" i="7"/>
  <c r="C92" i="7"/>
  <c r="B92" i="7"/>
  <c r="F91" i="7"/>
  <c r="E91" i="7"/>
  <c r="D91" i="7"/>
  <c r="C91" i="7"/>
  <c r="B91" i="7"/>
  <c r="F90" i="7"/>
  <c r="E90" i="7"/>
  <c r="D90" i="7"/>
  <c r="C90" i="7"/>
  <c r="B90" i="7"/>
  <c r="F89" i="7"/>
  <c r="E89" i="7"/>
  <c r="D89" i="7"/>
  <c r="C89" i="7"/>
  <c r="B89" i="7"/>
  <c r="F88" i="7"/>
  <c r="E88" i="7"/>
  <c r="D88" i="7"/>
  <c r="C88" i="7"/>
  <c r="B88" i="7"/>
  <c r="F87" i="7"/>
  <c r="E87" i="7"/>
  <c r="D87" i="7"/>
  <c r="C87" i="7"/>
  <c r="B87" i="7"/>
  <c r="F86" i="7"/>
  <c r="E86" i="7"/>
  <c r="D86" i="7"/>
  <c r="C86" i="7"/>
  <c r="B86" i="7"/>
  <c r="F85" i="7"/>
  <c r="E85" i="7"/>
  <c r="D85" i="7"/>
  <c r="C85" i="7"/>
  <c r="B85" i="7"/>
  <c r="F84" i="7"/>
  <c r="E84" i="7"/>
  <c r="D84" i="7"/>
  <c r="C84" i="7"/>
  <c r="B84" i="7"/>
  <c r="F83" i="7"/>
  <c r="E83" i="7"/>
  <c r="D83" i="7"/>
  <c r="C83" i="7"/>
  <c r="B83" i="7"/>
  <c r="F82" i="7"/>
  <c r="E82" i="7"/>
  <c r="D82" i="7"/>
  <c r="C82" i="7"/>
  <c r="B82" i="7"/>
  <c r="F81" i="7"/>
  <c r="E81" i="7"/>
  <c r="D81" i="7"/>
  <c r="C81" i="7"/>
  <c r="B81" i="7"/>
  <c r="F80" i="7"/>
  <c r="E80" i="7"/>
  <c r="D80" i="7"/>
  <c r="C80" i="7"/>
  <c r="B80" i="7"/>
  <c r="F79" i="7"/>
  <c r="E79" i="7"/>
  <c r="D79" i="7"/>
  <c r="C79" i="7"/>
  <c r="B79" i="7"/>
  <c r="F78" i="7"/>
  <c r="E78" i="7"/>
  <c r="D78" i="7"/>
  <c r="C78" i="7"/>
  <c r="B78" i="7"/>
  <c r="F77" i="7"/>
  <c r="E77" i="7"/>
  <c r="D77" i="7"/>
  <c r="C77" i="7"/>
  <c r="B77" i="7"/>
  <c r="F76" i="7"/>
  <c r="E76" i="7"/>
  <c r="D76" i="7"/>
  <c r="C76" i="7"/>
  <c r="B76" i="7"/>
  <c r="F75" i="7"/>
  <c r="E75" i="7"/>
  <c r="D75" i="7"/>
  <c r="C75" i="7"/>
  <c r="B75" i="7"/>
  <c r="F74" i="7"/>
  <c r="E74" i="7"/>
  <c r="D74" i="7"/>
  <c r="C74" i="7"/>
  <c r="B74" i="7"/>
  <c r="F73" i="7"/>
  <c r="E73" i="7"/>
  <c r="D73" i="7"/>
  <c r="C73" i="7"/>
  <c r="B73" i="7"/>
  <c r="F72" i="7"/>
  <c r="E72" i="7"/>
  <c r="D72" i="7"/>
  <c r="C72" i="7"/>
  <c r="B72" i="7"/>
  <c r="F71" i="7"/>
  <c r="E71" i="7"/>
  <c r="D71" i="7"/>
  <c r="C71" i="7"/>
  <c r="B71" i="7"/>
  <c r="F70" i="7"/>
  <c r="E70" i="7"/>
  <c r="D70" i="7"/>
  <c r="C70" i="7"/>
  <c r="B70" i="7"/>
  <c r="F69" i="7"/>
  <c r="E69" i="7"/>
  <c r="D69" i="7"/>
  <c r="C69" i="7"/>
  <c r="B69" i="7"/>
  <c r="F68" i="7"/>
  <c r="E68" i="7"/>
  <c r="D68" i="7"/>
  <c r="C68" i="7"/>
  <c r="B68" i="7"/>
  <c r="F67" i="7"/>
  <c r="E67" i="7"/>
  <c r="D67" i="7"/>
  <c r="C67" i="7"/>
  <c r="B67" i="7"/>
  <c r="F66" i="7"/>
  <c r="E66" i="7"/>
  <c r="D66" i="7"/>
  <c r="C66" i="7"/>
  <c r="B66" i="7"/>
  <c r="F65" i="7"/>
  <c r="E65" i="7"/>
  <c r="D65" i="7"/>
  <c r="C65" i="7"/>
  <c r="B65" i="7"/>
  <c r="F64" i="7"/>
  <c r="E64" i="7"/>
  <c r="D64" i="7"/>
  <c r="C64" i="7"/>
  <c r="B64" i="7"/>
  <c r="F63" i="7"/>
  <c r="E63" i="7"/>
  <c r="D63" i="7"/>
  <c r="C63" i="7"/>
  <c r="B63" i="7"/>
  <c r="F62" i="7"/>
  <c r="E62" i="7"/>
  <c r="D62" i="7"/>
  <c r="C62" i="7"/>
  <c r="B62" i="7"/>
  <c r="F61" i="7"/>
  <c r="E61" i="7"/>
  <c r="D61" i="7"/>
  <c r="C61" i="7"/>
  <c r="B61" i="7"/>
  <c r="F60" i="7"/>
  <c r="E60" i="7"/>
  <c r="D60" i="7"/>
  <c r="C60" i="7"/>
  <c r="B60" i="7"/>
  <c r="F59" i="7"/>
  <c r="E59" i="7"/>
  <c r="D59" i="7"/>
  <c r="C59" i="7"/>
  <c r="B59" i="7"/>
  <c r="F58" i="7"/>
  <c r="E58" i="7"/>
  <c r="D58" i="7"/>
  <c r="C58" i="7"/>
  <c r="B58" i="7"/>
  <c r="F57" i="7"/>
  <c r="E57" i="7"/>
  <c r="D57" i="7"/>
  <c r="C57" i="7"/>
  <c r="B57" i="7"/>
  <c r="F56" i="7"/>
  <c r="E56" i="7"/>
  <c r="D56" i="7"/>
  <c r="C56" i="7"/>
  <c r="B56" i="7"/>
  <c r="F55" i="7"/>
  <c r="E55" i="7"/>
  <c r="D55" i="7"/>
  <c r="C55" i="7"/>
  <c r="B55" i="7"/>
  <c r="F54" i="7"/>
  <c r="E54" i="7"/>
  <c r="D54" i="7"/>
  <c r="C54" i="7"/>
  <c r="B54" i="7"/>
  <c r="F53" i="7"/>
  <c r="E53" i="7"/>
  <c r="D53" i="7"/>
  <c r="C53" i="7"/>
  <c r="B53" i="7"/>
  <c r="F52" i="7"/>
  <c r="E52" i="7"/>
  <c r="D52" i="7"/>
  <c r="C52" i="7"/>
  <c r="B52" i="7"/>
  <c r="F51" i="7"/>
  <c r="E51" i="7"/>
  <c r="D51" i="7"/>
  <c r="C51" i="7"/>
  <c r="B51" i="7"/>
  <c r="F50" i="7"/>
  <c r="E50" i="7"/>
  <c r="D50" i="7"/>
  <c r="C50" i="7"/>
  <c r="B50" i="7"/>
  <c r="F49" i="7"/>
  <c r="E49" i="7"/>
  <c r="D49" i="7"/>
  <c r="C49" i="7"/>
  <c r="B49" i="7"/>
  <c r="F48" i="7"/>
  <c r="E48" i="7"/>
  <c r="D48" i="7"/>
  <c r="C48" i="7"/>
  <c r="B48" i="7"/>
  <c r="F47" i="7"/>
  <c r="E47" i="7"/>
  <c r="D47" i="7"/>
  <c r="C47" i="7"/>
  <c r="B47" i="7"/>
  <c r="F46" i="7"/>
  <c r="E46" i="7"/>
  <c r="D46" i="7"/>
  <c r="C46" i="7"/>
  <c r="B46" i="7"/>
  <c r="F45" i="7"/>
  <c r="E45" i="7"/>
  <c r="D45" i="7"/>
  <c r="C45" i="7"/>
  <c r="B45" i="7"/>
  <c r="F44" i="7"/>
  <c r="E44" i="7"/>
  <c r="D44" i="7"/>
  <c r="C44" i="7"/>
  <c r="B44" i="7"/>
  <c r="F43" i="7"/>
  <c r="E43" i="7"/>
  <c r="D43" i="7"/>
  <c r="C43" i="7"/>
  <c r="B43" i="7"/>
  <c r="F42" i="7"/>
  <c r="E42" i="7"/>
  <c r="D42" i="7"/>
  <c r="C42" i="7"/>
  <c r="B42" i="7"/>
  <c r="F41" i="7"/>
  <c r="E41" i="7"/>
  <c r="D41" i="7"/>
  <c r="C41" i="7"/>
  <c r="B41" i="7"/>
  <c r="F40" i="7"/>
  <c r="E40" i="7"/>
  <c r="D40" i="7"/>
  <c r="C40" i="7"/>
  <c r="B40" i="7"/>
  <c r="F39" i="7"/>
  <c r="E39" i="7"/>
  <c r="D39" i="7"/>
  <c r="C39" i="7"/>
  <c r="B39" i="7"/>
  <c r="F38" i="7"/>
  <c r="E38" i="7"/>
  <c r="D38" i="7"/>
  <c r="C38" i="7"/>
  <c r="B38" i="7"/>
  <c r="F37" i="7"/>
  <c r="E37" i="7"/>
  <c r="D37" i="7"/>
  <c r="C37" i="7"/>
  <c r="B37" i="7"/>
  <c r="F36" i="7"/>
  <c r="E36" i="7"/>
  <c r="D36" i="7"/>
  <c r="C36" i="7"/>
  <c r="B36" i="7"/>
  <c r="F35" i="7"/>
  <c r="E35" i="7"/>
  <c r="D35" i="7"/>
  <c r="C35" i="7"/>
  <c r="B35" i="7"/>
  <c r="F34" i="7"/>
  <c r="E34" i="7"/>
  <c r="D34" i="7"/>
  <c r="C34" i="7"/>
  <c r="B34" i="7"/>
  <c r="F33" i="7"/>
  <c r="E33" i="7"/>
  <c r="D33" i="7"/>
  <c r="C33" i="7"/>
  <c r="B33" i="7"/>
  <c r="F32" i="7"/>
  <c r="E32" i="7"/>
  <c r="D32" i="7"/>
  <c r="C32" i="7"/>
  <c r="B32" i="7"/>
  <c r="F31" i="7"/>
  <c r="E31" i="7"/>
  <c r="D31" i="7"/>
  <c r="C31" i="7"/>
  <c r="B31" i="7"/>
  <c r="F30" i="7"/>
  <c r="E30" i="7"/>
  <c r="D30" i="7"/>
  <c r="C30" i="7"/>
  <c r="B30" i="7"/>
  <c r="F29" i="7"/>
  <c r="E29" i="7"/>
  <c r="D29" i="7"/>
  <c r="C29" i="7"/>
  <c r="B29" i="7"/>
  <c r="F28" i="7"/>
  <c r="E28" i="7"/>
  <c r="D28" i="7"/>
  <c r="C28" i="7"/>
  <c r="B28" i="7"/>
  <c r="F27" i="7"/>
  <c r="E27" i="7"/>
  <c r="D27" i="7"/>
  <c r="C27" i="7"/>
  <c r="B27" i="7"/>
  <c r="F26" i="7"/>
  <c r="E26" i="7"/>
  <c r="D26" i="7"/>
  <c r="C26" i="7"/>
  <c r="B26" i="7"/>
  <c r="F25" i="7"/>
  <c r="E25" i="7"/>
  <c r="D25" i="7"/>
  <c r="C25" i="7"/>
  <c r="B25" i="7"/>
  <c r="F24" i="7"/>
  <c r="E24" i="7"/>
  <c r="D24" i="7"/>
  <c r="C24" i="7"/>
  <c r="B24" i="7"/>
  <c r="F23" i="7"/>
  <c r="E23" i="7"/>
  <c r="D23" i="7"/>
  <c r="C23" i="7"/>
  <c r="B23" i="7"/>
  <c r="F22" i="7"/>
  <c r="E22" i="7"/>
  <c r="D22" i="7"/>
  <c r="C22" i="7"/>
  <c r="B22" i="7"/>
  <c r="F21" i="7"/>
  <c r="E21" i="7"/>
  <c r="D21" i="7"/>
  <c r="C21" i="7"/>
  <c r="B21" i="7"/>
  <c r="F20" i="7"/>
  <c r="E20" i="7"/>
  <c r="D20" i="7"/>
  <c r="C20" i="7"/>
  <c r="B20" i="7"/>
  <c r="F19" i="7"/>
  <c r="E19" i="7"/>
  <c r="D19" i="7"/>
  <c r="C19" i="7"/>
  <c r="B19" i="7"/>
  <c r="F18" i="7"/>
  <c r="E18" i="7"/>
  <c r="D18" i="7"/>
  <c r="C18" i="7"/>
  <c r="B18" i="7"/>
  <c r="F17" i="7"/>
  <c r="E17" i="7"/>
  <c r="D17" i="7"/>
  <c r="C17" i="7"/>
  <c r="B17" i="7"/>
  <c r="F16" i="7"/>
  <c r="E16" i="7"/>
  <c r="D16" i="7"/>
  <c r="C16" i="7"/>
  <c r="B16" i="7"/>
  <c r="F15" i="7"/>
  <c r="E15" i="7"/>
  <c r="D15" i="7"/>
  <c r="C15" i="7"/>
  <c r="B15" i="7"/>
  <c r="F14" i="7"/>
  <c r="E14" i="7"/>
  <c r="D14" i="7"/>
  <c r="C14" i="7"/>
  <c r="B14" i="7"/>
  <c r="F13" i="7"/>
  <c r="E13" i="7"/>
  <c r="D13" i="7"/>
  <c r="C13" i="7"/>
  <c r="B13" i="7"/>
  <c r="F12" i="7"/>
  <c r="E12" i="7"/>
  <c r="D12" i="7"/>
  <c r="C12" i="7"/>
  <c r="B12" i="7"/>
  <c r="F11" i="7"/>
  <c r="E11" i="7"/>
  <c r="D11" i="7"/>
  <c r="D8" i="7"/>
  <c r="D7" i="7"/>
  <c r="D6" i="7"/>
  <c r="D5" i="7"/>
  <c r="D4" i="7"/>
  <c r="D3" i="7"/>
  <c r="D2" i="7"/>
  <c r="R9" i="13"/>
  <c r="S8" i="13"/>
  <c r="R8" i="13"/>
  <c r="S7" i="13"/>
  <c r="R7" i="13"/>
  <c r="S6" i="13"/>
  <c r="R6" i="13"/>
  <c r="S5" i="13"/>
  <c r="R5" i="13"/>
  <c r="S4" i="13"/>
  <c r="R4" i="13"/>
  <c r="S3" i="13"/>
  <c r="R3" i="13"/>
  <c r="S2" i="13"/>
  <c r="R2" i="13"/>
  <c r="F32" i="12" l="1"/>
  <c r="E34" i="12"/>
  <c r="F33" i="12"/>
  <c r="F31" i="12"/>
  <c r="P3" i="10"/>
  <c r="M4" i="10" s="1"/>
  <c r="N3" i="10"/>
  <c r="J4" i="10" s="1"/>
  <c r="O3" i="10"/>
  <c r="K4" i="10" s="1"/>
  <c r="O4" i="10" l="1"/>
  <c r="K5" i="10" s="1"/>
  <c r="L4" i="10"/>
  <c r="P4" i="10" s="1"/>
  <c r="M5" i="10" s="1"/>
  <c r="Q3" i="10"/>
  <c r="N4" i="10" l="1"/>
  <c r="Q4" i="10" l="1"/>
  <c r="J5" i="10"/>
  <c r="L5" i="10"/>
  <c r="P5" i="10" s="1"/>
  <c r="M6" i="10" s="1"/>
  <c r="N5" i="10" l="1"/>
  <c r="J6" i="10" s="1"/>
  <c r="O5" i="10"/>
  <c r="K6" i="10" s="1"/>
  <c r="L6" i="10" l="1"/>
  <c r="P6" i="10" s="1"/>
  <c r="M7" i="10" s="1"/>
  <c r="O6" i="10"/>
  <c r="K7" i="10" s="1"/>
  <c r="Q5" i="10"/>
  <c r="N6" i="10" l="1"/>
  <c r="L7" i="10" s="1"/>
  <c r="P7" i="10" s="1"/>
  <c r="M8" i="10" s="1"/>
  <c r="J7" i="10"/>
  <c r="Q6" i="10"/>
  <c r="N7" i="10" l="1"/>
  <c r="J8" i="10" s="1"/>
  <c r="O7" i="10"/>
  <c r="K8" i="10" s="1"/>
  <c r="Q7" i="10" l="1"/>
  <c r="L8" i="10"/>
  <c r="P8" i="10" s="1"/>
  <c r="M9" i="10" s="1"/>
  <c r="O8" i="10"/>
  <c r="K9" i="10" s="1"/>
  <c r="N8" i="10" l="1"/>
  <c r="J9" i="10" s="1"/>
  <c r="L9" i="10" l="1"/>
  <c r="P9" i="10" s="1"/>
  <c r="M10" i="10" s="1"/>
  <c r="Q8" i="10"/>
  <c r="N9" i="10"/>
  <c r="J10" i="10" s="1"/>
  <c r="O9" i="10"/>
  <c r="K10" i="10" s="1"/>
  <c r="Q9" i="10" l="1"/>
  <c r="L10" i="10"/>
  <c r="P10" i="10" s="1"/>
  <c r="M11" i="10" s="1"/>
  <c r="N10" i="10" l="1"/>
  <c r="J11" i="10" s="1"/>
  <c r="L11" i="10"/>
  <c r="O10" i="10"/>
  <c r="K11" i="10" s="1"/>
  <c r="Q10" i="10" l="1"/>
  <c r="P11" i="10"/>
  <c r="M12" i="10" s="1"/>
  <c r="O11" i="10" l="1"/>
  <c r="K12" i="10" s="1"/>
  <c r="N11" i="10"/>
  <c r="J12" i="10" s="1"/>
  <c r="L12" i="10" l="1"/>
  <c r="P12" i="10" s="1"/>
  <c r="M13" i="10" s="1"/>
  <c r="O12" i="10"/>
  <c r="K13" i="10" s="1"/>
  <c r="Q11" i="10"/>
  <c r="N12" i="10" l="1"/>
  <c r="J13" i="10" s="1"/>
  <c r="L13" i="10" l="1"/>
  <c r="P13" i="10" s="1"/>
  <c r="M14" i="10" s="1"/>
  <c r="O13" i="10"/>
  <c r="K14" i="10" s="1"/>
  <c r="Q12" i="10"/>
  <c r="N13" i="10" l="1"/>
  <c r="J14" i="10" s="1"/>
  <c r="L14" i="10" l="1"/>
  <c r="O14" i="10"/>
  <c r="K15" i="10" s="1"/>
  <c r="Q13" i="10"/>
  <c r="P14" i="10"/>
  <c r="M15" i="10" s="1"/>
  <c r="N14" i="10" l="1"/>
  <c r="J15" i="10" s="1"/>
  <c r="Q14" i="10" l="1"/>
  <c r="O15" i="10"/>
  <c r="K16" i="10" s="1"/>
  <c r="L15" i="10"/>
  <c r="P15" i="10" s="1"/>
  <c r="M16" i="10" s="1"/>
  <c r="N15" i="10" l="1"/>
  <c r="J16" i="10" l="1"/>
  <c r="O16" i="10" s="1"/>
  <c r="K17" i="10" s="1"/>
  <c r="Q15" i="10"/>
  <c r="L16" i="10"/>
  <c r="P16" i="10" s="1"/>
  <c r="M17" i="10" s="1"/>
  <c r="N16" i="10" l="1"/>
  <c r="Q16" i="10" l="1"/>
  <c r="J17" i="10"/>
  <c r="L17" i="10"/>
  <c r="P17" i="10" s="1"/>
  <c r="M18" i="10" s="1"/>
  <c r="O17" i="10"/>
  <c r="K18" i="10" s="1"/>
  <c r="N17" i="10" l="1"/>
  <c r="Q17" i="10" l="1"/>
  <c r="J18" i="10"/>
  <c r="L18" i="10"/>
  <c r="P18" i="10" s="1"/>
  <c r="M19" i="10" s="1"/>
  <c r="N18" i="10" l="1"/>
  <c r="J19" i="10" s="1"/>
  <c r="O18" i="10"/>
  <c r="K19" i="10" s="1"/>
  <c r="L19" i="10" l="1"/>
  <c r="P19" i="10" s="1"/>
  <c r="M20" i="10" s="1"/>
  <c r="O19" i="10"/>
  <c r="K20" i="10" s="1"/>
  <c r="Q18" i="10"/>
  <c r="N19" i="10" l="1"/>
  <c r="Q19" i="10" l="1"/>
  <c r="J20" i="10"/>
  <c r="L20" i="10"/>
  <c r="P20" i="10" s="1"/>
  <c r="M21" i="10" s="1"/>
  <c r="O20" i="10"/>
  <c r="K21" i="10" s="1"/>
  <c r="N20" i="10" l="1"/>
  <c r="J21" i="10" s="1"/>
  <c r="O21" i="10" s="1"/>
  <c r="K22" i="10" s="1"/>
  <c r="Q20" i="10" l="1"/>
  <c r="L21" i="10"/>
  <c r="P21" i="10" l="1"/>
  <c r="M22" i="10" s="1"/>
  <c r="N21" i="10"/>
  <c r="J22" i="10" s="1"/>
  <c r="O22" i="10" s="1"/>
  <c r="K23" i="10" s="1"/>
  <c r="L22" i="10" l="1"/>
  <c r="P22" i="10" s="1"/>
  <c r="Q21" i="10"/>
  <c r="N22" i="10" l="1"/>
  <c r="J23" i="10" s="1"/>
  <c r="M23" i="10"/>
  <c r="O23" i="10" s="1"/>
  <c r="K24" i="10" s="1"/>
  <c r="L23" i="10" l="1"/>
  <c r="P23" i="10" s="1"/>
  <c r="M24" i="10" s="1"/>
  <c r="Q22" i="10"/>
  <c r="N23" i="10" l="1"/>
  <c r="J24" i="10" s="1"/>
  <c r="O24" i="10" s="1"/>
  <c r="K25" i="10" s="1"/>
  <c r="Q23" i="10"/>
  <c r="L24" i="10"/>
  <c r="P24" i="10" l="1"/>
  <c r="M25" i="10" s="1"/>
  <c r="N24" i="10"/>
  <c r="J25" i="10" s="1"/>
  <c r="O25" i="10" l="1"/>
  <c r="K26" i="10" s="1"/>
  <c r="Q24" i="10"/>
  <c r="L25" i="10"/>
  <c r="P25" i="10" l="1"/>
  <c r="M26" i="10" s="1"/>
  <c r="N25" i="10"/>
  <c r="J26" i="10" s="1"/>
  <c r="O26" i="10" l="1"/>
  <c r="K27" i="10" s="1"/>
  <c r="L26" i="10"/>
  <c r="Q25" i="10"/>
  <c r="P26" i="10" l="1"/>
  <c r="N26" i="10"/>
  <c r="J27" i="10" s="1"/>
  <c r="Q26" i="10" l="1"/>
  <c r="L27" i="10"/>
  <c r="N27" i="10" s="1"/>
  <c r="M27" i="10"/>
  <c r="O27" i="10" s="1"/>
  <c r="L28" i="10" l="1"/>
  <c r="J28" i="10"/>
  <c r="K28" i="10"/>
  <c r="P27" i="10"/>
  <c r="M28" i="10" s="1"/>
  <c r="N28" i="10"/>
  <c r="J29" i="10" s="1"/>
  <c r="O28" i="10" l="1"/>
  <c r="K29" i="10" s="1"/>
  <c r="Q27" i="10"/>
  <c r="P28" i="10"/>
  <c r="M29" i="10" s="1"/>
  <c r="L29" i="10"/>
  <c r="O29" i="10"/>
  <c r="K30" i="10" s="1"/>
  <c r="Q28" i="10"/>
  <c r="P29" i="10" l="1"/>
  <c r="M30" i="10" s="1"/>
  <c r="N29" i="10"/>
  <c r="J30" i="10" s="1"/>
  <c r="L30" i="10" l="1"/>
  <c r="P30" i="10" s="1"/>
  <c r="M31" i="10" s="1"/>
  <c r="O30" i="10"/>
  <c r="K31" i="10" s="1"/>
  <c r="Q29" i="10"/>
  <c r="N30" i="10" l="1"/>
  <c r="J31" i="10" s="1"/>
  <c r="L31" i="10" l="1"/>
  <c r="P31" i="10" s="1"/>
  <c r="M32" i="10" s="1"/>
  <c r="O31" i="10"/>
  <c r="K32" i="10" s="1"/>
  <c r="Q30" i="10"/>
  <c r="N31" i="10" l="1"/>
  <c r="J32" i="10" s="1"/>
  <c r="L32" i="10" l="1"/>
  <c r="P32" i="10" s="1"/>
  <c r="M33" i="10" s="1"/>
  <c r="O32" i="10"/>
  <c r="K33" i="10" s="1"/>
  <c r="Q31" i="10"/>
  <c r="N32" i="10" l="1"/>
  <c r="J33" i="10" s="1"/>
  <c r="L33" i="10" l="1"/>
  <c r="P33" i="10" s="1"/>
  <c r="M34" i="10" s="1"/>
  <c r="O33" i="10"/>
  <c r="K34" i="10" s="1"/>
  <c r="Q32" i="10"/>
  <c r="N33" i="10" l="1"/>
  <c r="J34" i="10" s="1"/>
  <c r="L34" i="10" l="1"/>
  <c r="P34" i="10" s="1"/>
  <c r="M35" i="10" s="1"/>
  <c r="Q33" i="10"/>
  <c r="N34" i="10" l="1"/>
  <c r="J35" i="10" s="1"/>
  <c r="O34" i="10"/>
  <c r="K35" i="10" s="1"/>
  <c r="L35" i="10" l="1"/>
  <c r="P35" i="10" s="1"/>
  <c r="M36" i="10" s="1"/>
  <c r="O35" i="10"/>
  <c r="K36" i="10" s="1"/>
  <c r="Q34" i="10"/>
  <c r="N35" i="10" l="1"/>
  <c r="J36" i="10" s="1"/>
  <c r="Q35" i="10"/>
  <c r="L36" i="10" l="1"/>
  <c r="P36" i="10" s="1"/>
  <c r="M37" i="10" s="1"/>
  <c r="O36" i="10"/>
  <c r="K37" i="10" s="1"/>
  <c r="N36" i="10" l="1"/>
  <c r="J37" i="10" s="1"/>
  <c r="O37" i="10" s="1"/>
  <c r="K38" i="10" s="1"/>
  <c r="Q36" i="10" l="1"/>
  <c r="L37" i="10"/>
  <c r="P37" i="10" s="1"/>
  <c r="M38" i="10" s="1"/>
  <c r="N37" i="10"/>
  <c r="J38" i="10" s="1"/>
  <c r="L38" i="10" l="1"/>
  <c r="P38" i="10" s="1"/>
  <c r="M39" i="10" s="1"/>
  <c r="O38" i="10"/>
  <c r="K39" i="10" s="1"/>
  <c r="Q37" i="10"/>
  <c r="N38" i="10" l="1"/>
  <c r="J39" i="10" s="1"/>
  <c r="L39" i="10" l="1"/>
  <c r="O39" i="10"/>
  <c r="K40" i="10" s="1"/>
  <c r="P39" i="10"/>
  <c r="M40" i="10" s="1"/>
  <c r="Q38" i="10"/>
  <c r="N39" i="10" l="1"/>
  <c r="J40" i="10" s="1"/>
  <c r="L40" i="10" l="1"/>
  <c r="P40" i="10" s="1"/>
  <c r="M41" i="10" s="1"/>
  <c r="O40" i="10"/>
  <c r="K41" i="10" s="1"/>
  <c r="Q39" i="10"/>
  <c r="N40" i="10" l="1"/>
  <c r="J41" i="10" s="1"/>
  <c r="L41" i="10" l="1"/>
  <c r="P41" i="10" s="1"/>
  <c r="M42" i="10" s="1"/>
  <c r="O41" i="10"/>
  <c r="K42" i="10" s="1"/>
  <c r="Q40" i="10"/>
  <c r="N41" i="10" l="1"/>
  <c r="J42" i="10" s="1"/>
  <c r="L42" i="10" l="1"/>
  <c r="P42" i="10" s="1"/>
  <c r="M43" i="10" s="1"/>
  <c r="O42" i="10"/>
  <c r="K43" i="10" s="1"/>
  <c r="Q41" i="10"/>
  <c r="N42" i="10" l="1"/>
  <c r="J43" i="10" s="1"/>
  <c r="L43" i="10" l="1"/>
  <c r="P43" i="10" s="1"/>
  <c r="M44" i="10" s="1"/>
  <c r="O43" i="10"/>
  <c r="K44" i="10" s="1"/>
  <c r="Q42" i="10"/>
  <c r="N43" i="10" l="1"/>
  <c r="J44" i="10" s="1"/>
  <c r="L44" i="10" l="1"/>
  <c r="P44" i="10" s="1"/>
  <c r="M45" i="10" s="1"/>
  <c r="Q43" i="10"/>
  <c r="N44" i="10" l="1"/>
  <c r="J45" i="10" s="1"/>
  <c r="O44" i="10"/>
  <c r="K45" i="10" s="1"/>
  <c r="L45" i="10" l="1"/>
  <c r="P45" i="10" s="1"/>
  <c r="M46" i="10" s="1"/>
  <c r="Q44" i="10"/>
  <c r="O45" i="10" l="1"/>
  <c r="K46" i="10" s="1"/>
  <c r="N45" i="10"/>
  <c r="J46" i="10" s="1"/>
  <c r="L46" i="10" l="1"/>
  <c r="P46" i="10" s="1"/>
  <c r="M47" i="10" s="1"/>
  <c r="O46" i="10"/>
  <c r="K47" i="10" s="1"/>
  <c r="Q45" i="10"/>
  <c r="N46" i="10" l="1"/>
  <c r="J47" i="10" s="1"/>
  <c r="L47" i="10" l="1"/>
  <c r="P47" i="10" s="1"/>
  <c r="M48" i="10" s="1"/>
  <c r="O47" i="10"/>
  <c r="K48" i="10" s="1"/>
  <c r="Q46" i="10"/>
  <c r="N47" i="10" l="1"/>
  <c r="J48" i="10" s="1"/>
  <c r="L48" i="10" l="1"/>
  <c r="O48" i="10"/>
  <c r="K49" i="10" s="1"/>
  <c r="Q47" i="10"/>
  <c r="P48" i="10"/>
  <c r="M49" i="10" s="1"/>
  <c r="N48" i="10" l="1"/>
  <c r="J49" i="10" s="1"/>
  <c r="L49" i="10" l="1"/>
  <c r="P49" i="10" s="1"/>
  <c r="M50" i="10" s="1"/>
  <c r="O49" i="10"/>
  <c r="K50" i="10" s="1"/>
  <c r="Q48" i="10"/>
  <c r="N49" i="10" l="1"/>
  <c r="J50" i="10" s="1"/>
  <c r="L50" i="10" l="1"/>
  <c r="P50" i="10" s="1"/>
  <c r="M51" i="10" s="1"/>
  <c r="O50" i="10"/>
  <c r="K51" i="10" s="1"/>
  <c r="Q49" i="10"/>
  <c r="N50" i="10" l="1"/>
  <c r="J51" i="10" s="1"/>
  <c r="L51" i="10" l="1"/>
  <c r="P51" i="10" s="1"/>
  <c r="M52" i="10" s="1"/>
  <c r="O51" i="10"/>
  <c r="K52" i="10" s="1"/>
  <c r="Q50" i="10"/>
  <c r="N51" i="10" l="1"/>
  <c r="J52" i="10" s="1"/>
  <c r="L52" i="10" l="1"/>
  <c r="O52" i="10"/>
  <c r="K53" i="10" s="1"/>
  <c r="Q51" i="10"/>
  <c r="P52" i="10"/>
  <c r="M53" i="10" s="1"/>
  <c r="N52" i="10" l="1"/>
  <c r="J53" i="10" s="1"/>
  <c r="L53" i="10" l="1"/>
  <c r="P53" i="10" s="1"/>
  <c r="M54" i="10" s="1"/>
  <c r="O53" i="10"/>
  <c r="K54" i="10" s="1"/>
  <c r="Q52" i="10"/>
  <c r="N53" i="10" l="1"/>
  <c r="J54" i="10" s="1"/>
  <c r="L54" i="10" l="1"/>
  <c r="P54" i="10" s="1"/>
  <c r="M55" i="10" s="1"/>
  <c r="O54" i="10"/>
  <c r="K55" i="10" s="1"/>
  <c r="Q53" i="10"/>
  <c r="N54" i="10" l="1"/>
  <c r="J55" i="10" s="1"/>
  <c r="L55" i="10" l="1"/>
  <c r="P55" i="10" s="1"/>
  <c r="M56" i="10" s="1"/>
  <c r="Q54" i="10"/>
  <c r="O55" i="10" l="1"/>
  <c r="K56" i="10" s="1"/>
  <c r="N55" i="10"/>
  <c r="J56" i="10" s="1"/>
  <c r="L56" i="10" l="1"/>
  <c r="P56" i="10" s="1"/>
  <c r="M57" i="10" s="1"/>
  <c r="O56" i="10"/>
  <c r="K57" i="10" s="1"/>
  <c r="Q55" i="10"/>
  <c r="N56" i="10" l="1"/>
  <c r="J57" i="10" s="1"/>
  <c r="L57" i="10" l="1"/>
  <c r="O57" i="10"/>
  <c r="K58" i="10" s="1"/>
  <c r="Q56" i="10"/>
  <c r="P57" i="10"/>
  <c r="M58" i="10" s="1"/>
  <c r="N57" i="10" l="1"/>
  <c r="J58" i="10" s="1"/>
  <c r="L58" i="10" l="1"/>
  <c r="P58" i="10" s="1"/>
  <c r="M59" i="10" s="1"/>
  <c r="O58" i="10"/>
  <c r="K59" i="10" s="1"/>
  <c r="Q57" i="10"/>
  <c r="N58" i="10" l="1"/>
  <c r="J59" i="10" s="1"/>
  <c r="L59" i="10" l="1"/>
  <c r="O59" i="10"/>
  <c r="K60" i="10" s="1"/>
  <c r="P59" i="10"/>
  <c r="M60" i="10" s="1"/>
  <c r="Q58" i="10"/>
  <c r="N59" i="10" l="1"/>
  <c r="J60" i="10" s="1"/>
  <c r="L60" i="10" l="1"/>
  <c r="P60" i="10" s="1"/>
  <c r="M61" i="10" s="1"/>
  <c r="Q59" i="10"/>
  <c r="N60" i="10" l="1"/>
  <c r="O60" i="10"/>
  <c r="K61" i="10" s="1"/>
  <c r="L61" i="10" l="1"/>
  <c r="P61" i="10" s="1"/>
  <c r="M62" i="10" s="1"/>
  <c r="J61" i="10"/>
  <c r="O61" i="10" s="1"/>
  <c r="K62" i="10" s="1"/>
  <c r="Q60" i="10"/>
  <c r="N61" i="10" l="1"/>
  <c r="L62" i="10" s="1"/>
  <c r="P62" i="10" s="1"/>
  <c r="M63" i="10" s="1"/>
  <c r="J62" i="10"/>
  <c r="Q61" i="10"/>
  <c r="O62" i="10" l="1"/>
  <c r="K63" i="10" s="1"/>
  <c r="N62" i="10"/>
  <c r="J63" i="10" s="1"/>
  <c r="L63" i="10" l="1"/>
  <c r="P63" i="10" s="1"/>
  <c r="M64" i="10" s="1"/>
  <c r="O63" i="10"/>
  <c r="K64" i="10" s="1"/>
  <c r="Q62" i="10"/>
  <c r="N63" i="10" l="1"/>
  <c r="J64" i="10" s="1"/>
  <c r="L64" i="10" l="1"/>
  <c r="P64" i="10" s="1"/>
  <c r="M65" i="10" s="1"/>
  <c r="O64" i="10"/>
  <c r="K65" i="10" s="1"/>
  <c r="Q63" i="10"/>
  <c r="N64" i="10" l="1"/>
  <c r="J65" i="10" s="1"/>
  <c r="L65" i="10" l="1"/>
  <c r="P65" i="10" s="1"/>
  <c r="M66" i="10" s="1"/>
  <c r="O65" i="10"/>
  <c r="K66" i="10" s="1"/>
  <c r="Q64" i="10"/>
  <c r="N65" i="10" l="1"/>
  <c r="J66" i="10" s="1"/>
  <c r="L66" i="10" l="1"/>
  <c r="P66" i="10" s="1"/>
  <c r="M67" i="10" s="1"/>
  <c r="O66" i="10"/>
  <c r="K67" i="10" s="1"/>
  <c r="Q65" i="10"/>
  <c r="N66" i="10" l="1"/>
  <c r="J67" i="10" s="1"/>
  <c r="L67" i="10" l="1"/>
  <c r="P67" i="10" s="1"/>
  <c r="M68" i="10" s="1"/>
  <c r="O67" i="10"/>
  <c r="K68" i="10" s="1"/>
  <c r="Q66" i="10"/>
  <c r="N67" i="10" l="1"/>
  <c r="J68" i="10" s="1"/>
  <c r="L68" i="10" l="1"/>
  <c r="P68" i="10" s="1"/>
  <c r="M69" i="10" s="1"/>
  <c r="O68" i="10"/>
  <c r="K69" i="10" s="1"/>
  <c r="Q67" i="10"/>
  <c r="N68" i="10" l="1"/>
  <c r="J69" i="10" s="1"/>
  <c r="L69" i="10" l="1"/>
  <c r="P69" i="10" s="1"/>
  <c r="M70" i="10" s="1"/>
  <c r="O69" i="10"/>
  <c r="K70" i="10" s="1"/>
  <c r="Q68" i="10"/>
  <c r="N69" i="10" l="1"/>
  <c r="J70" i="10" s="1"/>
  <c r="L70" i="10" l="1"/>
  <c r="O70" i="10"/>
  <c r="K71" i="10" s="1"/>
  <c r="P70" i="10"/>
  <c r="M71" i="10" s="1"/>
  <c r="Q69" i="10"/>
  <c r="N70" i="10" l="1"/>
  <c r="J71" i="10" s="1"/>
  <c r="L71" i="10" l="1"/>
  <c r="P71" i="10" s="1"/>
  <c r="M72" i="10" s="1"/>
  <c r="O71" i="10"/>
  <c r="K72" i="10" s="1"/>
  <c r="Q70" i="10"/>
  <c r="N71" i="10" l="1"/>
  <c r="J72" i="10" s="1"/>
  <c r="L72" i="10" l="1"/>
  <c r="O72" i="10"/>
  <c r="K73" i="10" s="1"/>
  <c r="P72" i="10"/>
  <c r="M73" i="10" s="1"/>
  <c r="Q71" i="10"/>
  <c r="N72" i="10" l="1"/>
  <c r="J73" i="10" s="1"/>
  <c r="L73" i="10" l="1"/>
  <c r="P73" i="10" s="1"/>
  <c r="M74" i="10" s="1"/>
  <c r="O73" i="10"/>
  <c r="K74" i="10" s="1"/>
  <c r="Q72" i="10"/>
  <c r="N73" i="10" l="1"/>
  <c r="J74" i="10" s="1"/>
  <c r="L74" i="10" l="1"/>
  <c r="P74" i="10" s="1"/>
  <c r="M75" i="10" s="1"/>
  <c r="O74" i="10"/>
  <c r="K75" i="10" s="1"/>
  <c r="Q73" i="10"/>
  <c r="N74" i="10" l="1"/>
  <c r="J75" i="10" s="1"/>
  <c r="L75" i="10" l="1"/>
  <c r="P75" i="10" s="1"/>
  <c r="M76" i="10" s="1"/>
  <c r="O75" i="10"/>
  <c r="K76" i="10" s="1"/>
  <c r="Q74" i="10"/>
  <c r="N75" i="10" l="1"/>
  <c r="J76" i="10" s="1"/>
  <c r="L76" i="10" l="1"/>
  <c r="P76" i="10" s="1"/>
  <c r="M77" i="10" s="1"/>
  <c r="O76" i="10"/>
  <c r="K77" i="10" s="1"/>
  <c r="Q75" i="10"/>
  <c r="N76" i="10" l="1"/>
  <c r="J77" i="10" s="1"/>
  <c r="L77" i="10" l="1"/>
  <c r="P77" i="10" s="1"/>
  <c r="M78" i="10" s="1"/>
  <c r="O77" i="10"/>
  <c r="K78" i="10" s="1"/>
  <c r="Q76" i="10"/>
  <c r="N77" i="10" l="1"/>
  <c r="J78" i="10" s="1"/>
  <c r="L78" i="10" l="1"/>
  <c r="P78" i="10" s="1"/>
  <c r="M79" i="10" s="1"/>
  <c r="O78" i="10"/>
  <c r="K79" i="10" s="1"/>
  <c r="Q77" i="10"/>
  <c r="N78" i="10" l="1"/>
  <c r="J79" i="10" s="1"/>
  <c r="L79" i="10" l="1"/>
  <c r="P79" i="10" s="1"/>
  <c r="M80" i="10" s="1"/>
  <c r="O79" i="10"/>
  <c r="K80" i="10" s="1"/>
  <c r="Q78" i="10"/>
  <c r="N79" i="10" l="1"/>
  <c r="J80" i="10" s="1"/>
  <c r="L80" i="10" l="1"/>
  <c r="O80" i="10"/>
  <c r="K81" i="10" s="1"/>
  <c r="P80" i="10"/>
  <c r="M81" i="10" s="1"/>
  <c r="Q79" i="10"/>
  <c r="N80" i="10" l="1"/>
  <c r="J81" i="10" s="1"/>
  <c r="L81" i="10" l="1"/>
  <c r="P81" i="10" s="1"/>
  <c r="M82" i="10" s="1"/>
  <c r="O81" i="10"/>
  <c r="K82" i="10" s="1"/>
  <c r="Q80" i="10"/>
  <c r="N81" i="10" l="1"/>
  <c r="J82" i="10" s="1"/>
  <c r="L82" i="10" l="1"/>
  <c r="O82" i="10"/>
  <c r="K83" i="10" s="1"/>
  <c r="P82" i="10"/>
  <c r="M83" i="10" s="1"/>
  <c r="Q81" i="10"/>
  <c r="N82" i="10" l="1"/>
  <c r="J83" i="10" s="1"/>
  <c r="L83" i="10" l="1"/>
  <c r="P83" i="10" s="1"/>
  <c r="M84" i="10" s="1"/>
  <c r="O83" i="10"/>
  <c r="K84" i="10" s="1"/>
  <c r="Q82" i="10"/>
  <c r="N83" i="10" l="1"/>
  <c r="J84" i="10" s="1"/>
  <c r="L84" i="10" l="1"/>
  <c r="O84" i="10"/>
  <c r="K85" i="10" s="1"/>
  <c r="P84" i="10"/>
  <c r="M85" i="10" s="1"/>
  <c r="Q83" i="10"/>
  <c r="N84" i="10" l="1"/>
  <c r="J85" i="10" s="1"/>
  <c r="L85" i="10" l="1"/>
  <c r="P85" i="10" s="1"/>
  <c r="M86" i="10" s="1"/>
  <c r="O85" i="10"/>
  <c r="K86" i="10" s="1"/>
  <c r="Q84" i="10"/>
  <c r="N85" i="10" l="1"/>
  <c r="J86" i="10" s="1"/>
  <c r="L86" i="10" l="1"/>
  <c r="O86" i="10"/>
  <c r="K87" i="10" s="1"/>
  <c r="P86" i="10"/>
  <c r="M87" i="10" s="1"/>
  <c r="Q85" i="10"/>
  <c r="N86" i="10" l="1"/>
  <c r="J87" i="10" s="1"/>
  <c r="L87" i="10" l="1"/>
  <c r="P87" i="10" s="1"/>
  <c r="M88" i="10" s="1"/>
  <c r="O87" i="10"/>
  <c r="K88" i="10" s="1"/>
  <c r="Q86" i="10"/>
  <c r="N87" i="10" l="1"/>
  <c r="J88" i="10" s="1"/>
  <c r="L88" i="10" l="1"/>
  <c r="P88" i="10" s="1"/>
  <c r="M89" i="10" s="1"/>
  <c r="O88" i="10"/>
  <c r="K89" i="10" s="1"/>
  <c r="Q87" i="10"/>
  <c r="N88" i="10" l="1"/>
  <c r="J89" i="10" s="1"/>
  <c r="L89" i="10" l="1"/>
  <c r="P89" i="10" s="1"/>
  <c r="M90" i="10" s="1"/>
  <c r="O89" i="10"/>
  <c r="K90" i="10" s="1"/>
  <c r="Q88" i="10"/>
  <c r="N89" i="10" l="1"/>
  <c r="J90" i="10" s="1"/>
  <c r="L90" i="10" l="1"/>
  <c r="P90" i="10" s="1"/>
  <c r="M91" i="10" s="1"/>
  <c r="O90" i="10"/>
  <c r="K91" i="10" s="1"/>
  <c r="Q89" i="10"/>
  <c r="N90" i="10" l="1"/>
  <c r="J91" i="10" s="1"/>
  <c r="L91" i="10" l="1"/>
  <c r="P91" i="10" s="1"/>
  <c r="M92" i="10" s="1"/>
  <c r="O91" i="10"/>
  <c r="K92" i="10" s="1"/>
  <c r="Q90" i="10"/>
  <c r="N91" i="10" l="1"/>
  <c r="J92" i="10" s="1"/>
  <c r="L92" i="10" l="1"/>
  <c r="P92" i="10" s="1"/>
  <c r="M93" i="10" s="1"/>
  <c r="O92" i="10"/>
  <c r="K93" i="10" s="1"/>
  <c r="Q91" i="10"/>
  <c r="N92" i="10" l="1"/>
  <c r="J93" i="10" s="1"/>
  <c r="L93" i="10" l="1"/>
  <c r="P93" i="10" s="1"/>
  <c r="M94" i="10" s="1"/>
  <c r="O93" i="10"/>
  <c r="K94" i="10" s="1"/>
  <c r="Q92" i="10"/>
  <c r="N93" i="10" l="1"/>
  <c r="J94" i="10" s="1"/>
  <c r="L94" i="10" l="1"/>
  <c r="P94" i="10" s="1"/>
  <c r="M95" i="10" s="1"/>
  <c r="O94" i="10"/>
  <c r="K95" i="10" s="1"/>
  <c r="Q93" i="10"/>
  <c r="N94" i="10" l="1"/>
  <c r="J95" i="10" s="1"/>
  <c r="L95" i="10" l="1"/>
  <c r="O95" i="10"/>
  <c r="K96" i="10" s="1"/>
  <c r="P95" i="10"/>
  <c r="M96" i="10" s="1"/>
  <c r="Q94" i="10"/>
  <c r="N95" i="10" l="1"/>
  <c r="J96" i="10" s="1"/>
  <c r="L96" i="10" l="1"/>
  <c r="P96" i="10" s="1"/>
  <c r="M97" i="10" s="1"/>
  <c r="O96" i="10"/>
  <c r="K97" i="10" s="1"/>
  <c r="Q95" i="10"/>
  <c r="N96" i="10" l="1"/>
  <c r="J97" i="10" s="1"/>
  <c r="L97" i="10" l="1"/>
  <c r="O97" i="10"/>
  <c r="K98" i="10" s="1"/>
  <c r="Q96" i="10"/>
  <c r="P97" i="10"/>
  <c r="M98" i="10" s="1"/>
  <c r="N97" i="10" l="1"/>
  <c r="J98" i="10" s="1"/>
  <c r="L98" i="10" l="1"/>
  <c r="O98" i="10"/>
  <c r="K99" i="10" s="1"/>
  <c r="Q97" i="10"/>
  <c r="P98" i="10"/>
  <c r="M99" i="10" s="1"/>
  <c r="N98" i="10" l="1"/>
  <c r="J99" i="10" s="1"/>
  <c r="L99" i="10" l="1"/>
  <c r="O99" i="10"/>
  <c r="K100" i="10" s="1"/>
  <c r="P99" i="10"/>
  <c r="M100" i="10" s="1"/>
  <c r="Q98" i="10"/>
  <c r="N99" i="10" l="1"/>
  <c r="J100" i="10" s="1"/>
  <c r="L100" i="10" l="1"/>
  <c r="O100" i="10"/>
  <c r="K101" i="10" s="1"/>
  <c r="P100" i="10"/>
  <c r="M101" i="10" s="1"/>
  <c r="Q99" i="10"/>
  <c r="N100" i="10" l="1"/>
  <c r="J101" i="10" s="1"/>
  <c r="L101" i="10" l="1"/>
  <c r="P101" i="10" s="1"/>
  <c r="M102" i="10" s="1"/>
  <c r="O101" i="10"/>
  <c r="K102" i="10" s="1"/>
  <c r="Q100" i="10"/>
  <c r="N101" i="10" l="1"/>
  <c r="J102" i="10" s="1"/>
  <c r="L102" i="10" l="1"/>
  <c r="O102" i="10"/>
  <c r="K103" i="10" s="1"/>
  <c r="Q101" i="10"/>
  <c r="P102" i="10"/>
  <c r="M103" i="10" s="1"/>
  <c r="N102" i="10" l="1"/>
  <c r="J103" i="10" s="1"/>
  <c r="L103" i="10" l="1"/>
  <c r="P103" i="10" s="1"/>
  <c r="M104" i="10" s="1"/>
  <c r="O103" i="10"/>
  <c r="K104" i="10" s="1"/>
  <c r="Q102" i="10"/>
  <c r="N103" i="10" l="1"/>
  <c r="J104" i="10" s="1"/>
  <c r="L104" i="10" l="1"/>
  <c r="P104" i="10" s="1"/>
  <c r="M105" i="10" s="1"/>
  <c r="O104" i="10"/>
  <c r="K105" i="10" s="1"/>
  <c r="Q103" i="10"/>
  <c r="N104" i="10" l="1"/>
  <c r="J105" i="10" s="1"/>
  <c r="L105" i="10" l="1"/>
  <c r="P105" i="10" s="1"/>
  <c r="M106" i="10" s="1"/>
  <c r="O105" i="10"/>
  <c r="K106" i="10" s="1"/>
  <c r="Q104" i="10"/>
  <c r="N105" i="10" l="1"/>
  <c r="J106" i="10" s="1"/>
  <c r="L106" i="10" l="1"/>
  <c r="P106" i="10" s="1"/>
  <c r="M107" i="10" s="1"/>
  <c r="O106" i="10"/>
  <c r="K107" i="10" s="1"/>
  <c r="Q105" i="10"/>
  <c r="N106" i="10" l="1"/>
  <c r="J107" i="10" s="1"/>
  <c r="L107" i="10" l="1"/>
  <c r="O107" i="10"/>
  <c r="K108" i="10" s="1"/>
  <c r="Q106" i="10"/>
  <c r="P107" i="10"/>
  <c r="M108" i="10" s="1"/>
  <c r="N107" i="10" l="1"/>
  <c r="J108" i="10" s="1"/>
  <c r="L108" i="10" l="1"/>
  <c r="P108" i="10" s="1"/>
  <c r="M109" i="10" s="1"/>
  <c r="O108" i="10"/>
  <c r="K109" i="10" s="1"/>
  <c r="Q107" i="10"/>
  <c r="N108" i="10" l="1"/>
  <c r="J109" i="10" s="1"/>
  <c r="L109" i="10" l="1"/>
  <c r="P109" i="10" s="1"/>
  <c r="M110" i="10" s="1"/>
  <c r="O109" i="10"/>
  <c r="K110" i="10" s="1"/>
  <c r="Q108" i="10"/>
  <c r="N109" i="10" l="1"/>
  <c r="J110" i="10" s="1"/>
  <c r="L110" i="10" l="1"/>
  <c r="P110" i="10" s="1"/>
  <c r="M111" i="10" s="1"/>
  <c r="O110" i="10"/>
  <c r="K111" i="10" s="1"/>
  <c r="Q109" i="10"/>
  <c r="N110" i="10" l="1"/>
  <c r="J111" i="10" s="1"/>
  <c r="L111" i="10" l="1"/>
  <c r="O111" i="10"/>
  <c r="K112" i="10" s="1"/>
  <c r="Q110" i="10"/>
  <c r="P111" i="10"/>
  <c r="M112" i="10" s="1"/>
  <c r="N111" i="10" l="1"/>
  <c r="J112" i="10" s="1"/>
  <c r="L112" i="10" l="1"/>
  <c r="P112" i="10" s="1"/>
  <c r="M113" i="10" s="1"/>
  <c r="O112" i="10"/>
  <c r="K113" i="10" s="1"/>
  <c r="Q111" i="10"/>
  <c r="N112" i="10" l="1"/>
  <c r="J113" i="10" s="1"/>
  <c r="L113" i="10" l="1"/>
  <c r="O113" i="10"/>
  <c r="K114" i="10" s="1"/>
  <c r="P113" i="10"/>
  <c r="M114" i="10" s="1"/>
  <c r="Q112" i="10"/>
  <c r="N113" i="10" l="1"/>
  <c r="J114" i="10" s="1"/>
  <c r="L114" i="10" l="1"/>
  <c r="P114" i="10" s="1"/>
  <c r="M115" i="10" s="1"/>
  <c r="O114" i="10"/>
  <c r="K115" i="10" s="1"/>
  <c r="Q113" i="10"/>
  <c r="N114" i="10" l="1"/>
  <c r="J115" i="10" s="1"/>
  <c r="L115" i="10" l="1"/>
  <c r="P115" i="10" s="1"/>
  <c r="M116" i="10" s="1"/>
  <c r="O115" i="10"/>
  <c r="K116" i="10" s="1"/>
  <c r="Q114" i="10"/>
  <c r="N115" i="10" l="1"/>
  <c r="J116" i="10" s="1"/>
  <c r="L116" i="10" l="1"/>
  <c r="P116" i="10" s="1"/>
  <c r="M117" i="10" s="1"/>
  <c r="O116" i="10"/>
  <c r="K117" i="10" s="1"/>
  <c r="Q115" i="10"/>
  <c r="N116" i="10" l="1"/>
  <c r="J117" i="10" s="1"/>
  <c r="L117" i="10" l="1"/>
  <c r="P117" i="10" s="1"/>
  <c r="M118" i="10" s="1"/>
  <c r="O117" i="10"/>
  <c r="K118" i="10" s="1"/>
  <c r="Q116" i="10"/>
  <c r="N117" i="10" l="1"/>
  <c r="J118" i="10" s="1"/>
  <c r="L118" i="10" l="1"/>
  <c r="O118" i="10"/>
  <c r="K119" i="10" s="1"/>
  <c r="P118" i="10"/>
  <c r="M119" i="10" s="1"/>
  <c r="Q117" i="10"/>
  <c r="N118" i="10" l="1"/>
  <c r="J119" i="10" s="1"/>
  <c r="L119" i="10" l="1"/>
  <c r="P119" i="10" s="1"/>
  <c r="M120" i="10" s="1"/>
  <c r="O119" i="10"/>
  <c r="K120" i="10" s="1"/>
  <c r="Q118" i="10"/>
  <c r="N119" i="10" l="1"/>
  <c r="J120" i="10" s="1"/>
  <c r="L120" i="10" l="1"/>
  <c r="P120" i="10" s="1"/>
  <c r="M121" i="10" s="1"/>
  <c r="Q119" i="10"/>
  <c r="N120" i="10" l="1"/>
  <c r="O120" i="10"/>
  <c r="K121" i="10" s="1"/>
  <c r="L121" i="10" l="1"/>
  <c r="P121" i="10" s="1"/>
  <c r="M122" i="10" s="1"/>
  <c r="J121" i="10"/>
  <c r="Q120" i="10"/>
  <c r="O121" i="10" l="1"/>
  <c r="K122" i="10" s="1"/>
  <c r="N121" i="10"/>
  <c r="J122" i="10" s="1"/>
  <c r="L122" i="10" l="1"/>
  <c r="P122" i="10" s="1"/>
  <c r="M123" i="10" s="1"/>
  <c r="O122" i="10"/>
  <c r="K123" i="10" s="1"/>
  <c r="Q121" i="10"/>
  <c r="N122" i="10" l="1"/>
  <c r="J123" i="10" s="1"/>
  <c r="L123" i="10" l="1"/>
  <c r="O123" i="10"/>
  <c r="K124" i="10" s="1"/>
  <c r="P123" i="10"/>
  <c r="M124" i="10" s="1"/>
  <c r="Q122" i="10"/>
  <c r="N123" i="10" l="1"/>
  <c r="J124" i="10" s="1"/>
  <c r="L124" i="10" l="1"/>
  <c r="O124" i="10"/>
  <c r="K125" i="10" s="1"/>
  <c r="P124" i="10"/>
  <c r="M125" i="10" s="1"/>
  <c r="Q123" i="10"/>
  <c r="N124" i="10" l="1"/>
  <c r="J125" i="10" s="1"/>
  <c r="L125" i="10" l="1"/>
  <c r="P125" i="10" s="1"/>
  <c r="M126" i="10" s="1"/>
  <c r="O125" i="10"/>
  <c r="K126" i="10" s="1"/>
  <c r="Q124" i="10"/>
  <c r="N125" i="10" l="1"/>
  <c r="J126" i="10" s="1"/>
  <c r="L126" i="10" l="1"/>
  <c r="P126" i="10" s="1"/>
  <c r="M127" i="10" s="1"/>
  <c r="O126" i="10"/>
  <c r="K127" i="10" s="1"/>
  <c r="Q125" i="10"/>
  <c r="N126" i="10" l="1"/>
  <c r="J127" i="10" s="1"/>
  <c r="L127" i="10" l="1"/>
  <c r="P127" i="10" s="1"/>
  <c r="M128" i="10" s="1"/>
  <c r="O127" i="10"/>
  <c r="K128" i="10" s="1"/>
  <c r="Q126" i="10"/>
  <c r="N127" i="10" l="1"/>
  <c r="J128" i="10" s="1"/>
  <c r="L128" i="10" l="1"/>
  <c r="P128" i="10" s="1"/>
  <c r="M129" i="10" s="1"/>
  <c r="O128" i="10"/>
  <c r="K129" i="10" s="1"/>
  <c r="Q127" i="10"/>
  <c r="N128" i="10" l="1"/>
  <c r="J129" i="10" s="1"/>
  <c r="L129" i="10" l="1"/>
  <c r="P129" i="10" s="1"/>
  <c r="M130" i="10" s="1"/>
  <c r="O129" i="10"/>
  <c r="K130" i="10" s="1"/>
  <c r="Q128" i="10"/>
  <c r="N129" i="10" l="1"/>
  <c r="J130" i="10" s="1"/>
  <c r="L130" i="10" l="1"/>
  <c r="P130" i="10" s="1"/>
  <c r="M131" i="10" s="1"/>
  <c r="O130" i="10"/>
  <c r="K131" i="10" s="1"/>
  <c r="Q129" i="10"/>
  <c r="N130" i="10" l="1"/>
  <c r="J131" i="10" s="1"/>
  <c r="L131" i="10" l="1"/>
  <c r="P131" i="10" s="1"/>
  <c r="M132" i="10" s="1"/>
  <c r="O131" i="10"/>
  <c r="K132" i="10" s="1"/>
  <c r="Q130" i="10"/>
  <c r="N131" i="10" l="1"/>
  <c r="J132" i="10" s="1"/>
  <c r="L132" i="10" l="1"/>
  <c r="O132" i="10"/>
  <c r="K133" i="10" s="1"/>
  <c r="P132" i="10"/>
  <c r="M133" i="10" s="1"/>
  <c r="Q131" i="10"/>
  <c r="N132" i="10" l="1"/>
  <c r="J133" i="10" s="1"/>
  <c r="L133" i="10" l="1"/>
  <c r="P133" i="10" s="1"/>
  <c r="M134" i="10" s="1"/>
  <c r="O133" i="10"/>
  <c r="K134" i="10" s="1"/>
  <c r="Q132" i="10"/>
  <c r="N133" i="10" l="1"/>
  <c r="J134" i="10" s="1"/>
  <c r="L134" i="10" l="1"/>
  <c r="P134" i="10" s="1"/>
  <c r="M135" i="10" s="1"/>
  <c r="O134" i="10"/>
  <c r="K135" i="10" s="1"/>
  <c r="Q133" i="10"/>
  <c r="N134" i="10" l="1"/>
  <c r="J135" i="10" s="1"/>
  <c r="L135" i="10" l="1"/>
  <c r="P135" i="10" s="1"/>
  <c r="M136" i="10" s="1"/>
  <c r="O135" i="10"/>
  <c r="K136" i="10" s="1"/>
  <c r="Q134" i="10"/>
  <c r="N135" i="10" l="1"/>
  <c r="J136" i="10" s="1"/>
  <c r="L136" i="10" l="1"/>
  <c r="P136" i="10" s="1"/>
  <c r="M137" i="10" s="1"/>
  <c r="O136" i="10"/>
  <c r="K137" i="10" s="1"/>
  <c r="Q135" i="10"/>
  <c r="N136" i="10" l="1"/>
  <c r="J137" i="10" s="1"/>
  <c r="L137" i="10" l="1"/>
  <c r="O137" i="10"/>
  <c r="K138" i="10" s="1"/>
  <c r="P137" i="10"/>
  <c r="M138" i="10" s="1"/>
  <c r="Q136" i="10"/>
  <c r="N137" i="10" l="1"/>
  <c r="J138" i="10" s="1"/>
  <c r="L138" i="10" l="1"/>
  <c r="P138" i="10" s="1"/>
  <c r="M139" i="10" s="1"/>
  <c r="O138" i="10"/>
  <c r="K139" i="10" s="1"/>
  <c r="Q137" i="10"/>
  <c r="N138" i="10" l="1"/>
  <c r="J139" i="10" s="1"/>
  <c r="L139" i="10" l="1"/>
  <c r="P139" i="10" s="1"/>
  <c r="M140" i="10" s="1"/>
  <c r="O139" i="10"/>
  <c r="K140" i="10" s="1"/>
  <c r="Q138" i="10"/>
  <c r="N139" i="10" l="1"/>
  <c r="J140" i="10" s="1"/>
  <c r="L140" i="10" l="1"/>
  <c r="P140" i="10" s="1"/>
  <c r="M141" i="10" s="1"/>
  <c r="O140" i="10"/>
  <c r="K141" i="10" s="1"/>
  <c r="Q139" i="10"/>
  <c r="N140" i="10" l="1"/>
  <c r="J141" i="10" s="1"/>
  <c r="L141" i="10" l="1"/>
  <c r="P141" i="10" s="1"/>
  <c r="M142" i="10" s="1"/>
  <c r="O141" i="10"/>
  <c r="K142" i="10" s="1"/>
  <c r="Q140" i="10"/>
  <c r="N141" i="10" l="1"/>
  <c r="J142" i="10" s="1"/>
  <c r="L142" i="10" l="1"/>
  <c r="P142" i="10" s="1"/>
  <c r="M143" i="10" s="1"/>
  <c r="O142" i="10"/>
  <c r="K143" i="10" s="1"/>
  <c r="Q141" i="10"/>
  <c r="N142" i="10" l="1"/>
  <c r="J143" i="10" s="1"/>
  <c r="L143" i="10" l="1"/>
  <c r="P143" i="10" s="1"/>
  <c r="M144" i="10" s="1"/>
  <c r="O143" i="10"/>
  <c r="K144" i="10" s="1"/>
  <c r="Q142" i="10"/>
  <c r="N143" i="10" l="1"/>
  <c r="J144" i="10" s="1"/>
  <c r="L144" i="10" l="1"/>
  <c r="P144" i="10" s="1"/>
  <c r="M145" i="10" s="1"/>
  <c r="O144" i="10"/>
  <c r="K145" i="10" s="1"/>
  <c r="Q143" i="10"/>
  <c r="N144" i="10" l="1"/>
  <c r="J145" i="10" s="1"/>
  <c r="L145" i="10" l="1"/>
  <c r="P145" i="10" s="1"/>
  <c r="M146" i="10" s="1"/>
  <c r="O145" i="10"/>
  <c r="K146" i="10" s="1"/>
  <c r="Q144" i="10"/>
  <c r="N145" i="10" l="1"/>
  <c r="J146" i="10" s="1"/>
  <c r="L146" i="10" l="1"/>
  <c r="P146" i="10" s="1"/>
  <c r="M147" i="10" s="1"/>
  <c r="O146" i="10"/>
  <c r="K147" i="10" s="1"/>
  <c r="Q145" i="10"/>
  <c r="N146" i="10" l="1"/>
  <c r="J147" i="10" s="1"/>
  <c r="L147" i="10" l="1"/>
  <c r="P147" i="10" s="1"/>
  <c r="M148" i="10" s="1"/>
  <c r="O147" i="10"/>
  <c r="K148" i="10" s="1"/>
  <c r="Q146" i="10"/>
  <c r="N147" i="10" l="1"/>
  <c r="J148" i="10" s="1"/>
  <c r="L148" i="10" l="1"/>
  <c r="P148" i="10" s="1"/>
  <c r="M149" i="10" s="1"/>
  <c r="O148" i="10"/>
  <c r="K149" i="10" s="1"/>
  <c r="Q147" i="10"/>
  <c r="N148" i="10" l="1"/>
  <c r="J149" i="10" s="1"/>
  <c r="L149" i="10" l="1"/>
  <c r="O149" i="10"/>
  <c r="K150" i="10" s="1"/>
  <c r="Q148" i="10"/>
  <c r="P149" i="10"/>
  <c r="M150" i="10" s="1"/>
  <c r="N149" i="10" l="1"/>
  <c r="J150" i="10" s="1"/>
  <c r="L150" i="10" l="1"/>
  <c r="P150" i="10" s="1"/>
  <c r="M151" i="10" s="1"/>
  <c r="O150" i="10"/>
  <c r="K151" i="10" s="1"/>
  <c r="Q149" i="10"/>
  <c r="N150" i="10" l="1"/>
  <c r="J151" i="10" s="1"/>
  <c r="L151" i="10" l="1"/>
  <c r="O151" i="10"/>
  <c r="K152" i="10" s="1"/>
  <c r="P151" i="10"/>
  <c r="M152" i="10" s="1"/>
  <c r="Q150" i="10"/>
  <c r="N151" i="10" l="1"/>
  <c r="J152" i="10" s="1"/>
  <c r="L152" i="10" l="1"/>
  <c r="P152" i="10" s="1"/>
  <c r="M153" i="10" s="1"/>
  <c r="O152" i="10"/>
  <c r="K153" i="10" s="1"/>
  <c r="Q151" i="10"/>
  <c r="N152" i="10" l="1"/>
  <c r="J153" i="10" s="1"/>
  <c r="L153" i="10" l="1"/>
  <c r="P153" i="10" s="1"/>
  <c r="M154" i="10" s="1"/>
  <c r="O153" i="10"/>
  <c r="K154" i="10" s="1"/>
  <c r="Q152" i="10"/>
  <c r="N153" i="10" l="1"/>
  <c r="J154" i="10" s="1"/>
  <c r="L154" i="10" l="1"/>
  <c r="O154" i="10"/>
  <c r="K155" i="10" s="1"/>
  <c r="Q153" i="10"/>
  <c r="P154" i="10"/>
  <c r="M155" i="10" s="1"/>
  <c r="N154" i="10" l="1"/>
  <c r="J155" i="10" s="1"/>
  <c r="L155" i="10" l="1"/>
  <c r="P155" i="10" s="1"/>
  <c r="M156" i="10" s="1"/>
  <c r="O155" i="10"/>
  <c r="K156" i="10" s="1"/>
  <c r="Q154" i="10"/>
  <c r="N155" i="10" l="1"/>
  <c r="J156" i="10" s="1"/>
  <c r="L156" i="10" l="1"/>
  <c r="O156" i="10"/>
  <c r="K157" i="10" s="1"/>
  <c r="Q155" i="10"/>
  <c r="P156" i="10"/>
  <c r="M157" i="10" s="1"/>
  <c r="N156" i="10" l="1"/>
  <c r="J157" i="10" s="1"/>
  <c r="L157" i="10" l="1"/>
  <c r="O157" i="10"/>
  <c r="K158" i="10" s="1"/>
  <c r="P157" i="10"/>
  <c r="M158" i="10" s="1"/>
  <c r="Q156" i="10"/>
  <c r="N157" i="10" l="1"/>
  <c r="J158" i="10" s="1"/>
  <c r="L158" i="10" l="1"/>
  <c r="P158" i="10" s="1"/>
  <c r="M159" i="10" s="1"/>
  <c r="O158" i="10"/>
  <c r="K159" i="10" s="1"/>
  <c r="Q157" i="10"/>
  <c r="N158" i="10" l="1"/>
  <c r="J159" i="10" s="1"/>
  <c r="L159" i="10" l="1"/>
  <c r="P159" i="10" s="1"/>
  <c r="M160" i="10" s="1"/>
  <c r="O159" i="10"/>
  <c r="K160" i="10" s="1"/>
  <c r="Q158" i="10"/>
  <c r="N159" i="10" l="1"/>
  <c r="J160" i="10" s="1"/>
  <c r="L160" i="10" l="1"/>
  <c r="O160" i="10"/>
  <c r="K161" i="10" s="1"/>
  <c r="Q159" i="10"/>
  <c r="P160" i="10"/>
  <c r="M161" i="10" s="1"/>
  <c r="N160" i="10" l="1"/>
  <c r="J161" i="10" s="1"/>
  <c r="L161" i="10" l="1"/>
  <c r="P161" i="10" s="1"/>
  <c r="M162" i="10" s="1"/>
  <c r="O161" i="10"/>
  <c r="K162" i="10" s="1"/>
  <c r="Q160" i="10"/>
  <c r="N161" i="10" l="1"/>
  <c r="J162" i="10" s="1"/>
  <c r="L162" i="10" l="1"/>
  <c r="P162" i="10" s="1"/>
  <c r="M163" i="10" s="1"/>
  <c r="O162" i="10"/>
  <c r="K163" i="10" s="1"/>
  <c r="Q161" i="10"/>
  <c r="N162" i="10" l="1"/>
  <c r="J163" i="10" s="1"/>
  <c r="L163" i="10" l="1"/>
  <c r="P163" i="10" s="1"/>
  <c r="M164" i="10" s="1"/>
  <c r="O163" i="10"/>
  <c r="K164" i="10" s="1"/>
  <c r="Q162" i="10"/>
  <c r="N163" i="10" l="1"/>
  <c r="J164" i="10" s="1"/>
  <c r="L164" i="10" l="1"/>
  <c r="P164" i="10" s="1"/>
  <c r="M165" i="10" s="1"/>
  <c r="O164" i="10"/>
  <c r="K165" i="10" s="1"/>
  <c r="Q163" i="10"/>
  <c r="N164" i="10" l="1"/>
  <c r="J165" i="10" s="1"/>
  <c r="L165" i="10" l="1"/>
  <c r="P165" i="10" s="1"/>
  <c r="M166" i="10" s="1"/>
  <c r="O165" i="10"/>
  <c r="K166" i="10" s="1"/>
  <c r="Q164" i="10"/>
  <c r="N165" i="10" l="1"/>
  <c r="J166" i="10" s="1"/>
  <c r="L166" i="10" l="1"/>
  <c r="O166" i="10"/>
  <c r="K167" i="10" s="1"/>
  <c r="P166" i="10"/>
  <c r="M167" i="10" s="1"/>
  <c r="Q165" i="10"/>
  <c r="N166" i="10" l="1"/>
  <c r="J167" i="10" s="1"/>
  <c r="L167" i="10" l="1"/>
  <c r="P167" i="10" s="1"/>
  <c r="M168" i="10" s="1"/>
  <c r="Q166" i="10"/>
  <c r="O167" i="10"/>
  <c r="K168" i="10" s="1"/>
  <c r="N167" i="10" l="1"/>
  <c r="J168" i="10" s="1"/>
  <c r="L168" i="10" l="1"/>
  <c r="P168" i="10" s="1"/>
  <c r="M169" i="10" s="1"/>
  <c r="O168" i="10"/>
  <c r="K169" i="10" s="1"/>
  <c r="Q167" i="10"/>
  <c r="N168" i="10" l="1"/>
  <c r="J169" i="10" s="1"/>
  <c r="L169" i="10" l="1"/>
  <c r="P169" i="10" s="1"/>
  <c r="M170" i="10" s="1"/>
  <c r="O169" i="10"/>
  <c r="K170" i="10" s="1"/>
  <c r="Q168" i="10"/>
  <c r="N169" i="10" l="1"/>
  <c r="J170" i="10" s="1"/>
  <c r="L170" i="10" l="1"/>
  <c r="P170" i="10" s="1"/>
  <c r="M171" i="10" s="1"/>
  <c r="O170" i="10"/>
  <c r="K171" i="10" s="1"/>
  <c r="Q169" i="10"/>
  <c r="N170" i="10" l="1"/>
  <c r="J171" i="10" s="1"/>
  <c r="L171" i="10" l="1"/>
  <c r="O171" i="10"/>
  <c r="K172" i="10" s="1"/>
  <c r="Q170" i="10"/>
  <c r="P171" i="10"/>
  <c r="M172" i="10" s="1"/>
  <c r="N171" i="10" l="1"/>
  <c r="J172" i="10" s="1"/>
  <c r="L172" i="10" l="1"/>
  <c r="O172" i="10"/>
  <c r="K173" i="10" s="1"/>
  <c r="Q171" i="10"/>
  <c r="P172" i="10"/>
  <c r="M173" i="10" s="1"/>
  <c r="N172" i="10" l="1"/>
  <c r="J173" i="10" s="1"/>
  <c r="L173" i="10" l="1"/>
  <c r="Q172" i="10"/>
  <c r="P173" i="10"/>
  <c r="M174" i="10" s="1"/>
  <c r="O173" i="10"/>
  <c r="K174" i="10" s="1"/>
  <c r="N173" i="10" l="1"/>
  <c r="J174" i="10" s="1"/>
  <c r="L174" i="10" l="1"/>
  <c r="P174" i="10" s="1"/>
  <c r="M175" i="10" s="1"/>
  <c r="O174" i="10"/>
  <c r="K175" i="10" s="1"/>
  <c r="Q173" i="10"/>
  <c r="N174" i="10" l="1"/>
  <c r="J175" i="10" s="1"/>
  <c r="L175" i="10" l="1"/>
  <c r="O175" i="10"/>
  <c r="K176" i="10" s="1"/>
  <c r="P175" i="10"/>
  <c r="M176" i="10" s="1"/>
  <c r="Q174" i="10"/>
  <c r="N175" i="10" l="1"/>
  <c r="J176" i="10" s="1"/>
  <c r="L176" i="10" l="1"/>
  <c r="P176" i="10" s="1"/>
  <c r="M177" i="10" s="1"/>
  <c r="O176" i="10"/>
  <c r="K177" i="10" s="1"/>
  <c r="Q175" i="10"/>
  <c r="N176" i="10" l="1"/>
  <c r="J177" i="10" s="1"/>
  <c r="L177" i="10" l="1"/>
  <c r="P177" i="10" s="1"/>
  <c r="M178" i="10" s="1"/>
  <c r="O177" i="10"/>
  <c r="K178" i="10" s="1"/>
  <c r="Q176" i="10"/>
  <c r="N177" i="10" l="1"/>
  <c r="J178" i="10" s="1"/>
  <c r="L178" i="10" l="1"/>
  <c r="P178" i="10" s="1"/>
  <c r="M179" i="10" s="1"/>
  <c r="O178" i="10"/>
  <c r="K179" i="10" s="1"/>
  <c r="Q177" i="10"/>
  <c r="N178" i="10" l="1"/>
  <c r="J179" i="10" s="1"/>
  <c r="L179" i="10" l="1"/>
  <c r="O179" i="10"/>
  <c r="K180" i="10" s="1"/>
  <c r="P179" i="10"/>
  <c r="M180" i="10" s="1"/>
  <c r="Q178" i="10"/>
  <c r="N179" i="10" l="1"/>
  <c r="J180" i="10" s="1"/>
  <c r="L180" i="10" l="1"/>
  <c r="P180" i="10" s="1"/>
  <c r="M181" i="10" s="1"/>
  <c r="O180" i="10"/>
  <c r="K181" i="10" s="1"/>
  <c r="Q179" i="10"/>
  <c r="N180" i="10" l="1"/>
  <c r="J181" i="10" s="1"/>
  <c r="L181" i="10" l="1"/>
  <c r="P181" i="10" s="1"/>
  <c r="M182" i="10" s="1"/>
  <c r="O181" i="10"/>
  <c r="K182" i="10" s="1"/>
  <c r="Q180" i="10"/>
  <c r="N181" i="10" l="1"/>
  <c r="J182" i="10" s="1"/>
  <c r="L182" i="10" l="1"/>
  <c r="O182" i="10"/>
  <c r="K183" i="10" s="1"/>
  <c r="Q181" i="10"/>
  <c r="P182" i="10"/>
  <c r="M183" i="10" s="1"/>
  <c r="N182" i="10" l="1"/>
  <c r="J183" i="10" s="1"/>
  <c r="L183" i="10" l="1"/>
  <c r="Q182" i="10"/>
  <c r="O183" i="10"/>
  <c r="K184" i="10" s="1"/>
  <c r="P183" i="10"/>
  <c r="M184" i="10" s="1"/>
  <c r="N183" i="10" l="1"/>
  <c r="J184" i="10" s="1"/>
  <c r="L184" i="10" l="1"/>
  <c r="P184" i="10" s="1"/>
  <c r="M185" i="10" s="1"/>
  <c r="O184" i="10"/>
  <c r="K185" i="10" s="1"/>
  <c r="Q183" i="10"/>
  <c r="N184" i="10" l="1"/>
  <c r="J185" i="10" s="1"/>
  <c r="L185" i="10" l="1"/>
  <c r="P185" i="10" s="1"/>
  <c r="M186" i="10" s="1"/>
  <c r="O185" i="10"/>
  <c r="K186" i="10" s="1"/>
  <c r="Q184" i="10"/>
  <c r="N185" i="10" l="1"/>
  <c r="J186" i="10" s="1"/>
  <c r="L186" i="10" l="1"/>
  <c r="O186" i="10"/>
  <c r="K187" i="10" s="1"/>
  <c r="P186" i="10"/>
  <c r="M187" i="10" s="1"/>
  <c r="Q185" i="10"/>
  <c r="N186" i="10" l="1"/>
  <c r="J187" i="10" s="1"/>
  <c r="L187" i="10" l="1"/>
  <c r="Q186" i="10"/>
  <c r="P187" i="10"/>
  <c r="M188" i="10" s="1"/>
  <c r="O187" i="10"/>
  <c r="K188" i="10" s="1"/>
  <c r="N187" i="10" l="1"/>
  <c r="J188" i="10" s="1"/>
  <c r="L188" i="10" l="1"/>
  <c r="O188" i="10"/>
  <c r="K189" i="10" s="1"/>
  <c r="Q187" i="10"/>
  <c r="P188" i="10"/>
  <c r="M189" i="10" s="1"/>
  <c r="N188" i="10" l="1"/>
  <c r="J189" i="10" s="1"/>
  <c r="L189" i="10" l="1"/>
  <c r="O189" i="10"/>
  <c r="K190" i="10" s="1"/>
  <c r="P189" i="10"/>
  <c r="M190" i="10" s="1"/>
  <c r="Q188" i="10"/>
  <c r="N189" i="10" l="1"/>
  <c r="J190" i="10" s="1"/>
  <c r="L190" i="10" l="1"/>
  <c r="P190" i="10" s="1"/>
  <c r="M191" i="10" s="1"/>
  <c r="O190" i="10"/>
  <c r="K191" i="10" s="1"/>
  <c r="Q189" i="10"/>
  <c r="N190" i="10" l="1"/>
  <c r="J191" i="10" s="1"/>
  <c r="L191" i="10" l="1"/>
  <c r="P191" i="10" s="1"/>
  <c r="M192" i="10" s="1"/>
  <c r="O191" i="10"/>
  <c r="K192" i="10" s="1"/>
  <c r="Q190" i="10"/>
  <c r="N191" i="10" l="1"/>
  <c r="J192" i="10" s="1"/>
  <c r="L192" i="10" l="1"/>
  <c r="O192" i="10"/>
  <c r="K193" i="10" s="1"/>
  <c r="Q191" i="10"/>
  <c r="P192" i="10"/>
  <c r="M193" i="10" s="1"/>
  <c r="N192" i="10" l="1"/>
  <c r="J193" i="10" s="1"/>
  <c r="L193" i="10" l="1"/>
  <c r="O193" i="10"/>
  <c r="K194" i="10" s="1"/>
  <c r="Q192" i="10"/>
  <c r="P193" i="10"/>
  <c r="M194" i="10" s="1"/>
  <c r="N193" i="10" l="1"/>
  <c r="J194" i="10" s="1"/>
  <c r="L194" i="10" l="1"/>
  <c r="O194" i="10"/>
  <c r="K195" i="10" s="1"/>
  <c r="P194" i="10"/>
  <c r="M195" i="10" s="1"/>
  <c r="Q193" i="10"/>
  <c r="N194" i="10" l="1"/>
  <c r="J195" i="10" s="1"/>
  <c r="L195" i="10" l="1"/>
  <c r="O195" i="10"/>
  <c r="K196" i="10" s="1"/>
  <c r="Q194" i="10"/>
  <c r="P195" i="10"/>
  <c r="M196" i="10" s="1"/>
  <c r="N195" i="10" l="1"/>
  <c r="J196" i="10" s="1"/>
  <c r="L196" i="10" l="1"/>
  <c r="O196" i="10"/>
  <c r="K197" i="10" s="1"/>
  <c r="Q195" i="10"/>
  <c r="P196" i="10"/>
  <c r="M197" i="10" s="1"/>
  <c r="N196" i="10" l="1"/>
  <c r="J197" i="10" s="1"/>
  <c r="L197" i="10" l="1"/>
  <c r="Q196" i="10"/>
  <c r="P197" i="10"/>
  <c r="M198" i="10" s="1"/>
  <c r="O197" i="10"/>
  <c r="K198" i="10" s="1"/>
  <c r="N197" i="10" l="1"/>
  <c r="J198" i="10" s="1"/>
  <c r="L198" i="10" l="1"/>
  <c r="P198" i="10" s="1"/>
  <c r="M199" i="10" s="1"/>
  <c r="O198" i="10"/>
  <c r="K199" i="10" s="1"/>
  <c r="Q197" i="10"/>
  <c r="N198" i="10" l="1"/>
  <c r="J199" i="10" s="1"/>
  <c r="L199" i="10" l="1"/>
  <c r="P199" i="10" s="1"/>
  <c r="M200" i="10" s="1"/>
  <c r="Q198" i="10"/>
  <c r="O199" i="10"/>
  <c r="K200" i="10" s="1"/>
  <c r="N199" i="10" l="1"/>
  <c r="J200" i="10" s="1"/>
  <c r="L200" i="10" l="1"/>
  <c r="P200" i="10" s="1"/>
  <c r="M201" i="10" s="1"/>
  <c r="Q199" i="10"/>
  <c r="O200" i="10"/>
  <c r="K201" i="10" s="1"/>
  <c r="N200" i="10" l="1"/>
  <c r="J201" i="10" s="1"/>
  <c r="L201" i="10" l="1"/>
  <c r="P201" i="10" s="1"/>
  <c r="M202" i="10" s="1"/>
  <c r="O201" i="10"/>
  <c r="K202" i="10" s="1"/>
  <c r="Q200" i="10"/>
  <c r="N201" i="10" l="1"/>
  <c r="J202" i="10" s="1"/>
  <c r="L202" i="10" l="1"/>
  <c r="P202" i="10" s="1"/>
  <c r="M203" i="10" s="1"/>
  <c r="O202" i="10"/>
  <c r="K203" i="10" s="1"/>
  <c r="Q201" i="10"/>
  <c r="N202" i="10" l="1"/>
  <c r="J203" i="10" s="1"/>
  <c r="L203" i="10" l="1"/>
  <c r="Q202" i="10"/>
  <c r="P203" i="10"/>
  <c r="M204" i="10" s="1"/>
  <c r="O203" i="10" l="1"/>
  <c r="K204" i="10" s="1"/>
  <c r="N203" i="10"/>
  <c r="J204" i="10" s="1"/>
  <c r="L204" i="10" l="1"/>
  <c r="O204" i="10"/>
  <c r="K205" i="10" s="1"/>
  <c r="Q203" i="10"/>
  <c r="P204" i="10"/>
  <c r="M205" i="10" s="1"/>
  <c r="N204" i="10" l="1"/>
  <c r="J205" i="10" s="1"/>
  <c r="L205" i="10" l="1"/>
  <c r="P205" i="10" s="1"/>
  <c r="M206" i="10" s="1"/>
  <c r="O205" i="10"/>
  <c r="K206" i="10" s="1"/>
  <c r="Q204" i="10"/>
  <c r="N205" i="10" l="1"/>
  <c r="J206" i="10" s="1"/>
  <c r="L206" i="10" l="1"/>
  <c r="P206" i="10" s="1"/>
  <c r="M207" i="10" s="1"/>
  <c r="O206" i="10"/>
  <c r="K207" i="10" s="1"/>
  <c r="Q205" i="10"/>
  <c r="N206" i="10" l="1"/>
  <c r="J207" i="10" s="1"/>
  <c r="L207" i="10" l="1"/>
  <c r="P207" i="10" s="1"/>
  <c r="M208" i="10" s="1"/>
  <c r="O207" i="10"/>
  <c r="K208" i="10" s="1"/>
  <c r="Q206" i="10"/>
  <c r="N207" i="10" l="1"/>
  <c r="J208" i="10" s="1"/>
  <c r="L208" i="10" l="1"/>
  <c r="O208" i="10"/>
  <c r="K209" i="10" s="1"/>
  <c r="Q207" i="10"/>
  <c r="P208" i="10"/>
  <c r="M209" i="10" s="1"/>
  <c r="N208" i="10" l="1"/>
  <c r="J209" i="10" s="1"/>
  <c r="L209" i="10" l="1"/>
  <c r="O209" i="10"/>
  <c r="K210" i="10" s="1"/>
  <c r="P209" i="10"/>
  <c r="M210" i="10" s="1"/>
  <c r="Q208" i="10"/>
  <c r="N209" i="10" l="1"/>
  <c r="J210" i="10" s="1"/>
  <c r="L210" i="10" l="1"/>
  <c r="P210" i="10" s="1"/>
  <c r="M211" i="10" s="1"/>
  <c r="Q209" i="10"/>
  <c r="O210" i="10"/>
  <c r="K211" i="10" s="1"/>
  <c r="N210" i="10" l="1"/>
  <c r="J211" i="10" s="1"/>
  <c r="L211" i="10" l="1"/>
  <c r="O211" i="10"/>
  <c r="K212" i="10" s="1"/>
  <c r="Q210" i="10"/>
  <c r="P211" i="10"/>
  <c r="M212" i="10" s="1"/>
  <c r="N211" i="10" l="1"/>
  <c r="J212" i="10" s="1"/>
  <c r="L212" i="10" l="1"/>
  <c r="P212" i="10" s="1"/>
  <c r="M213" i="10" s="1"/>
  <c r="O212" i="10"/>
  <c r="K213" i="10" s="1"/>
  <c r="Q211" i="10"/>
  <c r="N212" i="10" l="1"/>
  <c r="J213" i="10" s="1"/>
  <c r="L213" i="10" l="1"/>
  <c r="O213" i="10"/>
  <c r="K214" i="10" s="1"/>
  <c r="P213" i="10"/>
  <c r="M214" i="10" s="1"/>
  <c r="Q212" i="10"/>
  <c r="N213" i="10" l="1"/>
  <c r="J214" i="10" s="1"/>
  <c r="L214" i="10" l="1"/>
  <c r="O214" i="10"/>
  <c r="K215" i="10" s="1"/>
  <c r="P214" i="10"/>
  <c r="M215" i="10" s="1"/>
  <c r="Q213" i="10"/>
  <c r="N214" i="10" l="1"/>
  <c r="J215" i="10" s="1"/>
  <c r="L215" i="10" l="1"/>
  <c r="P215" i="10" s="1"/>
  <c r="M216" i="10" s="1"/>
  <c r="Q214" i="10"/>
  <c r="O215" i="10"/>
  <c r="K216" i="10" s="1"/>
  <c r="N215" i="10" l="1"/>
  <c r="J216" i="10" s="1"/>
  <c r="L216" i="10" l="1"/>
  <c r="P216" i="10" s="1"/>
  <c r="M217" i="10" s="1"/>
  <c r="O216" i="10"/>
  <c r="K217" i="10" s="1"/>
  <c r="Q215" i="10"/>
  <c r="N216" i="10" l="1"/>
  <c r="J217" i="10" s="1"/>
  <c r="L217" i="10" l="1"/>
  <c r="P217" i="10"/>
  <c r="M218" i="10" s="1"/>
  <c r="Q216" i="10"/>
  <c r="O217" i="10"/>
  <c r="K218" i="10" s="1"/>
  <c r="N217" i="10" l="1"/>
  <c r="J218" i="10" s="1"/>
  <c r="L218" i="10" l="1"/>
  <c r="O218" i="10"/>
  <c r="K219" i="10" s="1"/>
  <c r="P218" i="10"/>
  <c r="M219" i="10" s="1"/>
  <c r="Q217" i="10"/>
  <c r="N218" i="10" l="1"/>
  <c r="J219" i="10" s="1"/>
  <c r="L219" i="10" l="1"/>
  <c r="O219" i="10"/>
  <c r="K220" i="10" s="1"/>
  <c r="Q218" i="10"/>
  <c r="P219" i="10"/>
  <c r="M220" i="10" s="1"/>
  <c r="N219" i="10" l="1"/>
  <c r="J220" i="10" s="1"/>
  <c r="L220" i="10" l="1"/>
  <c r="P220" i="10" s="1"/>
  <c r="M221" i="10" s="1"/>
  <c r="O220" i="10"/>
  <c r="K221" i="10" s="1"/>
  <c r="Q219" i="10"/>
  <c r="N220" i="10" l="1"/>
  <c r="J221" i="10" s="1"/>
  <c r="L221" i="10" l="1"/>
  <c r="P221" i="10" s="1"/>
  <c r="M222" i="10" s="1"/>
  <c r="O221" i="10"/>
  <c r="K222" i="10" s="1"/>
  <c r="Q220" i="10"/>
  <c r="N221" i="10" l="1"/>
  <c r="J222" i="10" s="1"/>
  <c r="L222" i="10" l="1"/>
  <c r="O222" i="10"/>
  <c r="K223" i="10" s="1"/>
  <c r="P222" i="10"/>
  <c r="M223" i="10" s="1"/>
  <c r="Q221" i="10"/>
  <c r="N222" i="10" l="1"/>
  <c r="J223" i="10" s="1"/>
  <c r="L223" i="10" l="1"/>
  <c r="P223" i="10" s="1"/>
  <c r="M224" i="10" s="1"/>
  <c r="O223" i="10"/>
  <c r="K224" i="10" s="1"/>
  <c r="Q222" i="10"/>
  <c r="N223" i="10" l="1"/>
  <c r="J224" i="10" s="1"/>
  <c r="L224" i="10" l="1"/>
  <c r="O224" i="10"/>
  <c r="K225" i="10" s="1"/>
  <c r="P224" i="10"/>
  <c r="M225" i="10" s="1"/>
  <c r="Q223" i="10"/>
  <c r="N224" i="10" l="1"/>
  <c r="J225" i="10" s="1"/>
  <c r="L225" i="10" l="1"/>
  <c r="P225" i="10" s="1"/>
  <c r="M226" i="10" s="1"/>
  <c r="O225" i="10"/>
  <c r="K226" i="10" s="1"/>
  <c r="Q224" i="10"/>
  <c r="N225" i="10" l="1"/>
  <c r="J226" i="10" s="1"/>
  <c r="L226" i="10" l="1"/>
  <c r="P226" i="10" s="1"/>
  <c r="M227" i="10" s="1"/>
  <c r="O226" i="10"/>
  <c r="K227" i="10" s="1"/>
  <c r="Q225" i="10"/>
  <c r="N226" i="10" l="1"/>
  <c r="J227" i="10" s="1"/>
  <c r="L227" i="10" l="1"/>
  <c r="O227" i="10"/>
  <c r="K228" i="10" s="1"/>
  <c r="P227" i="10"/>
  <c r="M228" i="10" s="1"/>
  <c r="Q226" i="10"/>
  <c r="N227" i="10" l="1"/>
  <c r="J228" i="10" s="1"/>
  <c r="L228" i="10" l="1"/>
  <c r="O228" i="10"/>
  <c r="K229" i="10" s="1"/>
  <c r="P228" i="10"/>
  <c r="M229" i="10" s="1"/>
  <c r="Q227" i="10"/>
  <c r="N228" i="10" l="1"/>
  <c r="J229" i="10" s="1"/>
  <c r="L229" i="10" l="1"/>
  <c r="P229" i="10" s="1"/>
  <c r="M230" i="10" s="1"/>
  <c r="O229" i="10"/>
  <c r="K230" i="10" s="1"/>
  <c r="Q228" i="10"/>
  <c r="N229" i="10" l="1"/>
  <c r="J230" i="10" s="1"/>
  <c r="L230" i="10" l="1"/>
  <c r="P230" i="10" s="1"/>
  <c r="M231" i="10" s="1"/>
  <c r="O230" i="10"/>
  <c r="K231" i="10" s="1"/>
  <c r="Q229" i="10"/>
  <c r="N230" i="10" l="1"/>
  <c r="J231" i="10" s="1"/>
  <c r="L231" i="10" l="1"/>
  <c r="P231" i="10" s="1"/>
  <c r="M232" i="10" s="1"/>
  <c r="O231" i="10"/>
  <c r="K232" i="10" s="1"/>
  <c r="Q230" i="10"/>
  <c r="N231" i="10" l="1"/>
  <c r="J232" i="10" s="1"/>
  <c r="L232" i="10" l="1"/>
  <c r="P232" i="10" s="1"/>
  <c r="M233" i="10" s="1"/>
  <c r="O232" i="10"/>
  <c r="K233" i="10" s="1"/>
  <c r="Q231" i="10"/>
  <c r="N232" i="10" l="1"/>
  <c r="J233" i="10" s="1"/>
  <c r="L233" i="10" l="1"/>
  <c r="P233" i="10" s="1"/>
  <c r="M234" i="10" s="1"/>
  <c r="O233" i="10"/>
  <c r="K234" i="10" s="1"/>
  <c r="Q232" i="10"/>
  <c r="N233" i="10" l="1"/>
  <c r="J234" i="10" s="1"/>
  <c r="L234" i="10" l="1"/>
  <c r="O234" i="10"/>
  <c r="K235" i="10" s="1"/>
  <c r="P234" i="10"/>
  <c r="M235" i="10" s="1"/>
  <c r="Q233" i="10"/>
  <c r="N234" i="10" l="1"/>
  <c r="J235" i="10" s="1"/>
  <c r="L235" i="10" l="1"/>
  <c r="P235" i="10" s="1"/>
  <c r="M236" i="10" s="1"/>
  <c r="O235" i="10"/>
  <c r="K236" i="10" s="1"/>
  <c r="Q234" i="10"/>
  <c r="N235" i="10" l="1"/>
  <c r="J236" i="10" s="1"/>
  <c r="L236" i="10" l="1"/>
  <c r="P236" i="10" s="1"/>
  <c r="M237" i="10" s="1"/>
  <c r="Q235" i="10"/>
  <c r="O236" i="10"/>
  <c r="K237" i="10" s="1"/>
  <c r="N236" i="10" l="1"/>
  <c r="J237" i="10" s="1"/>
  <c r="L237" i="10" l="1"/>
  <c r="P237" i="10" s="1"/>
  <c r="M238" i="10" s="1"/>
  <c r="O237" i="10"/>
  <c r="K238" i="10" s="1"/>
  <c r="Q236" i="10"/>
  <c r="N237" i="10" l="1"/>
  <c r="J238" i="10" s="1"/>
  <c r="L238" i="10" l="1"/>
  <c r="O238" i="10"/>
  <c r="K239" i="10" s="1"/>
  <c r="P238" i="10"/>
  <c r="M239" i="10" s="1"/>
  <c r="Q237" i="10"/>
  <c r="N238" i="10" l="1"/>
  <c r="J239" i="10" s="1"/>
  <c r="L239" i="10" l="1"/>
  <c r="O239" i="10"/>
  <c r="K240" i="10" s="1"/>
  <c r="P239" i="10"/>
  <c r="M240" i="10" s="1"/>
  <c r="Q238" i="10"/>
  <c r="N239" i="10" l="1"/>
  <c r="J240" i="10" s="1"/>
  <c r="L240" i="10" l="1"/>
  <c r="P240" i="10" s="1"/>
  <c r="M241" i="10" s="1"/>
  <c r="O240" i="10"/>
  <c r="K241" i="10" s="1"/>
  <c r="Q239" i="10"/>
  <c r="N240" i="10" l="1"/>
  <c r="J241" i="10" s="1"/>
  <c r="L241" i="10" l="1"/>
  <c r="O241" i="10"/>
  <c r="K242" i="10" s="1"/>
  <c r="Q240" i="10"/>
  <c r="P241" i="10"/>
  <c r="M242" i="10" s="1"/>
  <c r="N241" i="10" l="1"/>
  <c r="J242" i="10" s="1"/>
  <c r="L242" i="10" l="1"/>
  <c r="O242" i="10"/>
  <c r="K243" i="10" s="1"/>
  <c r="Q241" i="10"/>
  <c r="P242" i="10"/>
  <c r="M243" i="10" s="1"/>
  <c r="N242" i="10" l="1"/>
  <c r="J243" i="10" s="1"/>
  <c r="L243" i="10" l="1"/>
  <c r="O243" i="10"/>
  <c r="K244" i="10" s="1"/>
  <c r="Q242" i="10"/>
  <c r="P243" i="10"/>
  <c r="M244" i="10" s="1"/>
  <c r="N243" i="10" l="1"/>
  <c r="J244" i="10" s="1"/>
  <c r="L244" i="10" l="1"/>
  <c r="P244" i="10" s="1"/>
  <c r="M245" i="10" s="1"/>
  <c r="O244" i="10"/>
  <c r="K245" i="10" s="1"/>
  <c r="Q243" i="10"/>
  <c r="N244" i="10" l="1"/>
  <c r="J245" i="10" s="1"/>
  <c r="L245" i="10" l="1"/>
  <c r="O245" i="10"/>
  <c r="K246" i="10" s="1"/>
  <c r="P245" i="10"/>
  <c r="M246" i="10" s="1"/>
  <c r="Q244" i="10"/>
  <c r="N245" i="10" l="1"/>
  <c r="J246" i="10" s="1"/>
  <c r="L246" i="10" l="1"/>
  <c r="P246" i="10" s="1"/>
  <c r="M247" i="10" s="1"/>
  <c r="O246" i="10"/>
  <c r="K247" i="10" s="1"/>
  <c r="Q245" i="10"/>
  <c r="N246" i="10" l="1"/>
  <c r="J247" i="10" s="1"/>
  <c r="L247" i="10" l="1"/>
  <c r="O247" i="10"/>
  <c r="K248" i="10" s="1"/>
  <c r="Q246" i="10"/>
  <c r="P247" i="10"/>
  <c r="M248" i="10" s="1"/>
  <c r="N247" i="10" l="1"/>
  <c r="J248" i="10" s="1"/>
  <c r="L248" i="10" l="1"/>
  <c r="P248" i="10" s="1"/>
  <c r="M249" i="10" s="1"/>
  <c r="O248" i="10"/>
  <c r="K249" i="10" s="1"/>
  <c r="Q247" i="10"/>
  <c r="N248" i="10" l="1"/>
  <c r="J249" i="10" s="1"/>
  <c r="L249" i="10" l="1"/>
  <c r="P249" i="10" s="1"/>
  <c r="M250" i="10" s="1"/>
  <c r="O249" i="10"/>
  <c r="K250" i="10" s="1"/>
  <c r="Q248" i="10"/>
  <c r="N249" i="10" l="1"/>
  <c r="J250" i="10" s="1"/>
  <c r="L250" i="10" l="1"/>
  <c r="P250" i="10" s="1"/>
  <c r="M251" i="10" s="1"/>
  <c r="O250" i="10"/>
  <c r="K251" i="10" s="1"/>
  <c r="Q249" i="10"/>
  <c r="N250" i="10" l="1"/>
  <c r="J251" i="10" s="1"/>
  <c r="L251" i="10" l="1"/>
  <c r="O251" i="10"/>
  <c r="K252" i="10" s="1"/>
  <c r="P251" i="10"/>
  <c r="M252" i="10" s="1"/>
  <c r="Q250" i="10"/>
  <c r="N251" i="10" l="1"/>
  <c r="J252" i="10" s="1"/>
  <c r="L252" i="10" l="1"/>
  <c r="O252" i="10"/>
  <c r="K253" i="10" s="1"/>
  <c r="Q251" i="10"/>
  <c r="P252" i="10"/>
  <c r="M253" i="10" s="1"/>
  <c r="N252" i="10" l="1"/>
  <c r="J253" i="10" s="1"/>
  <c r="L253" i="10" l="1"/>
  <c r="O253" i="10"/>
  <c r="K254" i="10" s="1"/>
  <c r="P253" i="10"/>
  <c r="M254" i="10" s="1"/>
  <c r="Q252" i="10"/>
  <c r="N253" i="10" l="1"/>
  <c r="J254" i="10" s="1"/>
  <c r="L254" i="10" l="1"/>
  <c r="P254" i="10" s="1"/>
  <c r="M255" i="10" s="1"/>
  <c r="O254" i="10"/>
  <c r="K255" i="10" s="1"/>
  <c r="Q253" i="10"/>
  <c r="N254" i="10" l="1"/>
  <c r="J255" i="10" s="1"/>
  <c r="L255" i="10" l="1"/>
  <c r="P255" i="10" s="1"/>
  <c r="M256" i="10" s="1"/>
  <c r="O255" i="10"/>
  <c r="K256" i="10" s="1"/>
  <c r="Q254" i="10"/>
  <c r="N255" i="10" l="1"/>
  <c r="J256" i="10" s="1"/>
  <c r="L256" i="10" l="1"/>
  <c r="O256" i="10"/>
  <c r="K257" i="10" s="1"/>
  <c r="Q255" i="10"/>
  <c r="P256" i="10"/>
  <c r="M257" i="10" s="1"/>
  <c r="N256" i="10" l="1"/>
  <c r="J257" i="10" s="1"/>
  <c r="L257" i="10" l="1"/>
  <c r="O257" i="10"/>
  <c r="K258" i="10" s="1"/>
  <c r="Q256" i="10"/>
  <c r="P257" i="10"/>
  <c r="M258" i="10" s="1"/>
  <c r="N257" i="10" l="1"/>
  <c r="J258" i="10" s="1"/>
  <c r="L258" i="10" l="1"/>
  <c r="O258" i="10"/>
  <c r="K259" i="10" s="1"/>
  <c r="Q257" i="10"/>
  <c r="P258" i="10"/>
  <c r="M259" i="10" s="1"/>
  <c r="N258" i="10" l="1"/>
  <c r="J259" i="10" s="1"/>
  <c r="L259" i="10" l="1"/>
  <c r="P259" i="10" s="1"/>
  <c r="M260" i="10" s="1"/>
  <c r="O259" i="10"/>
  <c r="K260" i="10" s="1"/>
  <c r="Q258" i="10"/>
  <c r="N259" i="10" l="1"/>
  <c r="J260" i="10" s="1"/>
  <c r="L260" i="10" l="1"/>
  <c r="P260" i="10" s="1"/>
  <c r="M261" i="10" s="1"/>
  <c r="O260" i="10"/>
  <c r="K261" i="10" s="1"/>
  <c r="Q259" i="10"/>
  <c r="N260" i="10" l="1"/>
  <c r="J261" i="10" s="1"/>
  <c r="L261" i="10" l="1"/>
  <c r="O261" i="10"/>
  <c r="K262" i="10" s="1"/>
  <c r="P261" i="10"/>
  <c r="M262" i="10" s="1"/>
  <c r="Q260" i="10"/>
  <c r="N261" i="10" l="1"/>
  <c r="J262" i="10" s="1"/>
  <c r="L262" i="10" l="1"/>
  <c r="P262" i="10" s="1"/>
  <c r="M263" i="10" s="1"/>
  <c r="O262" i="10"/>
  <c r="K263" i="10" s="1"/>
  <c r="Q261" i="10"/>
  <c r="N262" i="10" l="1"/>
  <c r="J263" i="10" s="1"/>
  <c r="L263" i="10" l="1"/>
  <c r="P263" i="10" s="1"/>
  <c r="M264" i="10" s="1"/>
  <c r="O263" i="10"/>
  <c r="K264" i="10" s="1"/>
  <c r="Q262" i="10"/>
  <c r="N263" i="10" l="1"/>
  <c r="J264" i="10" s="1"/>
  <c r="L264" i="10" l="1"/>
  <c r="P264" i="10" s="1"/>
  <c r="M265" i="10" s="1"/>
  <c r="O264" i="10"/>
  <c r="K265" i="10" s="1"/>
  <c r="Q263" i="10"/>
  <c r="N264" i="10" l="1"/>
  <c r="J265" i="10" s="1"/>
  <c r="L265" i="10" l="1"/>
  <c r="P265" i="10" s="1"/>
  <c r="M266" i="10" s="1"/>
  <c r="O265" i="10"/>
  <c r="K266" i="10" s="1"/>
  <c r="Q264" i="10"/>
  <c r="N265" i="10" l="1"/>
  <c r="J266" i="10" s="1"/>
  <c r="L266" i="10" l="1"/>
  <c r="P266" i="10" s="1"/>
  <c r="M267" i="10" s="1"/>
  <c r="O266" i="10"/>
  <c r="K267" i="10" s="1"/>
  <c r="Q265" i="10"/>
  <c r="N266" i="10" l="1"/>
  <c r="J267" i="10" s="1"/>
  <c r="L267" i="10" l="1"/>
  <c r="P267" i="10" s="1"/>
  <c r="M268" i="10" s="1"/>
  <c r="O267" i="10"/>
  <c r="K268" i="10" s="1"/>
  <c r="Q266" i="10"/>
  <c r="N267" i="10" l="1"/>
  <c r="J268" i="10" s="1"/>
  <c r="L268" i="10" l="1"/>
  <c r="P268" i="10" s="1"/>
  <c r="M269" i="10" s="1"/>
  <c r="Q267" i="10"/>
  <c r="N268" i="10" l="1"/>
  <c r="O268" i="10"/>
  <c r="K269" i="10" s="1"/>
  <c r="L269" i="10" l="1"/>
  <c r="J269" i="10"/>
  <c r="Q268" i="10"/>
  <c r="P269" i="10"/>
  <c r="M270" i="10" s="1"/>
  <c r="O269" i="10" l="1"/>
  <c r="K270" i="10" s="1"/>
  <c r="N269" i="10"/>
  <c r="J270" i="10" s="1"/>
  <c r="L270" i="10" l="1"/>
  <c r="P270" i="10" s="1"/>
  <c r="M271" i="10" s="1"/>
  <c r="Q269" i="10"/>
  <c r="N270" i="10" l="1"/>
  <c r="J271" i="10" s="1"/>
  <c r="O270" i="10"/>
  <c r="K271" i="10" s="1"/>
  <c r="L271" i="10" l="1"/>
  <c r="P271" i="10"/>
  <c r="M272" i="10" s="1"/>
  <c r="Q270" i="10"/>
  <c r="O271" i="10" l="1"/>
  <c r="K272" i="10" s="1"/>
  <c r="N271" i="10"/>
  <c r="J272" i="10" s="1"/>
  <c r="L272" i="10" l="1"/>
  <c r="P272" i="10" s="1"/>
  <c r="M273" i="10" s="1"/>
  <c r="N272" i="10"/>
  <c r="J273" i="10" s="1"/>
  <c r="Q271" i="10"/>
  <c r="L273" i="10" l="1"/>
  <c r="O272" i="10"/>
  <c r="K273" i="10" s="1"/>
  <c r="P273" i="10" l="1"/>
  <c r="M274" i="10" s="1"/>
  <c r="Q272" i="10"/>
  <c r="O273" i="10" l="1"/>
  <c r="K274" i="10" s="1"/>
  <c r="N273" i="10"/>
  <c r="J274" i="10" s="1"/>
  <c r="L274" i="10" l="1"/>
  <c r="O274" i="10"/>
  <c r="K275" i="10" s="1"/>
  <c r="P274" i="10"/>
  <c r="M275" i="10" s="1"/>
  <c r="Q273" i="10"/>
  <c r="N274" i="10" l="1"/>
  <c r="J275" i="10" s="1"/>
  <c r="L275" i="10" l="1"/>
  <c r="O275" i="10"/>
  <c r="K276" i="10" s="1"/>
  <c r="Q274" i="10"/>
  <c r="P275" i="10"/>
  <c r="M276" i="10" s="1"/>
  <c r="N275" i="10" l="1"/>
  <c r="J276" i="10" s="1"/>
  <c r="L276" i="10" l="1"/>
  <c r="O276" i="10"/>
  <c r="K277" i="10" s="1"/>
  <c r="P276" i="10"/>
  <c r="M277" i="10" s="1"/>
  <c r="Q275" i="10"/>
  <c r="N276" i="10" l="1"/>
  <c r="J277" i="10" s="1"/>
  <c r="L277" i="10" l="1"/>
  <c r="P277" i="10" s="1"/>
  <c r="M278" i="10" s="1"/>
  <c r="O277" i="10"/>
  <c r="K278" i="10" s="1"/>
  <c r="Q276" i="10"/>
  <c r="N277" i="10" l="1"/>
  <c r="J278" i="10" s="1"/>
  <c r="L278" i="10" l="1"/>
  <c r="P278" i="10" s="1"/>
  <c r="M279" i="10" s="1"/>
  <c r="O278" i="10"/>
  <c r="K279" i="10" s="1"/>
  <c r="Q277" i="10"/>
  <c r="N278" i="10" l="1"/>
  <c r="J279" i="10" s="1"/>
  <c r="L279" i="10" l="1"/>
  <c r="P279" i="10" s="1"/>
  <c r="M280" i="10" s="1"/>
  <c r="O279" i="10"/>
  <c r="K280" i="10" s="1"/>
  <c r="Q278" i="10"/>
  <c r="N279" i="10" l="1"/>
  <c r="J280" i="10" s="1"/>
  <c r="L280" i="10" l="1"/>
  <c r="P280" i="10" s="1"/>
  <c r="M281" i="10" s="1"/>
  <c r="O280" i="10"/>
  <c r="K281" i="10" s="1"/>
  <c r="Q279" i="10"/>
  <c r="N280" i="10" l="1"/>
  <c r="J281" i="10" s="1"/>
  <c r="L281" i="10" l="1"/>
  <c r="P281" i="10" s="1"/>
  <c r="M282" i="10" s="1"/>
  <c r="O281" i="10"/>
  <c r="K282" i="10" s="1"/>
  <c r="Q280" i="10"/>
  <c r="N281" i="10" l="1"/>
  <c r="J282" i="10" s="1"/>
  <c r="L282" i="10" l="1"/>
  <c r="P282" i="10" s="1"/>
  <c r="M283" i="10" s="1"/>
  <c r="O282" i="10"/>
  <c r="K283" i="10" s="1"/>
  <c r="Q281" i="10"/>
  <c r="N282" i="10" l="1"/>
  <c r="J283" i="10" s="1"/>
  <c r="L283" i="10" l="1"/>
  <c r="P283" i="10" s="1"/>
  <c r="M284" i="10" s="1"/>
  <c r="Q282" i="10"/>
  <c r="N283" i="10" l="1"/>
  <c r="J284" i="10" s="1"/>
  <c r="O283" i="10"/>
  <c r="K284" i="10" s="1"/>
  <c r="L284" i="10" l="1"/>
  <c r="P284" i="10"/>
  <c r="M285" i="10" s="1"/>
  <c r="Q283" i="10"/>
  <c r="O284" i="10" l="1"/>
  <c r="K285" i="10" s="1"/>
  <c r="N284" i="10"/>
  <c r="J285" i="10" s="1"/>
  <c r="L285" i="10" l="1"/>
  <c r="P285" i="10" s="1"/>
  <c r="M286" i="10" s="1"/>
  <c r="Q284" i="10"/>
  <c r="O285" i="10"/>
  <c r="K286" i="10" s="1"/>
  <c r="N285" i="10" l="1"/>
  <c r="J286" i="10" s="1"/>
  <c r="L286" i="10" l="1"/>
  <c r="P286" i="10" s="1"/>
  <c r="M287" i="10" s="1"/>
  <c r="O286" i="10"/>
  <c r="K287" i="10" s="1"/>
  <c r="Q285" i="10"/>
  <c r="N286" i="10" l="1"/>
  <c r="J287" i="10" s="1"/>
  <c r="L287" i="10" l="1"/>
  <c r="O287" i="10"/>
  <c r="K288" i="10" s="1"/>
  <c r="Q286" i="10"/>
  <c r="P287" i="10"/>
  <c r="M288" i="10" s="1"/>
  <c r="N287" i="10" l="1"/>
  <c r="J288" i="10" s="1"/>
  <c r="L288" i="10" l="1"/>
  <c r="P288" i="10" s="1"/>
  <c r="M289" i="10" s="1"/>
  <c r="O288" i="10"/>
  <c r="K289" i="10" s="1"/>
  <c r="Q287" i="10"/>
  <c r="N288" i="10" l="1"/>
  <c r="J289" i="10" s="1"/>
  <c r="L289" i="10" l="1"/>
  <c r="O289" i="10"/>
  <c r="K290" i="10" s="1"/>
  <c r="Q288" i="10"/>
  <c r="P289" i="10"/>
  <c r="M290" i="10" s="1"/>
  <c r="N289" i="10" l="1"/>
  <c r="J290" i="10" s="1"/>
  <c r="L290" i="10" l="1"/>
  <c r="O290" i="10"/>
  <c r="K291" i="10" s="1"/>
  <c r="Q289" i="10"/>
  <c r="P290" i="10"/>
  <c r="M291" i="10" s="1"/>
  <c r="N290" i="10" l="1"/>
  <c r="J291" i="10" s="1"/>
  <c r="L291" i="10" l="1"/>
  <c r="P291" i="10" s="1"/>
  <c r="M292" i="10" s="1"/>
  <c r="O291" i="10"/>
  <c r="K292" i="10" s="1"/>
  <c r="Q290" i="10"/>
  <c r="N291" i="10" l="1"/>
  <c r="J292" i="10" s="1"/>
  <c r="L292" i="10" l="1"/>
  <c r="Q291" i="10"/>
  <c r="P292" i="10"/>
  <c r="M293" i="10" s="1"/>
  <c r="N292" i="10" l="1"/>
  <c r="J293" i="10" s="1"/>
  <c r="O292" i="10"/>
  <c r="K293" i="10" s="1"/>
  <c r="L293" i="10" l="1"/>
  <c r="P293" i="10" s="1"/>
  <c r="M294" i="10" s="1"/>
  <c r="Q292" i="10"/>
  <c r="N293" i="10" l="1"/>
  <c r="O293" i="10"/>
  <c r="K294" i="10" s="1"/>
  <c r="L294" i="10" l="1"/>
  <c r="P294" i="10" s="1"/>
  <c r="M295" i="10" s="1"/>
  <c r="J294" i="10"/>
  <c r="Q293" i="10"/>
  <c r="O294" i="10" l="1"/>
  <c r="K295" i="10" s="1"/>
  <c r="N294" i="10"/>
  <c r="J295" i="10" s="1"/>
  <c r="L295" i="10" l="1"/>
  <c r="P295" i="10" s="1"/>
  <c r="M296" i="10" s="1"/>
  <c r="Q294" i="10"/>
  <c r="O295" i="10" l="1"/>
  <c r="K296" i="10" s="1"/>
  <c r="N295" i="10"/>
  <c r="J296" i="10" s="1"/>
  <c r="L296" i="10" l="1"/>
  <c r="P296" i="10" s="1"/>
  <c r="M297" i="10" s="1"/>
  <c r="O296" i="10"/>
  <c r="K297" i="10" s="1"/>
  <c r="Q295" i="10"/>
  <c r="N296" i="10" l="1"/>
  <c r="J297" i="10" s="1"/>
  <c r="L297" i="10" l="1"/>
  <c r="P297" i="10" s="1"/>
  <c r="M298" i="10" s="1"/>
  <c r="Q296" i="10"/>
  <c r="O297" i="10" l="1"/>
  <c r="K298" i="10" s="1"/>
  <c r="N297" i="10"/>
  <c r="J298" i="10" s="1"/>
  <c r="L298" i="10" l="1"/>
  <c r="P298" i="10" s="1"/>
  <c r="M299" i="10" s="1"/>
  <c r="O298" i="10"/>
  <c r="K299" i="10" s="1"/>
  <c r="Q297" i="10"/>
  <c r="N298" i="10" l="1"/>
  <c r="J299" i="10" s="1"/>
  <c r="L299" i="10" l="1"/>
  <c r="P299" i="10" s="1"/>
  <c r="M300" i="10" s="1"/>
  <c r="Q298" i="10"/>
  <c r="O299" i="10" l="1"/>
  <c r="K300" i="10" s="1"/>
  <c r="N299" i="10"/>
  <c r="J300" i="10" s="1"/>
  <c r="L300" i="10" l="1"/>
  <c r="P300" i="10" s="1"/>
  <c r="M301" i="10" s="1"/>
  <c r="O300" i="10"/>
  <c r="K301" i="10" s="1"/>
  <c r="Q299" i="10"/>
  <c r="N300" i="10" l="1"/>
  <c r="J301" i="10" s="1"/>
  <c r="L301" i="10" l="1"/>
  <c r="P301" i="10" s="1"/>
  <c r="M302" i="10" s="1"/>
  <c r="Q300" i="10"/>
  <c r="O301" i="10" l="1"/>
  <c r="K302" i="10" s="1"/>
  <c r="N301" i="10"/>
  <c r="J302" i="10" s="1"/>
  <c r="L302" i="10" l="1"/>
  <c r="P302" i="10" s="1"/>
  <c r="M303" i="10" s="1"/>
  <c r="O302" i="10"/>
  <c r="K303" i="10" s="1"/>
  <c r="Q301" i="10"/>
  <c r="N302" i="10" l="1"/>
  <c r="J303" i="10" s="1"/>
  <c r="L303" i="10" l="1"/>
  <c r="P303" i="10" s="1"/>
  <c r="M304" i="10" s="1"/>
  <c r="Q302" i="10"/>
  <c r="O303" i="10" l="1"/>
  <c r="K304" i="10" s="1"/>
  <c r="N303" i="10"/>
  <c r="J304" i="10" s="1"/>
  <c r="L304" i="10" l="1"/>
  <c r="P304" i="10" s="1"/>
  <c r="M305" i="10" s="1"/>
  <c r="O304" i="10"/>
  <c r="K305" i="10" s="1"/>
  <c r="Q303" i="10"/>
  <c r="N304" i="10" l="1"/>
  <c r="J305" i="10" s="1"/>
  <c r="L305" i="10" l="1"/>
  <c r="P305" i="10" s="1"/>
  <c r="M306" i="10" s="1"/>
  <c r="Q304" i="10"/>
  <c r="O305" i="10" l="1"/>
  <c r="K306" i="10" s="1"/>
  <c r="N305" i="10"/>
  <c r="J306" i="10" s="1"/>
  <c r="L306" i="10" l="1"/>
  <c r="P306" i="10" s="1"/>
  <c r="M307" i="10" s="1"/>
  <c r="O306" i="10"/>
  <c r="K307" i="10" s="1"/>
  <c r="Q305" i="10"/>
  <c r="N306" i="10" l="1"/>
  <c r="J307" i="10" s="1"/>
  <c r="L307" i="10" l="1"/>
  <c r="P307" i="10" s="1"/>
  <c r="M308" i="10" s="1"/>
  <c r="Q306" i="10"/>
  <c r="O307" i="10" l="1"/>
  <c r="K308" i="10" s="1"/>
  <c r="N307" i="10"/>
  <c r="J308" i="10" s="1"/>
  <c r="L308" i="10" l="1"/>
  <c r="P308" i="10" s="1"/>
  <c r="O308" i="10"/>
  <c r="K309" i="10" s="1"/>
  <c r="Q307" i="10"/>
  <c r="N308" i="10" l="1"/>
  <c r="J309" i="10" s="1"/>
  <c r="M309" i="10"/>
  <c r="L309" i="10" l="1"/>
  <c r="P309" i="10" s="1"/>
  <c r="O309" i="10"/>
  <c r="K310" i="10" s="1"/>
  <c r="Q308" i="10"/>
  <c r="N309" i="10" l="1"/>
  <c r="J310" i="10" s="1"/>
  <c r="M310" i="10"/>
  <c r="L310" i="10" l="1"/>
  <c r="P310" i="10" s="1"/>
  <c r="O310" i="10"/>
  <c r="K311" i="10" s="1"/>
  <c r="Q309" i="10"/>
  <c r="N310" i="10" l="1"/>
  <c r="J311" i="10" s="1"/>
  <c r="M311" i="10"/>
  <c r="L311" i="10" l="1"/>
  <c r="P311" i="10" s="1"/>
  <c r="O311" i="10"/>
  <c r="K312" i="10" s="1"/>
  <c r="Q310" i="10"/>
  <c r="N311" i="10" l="1"/>
  <c r="J312" i="10" s="1"/>
  <c r="M312" i="10"/>
  <c r="L312" i="10" l="1"/>
  <c r="P312" i="10" s="1"/>
  <c r="O312" i="10"/>
  <c r="K313" i="10" s="1"/>
  <c r="Q311" i="10"/>
  <c r="N312" i="10" l="1"/>
  <c r="J313" i="10" s="1"/>
  <c r="M313" i="10"/>
  <c r="L313" i="10" l="1"/>
  <c r="P313" i="10" s="1"/>
  <c r="O313" i="10"/>
  <c r="K314" i="10" s="1"/>
  <c r="Q312" i="10"/>
  <c r="N313" i="10" l="1"/>
  <c r="J314" i="10" s="1"/>
  <c r="M314" i="10"/>
  <c r="L314" i="10" l="1"/>
  <c r="P314" i="10" s="1"/>
  <c r="O314" i="10"/>
  <c r="K315" i="10" s="1"/>
  <c r="Q313" i="10"/>
  <c r="N314" i="10" l="1"/>
  <c r="J315" i="10" s="1"/>
  <c r="Q314" i="10"/>
  <c r="M315" i="10"/>
  <c r="L315" i="10" l="1"/>
  <c r="P315" i="10" s="1"/>
  <c r="M316" i="10" s="1"/>
  <c r="O315" i="10"/>
  <c r="K316" i="10" s="1"/>
  <c r="N315" i="10"/>
  <c r="J316" i="10" s="1"/>
  <c r="L316" i="10" l="1"/>
  <c r="P316" i="10" s="1"/>
  <c r="M317" i="10" s="1"/>
  <c r="O316" i="10"/>
  <c r="K317" i="10" s="1"/>
  <c r="Q315" i="10"/>
  <c r="N316" i="10" l="1"/>
  <c r="Q316" i="10" l="1"/>
  <c r="J317" i="10"/>
  <c r="O317" i="10" s="1"/>
  <c r="K318" i="10" s="1"/>
  <c r="L317" i="10"/>
  <c r="P317" i="10" s="1"/>
  <c r="M318" i="10" s="1"/>
  <c r="N317" i="10" l="1"/>
  <c r="Q317" i="10" s="1"/>
  <c r="L318" i="10" l="1"/>
  <c r="P318" i="10" s="1"/>
  <c r="M319" i="10" s="1"/>
  <c r="J318" i="10"/>
  <c r="O318" i="10" s="1"/>
  <c r="K319" i="10" s="1"/>
  <c r="N318" i="10" l="1"/>
  <c r="J319" i="10" l="1"/>
  <c r="L319" i="10"/>
  <c r="P319" i="10" s="1"/>
  <c r="M320" i="10" s="1"/>
  <c r="Q318" i="10"/>
  <c r="O319" i="10" l="1"/>
  <c r="K320" i="10" s="1"/>
  <c r="N319" i="10"/>
  <c r="J320" i="10" l="1"/>
  <c r="L320" i="10"/>
  <c r="P320" i="10" s="1"/>
  <c r="M321" i="10" s="1"/>
  <c r="Q319" i="10"/>
  <c r="O320" i="10" l="1"/>
  <c r="K321" i="10" s="1"/>
  <c r="N320" i="10"/>
  <c r="J321" i="10" l="1"/>
  <c r="O321" i="10" s="1"/>
  <c r="K322" i="10" s="1"/>
  <c r="L321" i="10"/>
  <c r="P321" i="10" s="1"/>
  <c r="M322" i="10" s="1"/>
  <c r="Q320" i="10"/>
  <c r="N321" i="10" l="1"/>
  <c r="J322" i="10" l="1"/>
  <c r="Q321" i="10"/>
  <c r="L322" i="10"/>
  <c r="P322" i="10" s="1"/>
  <c r="M323" i="10" s="1"/>
  <c r="O322" i="10" l="1"/>
  <c r="K323" i="10" s="1"/>
  <c r="N322" i="10"/>
  <c r="J323" i="10" l="1"/>
  <c r="Q322" i="10"/>
  <c r="L323" i="10"/>
  <c r="P323" i="10" s="1"/>
  <c r="M324" i="10" s="1"/>
  <c r="O323" i="10" l="1"/>
  <c r="K324" i="10" s="1"/>
  <c r="N323" i="10"/>
  <c r="J324" i="10" l="1"/>
  <c r="L324" i="10"/>
  <c r="P324" i="10" s="1"/>
  <c r="M325" i="10" s="1"/>
  <c r="Q323" i="10"/>
  <c r="O324" i="10" l="1"/>
  <c r="K325" i="10" s="1"/>
  <c r="N324" i="10"/>
  <c r="J325" i="10" l="1"/>
  <c r="Q324" i="10"/>
  <c r="L325" i="10"/>
  <c r="P325" i="10" s="1"/>
  <c r="M326" i="10" s="1"/>
  <c r="O325" i="10" l="1"/>
  <c r="K326" i="10" s="1"/>
  <c r="N325" i="10"/>
  <c r="J326" i="10" l="1"/>
  <c r="L326" i="10"/>
  <c r="P326" i="10" s="1"/>
  <c r="M327" i="10" s="1"/>
  <c r="Q325" i="10"/>
  <c r="O326" i="10" l="1"/>
  <c r="K327" i="10" s="1"/>
  <c r="N326" i="10"/>
  <c r="J327" i="10" l="1"/>
  <c r="L327" i="10"/>
  <c r="P327" i="10" s="1"/>
  <c r="M328" i="10" s="1"/>
  <c r="Q326" i="10"/>
  <c r="O327" i="10" l="1"/>
  <c r="K328" i="10" s="1"/>
  <c r="N327" i="10"/>
  <c r="J328" i="10" l="1"/>
  <c r="L328" i="10"/>
  <c r="P328" i="10" s="1"/>
  <c r="M329" i="10" s="1"/>
  <c r="Q327" i="10"/>
  <c r="O328" i="10" l="1"/>
  <c r="K329" i="10" s="1"/>
  <c r="N328" i="10"/>
  <c r="J329" i="10" l="1"/>
  <c r="O329" i="10" s="1"/>
  <c r="K330" i="10" s="1"/>
  <c r="L329" i="10"/>
  <c r="P329" i="10" s="1"/>
  <c r="M330" i="10" s="1"/>
  <c r="Q328" i="10"/>
  <c r="N329" i="10" l="1"/>
  <c r="L330" i="10"/>
  <c r="P330" i="10" s="1"/>
  <c r="M331" i="10" s="1"/>
  <c r="J330" i="10" l="1"/>
  <c r="Q329" i="10"/>
  <c r="O330" i="10" l="1"/>
  <c r="K331" i="10" s="1"/>
  <c r="N330" i="10"/>
  <c r="J331" i="10" l="1"/>
  <c r="L331" i="10"/>
  <c r="P331" i="10" s="1"/>
  <c r="M332" i="10" s="1"/>
  <c r="Q330" i="10"/>
  <c r="O331" i="10" l="1"/>
  <c r="K332" i="10" s="1"/>
  <c r="N331" i="10"/>
  <c r="J332" i="10" l="1"/>
  <c r="L332" i="10"/>
  <c r="P332" i="10" s="1"/>
  <c r="M333" i="10" s="1"/>
  <c r="Q331" i="10"/>
  <c r="O332" i="10" l="1"/>
  <c r="K333" i="10" s="1"/>
  <c r="N332" i="10"/>
  <c r="J333" i="10" l="1"/>
  <c r="L333" i="10"/>
  <c r="P333" i="10" s="1"/>
  <c r="M334" i="10" s="1"/>
  <c r="Q332" i="10"/>
  <c r="O333" i="10" l="1"/>
  <c r="K334" i="10" s="1"/>
  <c r="N333" i="10"/>
  <c r="J334" i="10" l="1"/>
  <c r="O334" i="10" s="1"/>
  <c r="K335" i="10" s="1"/>
  <c r="L334" i="10"/>
  <c r="P334" i="10" s="1"/>
  <c r="M335" i="10" s="1"/>
  <c r="Q333" i="10"/>
  <c r="N334" i="10"/>
  <c r="J335" i="10" s="1"/>
  <c r="O335" i="10" s="1"/>
  <c r="K336" i="10" s="1"/>
  <c r="L335" i="10"/>
  <c r="P335" i="10" s="1"/>
  <c r="M336" i="10" s="1"/>
  <c r="Q334" i="10"/>
  <c r="N335" i="10" l="1"/>
  <c r="J336" i="10" s="1"/>
  <c r="L336" i="10" l="1"/>
  <c r="P336" i="10" s="1"/>
  <c r="M337" i="10" s="1"/>
  <c r="O336" i="10"/>
  <c r="K337" i="10" s="1"/>
  <c r="Q335" i="10"/>
  <c r="N336" i="10" l="1"/>
  <c r="J337" i="10" s="1"/>
  <c r="L337" i="10" l="1"/>
  <c r="P337" i="10" s="1"/>
  <c r="M338" i="10" s="1"/>
  <c r="O337" i="10"/>
  <c r="K338" i="10" s="1"/>
  <c r="Q336" i="10"/>
  <c r="N337" i="10" l="1"/>
  <c r="J338" i="10" s="1"/>
  <c r="L338" i="10" l="1"/>
  <c r="P338" i="10" s="1"/>
  <c r="M339" i="10" s="1"/>
  <c r="O338" i="10"/>
  <c r="K339" i="10" s="1"/>
  <c r="Q337" i="10"/>
  <c r="N338" i="10" l="1"/>
  <c r="J339" i="10" s="1"/>
  <c r="L339" i="10" l="1"/>
  <c r="O339" i="10"/>
  <c r="K340" i="10" s="1"/>
  <c r="P339" i="10"/>
  <c r="M340" i="10" s="1"/>
  <c r="Q338" i="10"/>
  <c r="N339" i="10" l="1"/>
  <c r="J340" i="10" s="1"/>
  <c r="L340" i="10" l="1"/>
  <c r="P340" i="10" s="1"/>
  <c r="M341" i="10" s="1"/>
  <c r="O340" i="10"/>
  <c r="K341" i="10" s="1"/>
  <c r="Q339" i="10"/>
  <c r="N340" i="10" l="1"/>
  <c r="J341" i="10" s="1"/>
  <c r="L341" i="10" l="1"/>
  <c r="P341" i="10" s="1"/>
  <c r="M342" i="10" s="1"/>
  <c r="O341" i="10"/>
  <c r="K342" i="10" s="1"/>
  <c r="Q340" i="10"/>
  <c r="N341" i="10" l="1"/>
  <c r="J342" i="10" s="1"/>
  <c r="L342" i="10" l="1"/>
  <c r="P342" i="10" s="1"/>
  <c r="M343" i="10" s="1"/>
  <c r="O342" i="10"/>
  <c r="K343" i="10" s="1"/>
  <c r="Q341" i="10"/>
  <c r="N342" i="10" l="1"/>
  <c r="J343" i="10" s="1"/>
  <c r="L343" i="10" l="1"/>
  <c r="P343" i="10" s="1"/>
  <c r="M344" i="10" s="1"/>
  <c r="O343" i="10"/>
  <c r="K344" i="10" s="1"/>
  <c r="Q342" i="10"/>
  <c r="N343" i="10" l="1"/>
  <c r="J344" i="10" s="1"/>
  <c r="L344" i="10" l="1"/>
  <c r="P344" i="10" s="1"/>
  <c r="M345" i="10" s="1"/>
  <c r="O344" i="10"/>
  <c r="K345" i="10" s="1"/>
  <c r="Q343" i="10"/>
  <c r="N344" i="10" l="1"/>
  <c r="J345" i="10" s="1"/>
  <c r="L345" i="10" l="1"/>
  <c r="P345" i="10" s="1"/>
  <c r="M346" i="10" s="1"/>
  <c r="O345" i="10"/>
  <c r="K346" i="10" s="1"/>
  <c r="Q344" i="10"/>
  <c r="N345" i="10" l="1"/>
  <c r="J346" i="10" s="1"/>
  <c r="L346" i="10" l="1"/>
  <c r="P346" i="10" s="1"/>
  <c r="M347" i="10" s="1"/>
  <c r="Q345" i="10"/>
  <c r="O346" i="10"/>
  <c r="K347" i="10" s="1"/>
  <c r="N346" i="10" l="1"/>
  <c r="J347" i="10" s="1"/>
  <c r="L347" i="10" l="1"/>
  <c r="O347" i="10"/>
  <c r="K348" i="10" s="1"/>
  <c r="P347" i="10"/>
  <c r="M348" i="10" s="1"/>
  <c r="Q346" i="10"/>
  <c r="N347" i="10" l="1"/>
  <c r="J348" i="10" s="1"/>
  <c r="L348" i="10" l="1"/>
  <c r="P348" i="10" s="1"/>
  <c r="M349" i="10" s="1"/>
  <c r="O348" i="10"/>
  <c r="K349" i="10" s="1"/>
  <c r="Q347" i="10"/>
  <c r="N348" i="10" l="1"/>
  <c r="J349" i="10" s="1"/>
  <c r="L349" i="10" l="1"/>
  <c r="P349" i="10" s="1"/>
  <c r="M350" i="10" s="1"/>
  <c r="O349" i="10"/>
  <c r="K350" i="10" s="1"/>
  <c r="Q348" i="10"/>
  <c r="N349" i="10" l="1"/>
  <c r="J350" i="10" s="1"/>
  <c r="L350" i="10" l="1"/>
  <c r="P350" i="10" s="1"/>
  <c r="M351" i="10" s="1"/>
  <c r="O350" i="10"/>
  <c r="K351" i="10" s="1"/>
  <c r="Q349" i="10"/>
  <c r="N350" i="10" l="1"/>
  <c r="J351" i="10" s="1"/>
  <c r="L351" i="10" l="1"/>
  <c r="P351" i="10" s="1"/>
  <c r="M352" i="10" s="1"/>
  <c r="O351" i="10"/>
  <c r="K352" i="10" s="1"/>
  <c r="Q350" i="10"/>
  <c r="N351" i="10" l="1"/>
  <c r="J352" i="10" s="1"/>
  <c r="L352" i="10" l="1"/>
  <c r="P352" i="10" s="1"/>
  <c r="M353" i="10" s="1"/>
  <c r="O352" i="10"/>
  <c r="K353" i="10" s="1"/>
  <c r="Q351" i="10"/>
  <c r="N352" i="10" l="1"/>
  <c r="J353" i="10" s="1"/>
  <c r="L353" i="10" l="1"/>
  <c r="P353" i="10" s="1"/>
  <c r="M354" i="10" s="1"/>
  <c r="O353" i="10"/>
  <c r="K354" i="10" s="1"/>
  <c r="Q352" i="10"/>
  <c r="N353" i="10" l="1"/>
  <c r="J354" i="10" s="1"/>
  <c r="L354" i="10" l="1"/>
  <c r="O354" i="10"/>
  <c r="K355" i="10" s="1"/>
  <c r="P354" i="10"/>
  <c r="M355" i="10" s="1"/>
  <c r="Q353" i="10"/>
  <c r="N354" i="10" l="1"/>
  <c r="J355" i="10" s="1"/>
  <c r="L355" i="10" l="1"/>
  <c r="O355" i="10"/>
  <c r="K356" i="10" s="1"/>
  <c r="P355" i="10"/>
  <c r="M356" i="10" s="1"/>
  <c r="Q354" i="10"/>
  <c r="N355" i="10" l="1"/>
  <c r="J356" i="10" s="1"/>
  <c r="L356" i="10" l="1"/>
  <c r="P356" i="10" s="1"/>
  <c r="M357" i="10" s="1"/>
  <c r="O356" i="10"/>
  <c r="K357" i="10" s="1"/>
  <c r="Q355" i="10"/>
  <c r="N356" i="10" l="1"/>
  <c r="J357" i="10" s="1"/>
  <c r="L357" i="10" l="1"/>
  <c r="P357" i="10" s="1"/>
  <c r="M358" i="10" s="1"/>
  <c r="O357" i="10"/>
  <c r="K358" i="10" s="1"/>
  <c r="Q356" i="10"/>
  <c r="N357" i="10" l="1"/>
  <c r="J358" i="10" s="1"/>
  <c r="L358" i="10" l="1"/>
  <c r="P358" i="10" s="1"/>
  <c r="M359" i="10" s="1"/>
  <c r="O358" i="10"/>
  <c r="K359" i="10" s="1"/>
  <c r="Q357" i="10"/>
  <c r="N358" i="10" l="1"/>
  <c r="J359" i="10" s="1"/>
  <c r="L359" i="10" l="1"/>
  <c r="P359" i="10" s="1"/>
  <c r="M360" i="10" s="1"/>
  <c r="O359" i="10"/>
  <c r="K360" i="10" s="1"/>
  <c r="Q358" i="10"/>
  <c r="N359" i="10" l="1"/>
  <c r="J360" i="10" s="1"/>
  <c r="L360" i="10" l="1"/>
  <c r="P360" i="10" s="1"/>
  <c r="M361" i="10" s="1"/>
  <c r="O360" i="10"/>
  <c r="K361" i="10" s="1"/>
  <c r="Q359" i="10"/>
  <c r="N360" i="10" l="1"/>
  <c r="J361" i="10" s="1"/>
  <c r="L361" i="10" l="1"/>
  <c r="P361" i="10" s="1"/>
  <c r="M362" i="10" s="1"/>
  <c r="O361" i="10"/>
  <c r="K362" i="10" s="1"/>
  <c r="Q360" i="10"/>
  <c r="N361" i="10" l="1"/>
  <c r="J362" i="10" s="1"/>
  <c r="L362" i="10" l="1"/>
  <c r="P362" i="10" s="1"/>
  <c r="M363" i="10" s="1"/>
  <c r="O362" i="10"/>
  <c r="K363" i="10" s="1"/>
  <c r="Q361" i="10"/>
  <c r="N362" i="10" l="1"/>
  <c r="J363" i="10" s="1"/>
  <c r="L363" i="10" l="1"/>
  <c r="P363" i="10" s="1"/>
  <c r="M364" i="10" s="1"/>
  <c r="O363" i="10"/>
  <c r="K364" i="10" s="1"/>
  <c r="Q362" i="10"/>
  <c r="N363" i="10" l="1"/>
  <c r="J364" i="10" s="1"/>
  <c r="L364" i="10" l="1"/>
  <c r="P364" i="10" s="1"/>
  <c r="M365" i="10" s="1"/>
  <c r="O364" i="10"/>
  <c r="K365" i="10" s="1"/>
  <c r="Q363" i="10"/>
  <c r="N364" i="10" l="1"/>
  <c r="J365" i="10" s="1"/>
  <c r="L365" i="10" l="1"/>
  <c r="P365" i="10" s="1"/>
  <c r="M366" i="10" s="1"/>
  <c r="O365" i="10"/>
  <c r="K366" i="10" s="1"/>
  <c r="Q364" i="10"/>
  <c r="N365" i="10" l="1"/>
  <c r="J366" i="10" s="1"/>
  <c r="L366" i="10" l="1"/>
  <c r="P366" i="10" s="1"/>
  <c r="M367" i="10" s="1"/>
  <c r="O366" i="10"/>
  <c r="K367" i="10" s="1"/>
  <c r="Q365" i="10"/>
  <c r="N366" i="10" l="1"/>
  <c r="J367" i="10" s="1"/>
  <c r="L367" i="10" l="1"/>
  <c r="P367" i="10" s="1"/>
  <c r="M368" i="10" s="1"/>
  <c r="O367" i="10"/>
  <c r="K368" i="10" s="1"/>
  <c r="Q366" i="10"/>
  <c r="N367" i="10" l="1"/>
  <c r="J368" i="10" s="1"/>
  <c r="L368" i="10" l="1"/>
  <c r="P368" i="10" s="1"/>
  <c r="M369" i="10" s="1"/>
  <c r="O368" i="10"/>
  <c r="K369" i="10" s="1"/>
  <c r="Q367" i="10"/>
  <c r="N368" i="10" l="1"/>
  <c r="J369" i="10" s="1"/>
  <c r="L369" i="10" l="1"/>
  <c r="P369" i="10" s="1"/>
  <c r="M370" i="10" s="1"/>
  <c r="O369" i="10"/>
  <c r="K370" i="10" s="1"/>
  <c r="Q368" i="10"/>
  <c r="N369" i="10" l="1"/>
  <c r="J370" i="10" s="1"/>
  <c r="L370" i="10" l="1"/>
  <c r="O370" i="10"/>
  <c r="K371" i="10" s="1"/>
  <c r="P370" i="10"/>
  <c r="M371" i="10" s="1"/>
  <c r="Q369" i="10"/>
  <c r="N370" i="10" l="1"/>
  <c r="J371" i="10" s="1"/>
  <c r="L371" i="10" l="1"/>
  <c r="P371" i="10" s="1"/>
  <c r="M372" i="10" s="1"/>
  <c r="O371" i="10"/>
  <c r="K372" i="10" s="1"/>
  <c r="Q370" i="10"/>
  <c r="N371" i="10" l="1"/>
  <c r="J372" i="10" s="1"/>
  <c r="L372" i="10" l="1"/>
  <c r="P372" i="10" s="1"/>
  <c r="M373" i="10" s="1"/>
  <c r="O372" i="10"/>
  <c r="K373" i="10" s="1"/>
  <c r="Q371" i="10"/>
  <c r="N372" i="10" l="1"/>
  <c r="J373" i="10" s="1"/>
  <c r="L373" i="10" l="1"/>
  <c r="P373" i="10" s="1"/>
  <c r="M374" i="10" s="1"/>
  <c r="O373" i="10"/>
  <c r="K374" i="10" s="1"/>
  <c r="Q372" i="10"/>
  <c r="N373" i="10" l="1"/>
  <c r="J374" i="10" s="1"/>
  <c r="L374" i="10" l="1"/>
  <c r="O374" i="10"/>
  <c r="K375" i="10" s="1"/>
  <c r="Q373" i="10"/>
  <c r="P374" i="10"/>
  <c r="M375" i="10" s="1"/>
  <c r="N374" i="10" l="1"/>
  <c r="J375" i="10" s="1"/>
  <c r="L375" i="10" l="1"/>
  <c r="P375" i="10" s="1"/>
  <c r="M376" i="10" s="1"/>
  <c r="O375" i="10"/>
  <c r="K376" i="10" s="1"/>
  <c r="Q374" i="10"/>
  <c r="N375" i="10" l="1"/>
  <c r="J376" i="10" s="1"/>
  <c r="L376" i="10" l="1"/>
  <c r="O376" i="10"/>
  <c r="K377" i="10" s="1"/>
  <c r="Q375" i="10"/>
  <c r="P376" i="10"/>
  <c r="M377" i="10" s="1"/>
  <c r="N376" i="10" l="1"/>
  <c r="J377" i="10" s="1"/>
  <c r="L377" i="10" l="1"/>
  <c r="P377" i="10" s="1"/>
  <c r="M378" i="10" s="1"/>
  <c r="O377" i="10"/>
  <c r="K378" i="10" s="1"/>
  <c r="Q376" i="10"/>
  <c r="N377" i="10" l="1"/>
  <c r="J378" i="10" s="1"/>
  <c r="L378" i="10" l="1"/>
  <c r="P378" i="10" s="1"/>
  <c r="M379" i="10" s="1"/>
  <c r="O378" i="10"/>
  <c r="K379" i="10" s="1"/>
  <c r="Q377" i="10"/>
  <c r="N378" i="10" l="1"/>
  <c r="J379" i="10" s="1"/>
  <c r="L379" i="10" l="1"/>
  <c r="P379" i="10" s="1"/>
  <c r="M380" i="10" s="1"/>
  <c r="O379" i="10"/>
  <c r="K380" i="10" s="1"/>
  <c r="Q378" i="10"/>
  <c r="N379" i="10" l="1"/>
  <c r="J380" i="10" s="1"/>
  <c r="L380" i="10" l="1"/>
  <c r="O380" i="10"/>
  <c r="K381" i="10" s="1"/>
  <c r="P380" i="10"/>
  <c r="M381" i="10" s="1"/>
  <c r="Q379" i="10"/>
  <c r="N380" i="10" l="1"/>
  <c r="J381" i="10" s="1"/>
  <c r="L381" i="10" l="1"/>
  <c r="P381" i="10" s="1"/>
  <c r="M382" i="10" s="1"/>
  <c r="O381" i="10"/>
  <c r="K382" i="10" s="1"/>
  <c r="Q380" i="10"/>
  <c r="N381" i="10" l="1"/>
  <c r="J382" i="10" s="1"/>
  <c r="L382" i="10" l="1"/>
  <c r="P382" i="10" s="1"/>
  <c r="M383" i="10" s="1"/>
  <c r="O382" i="10"/>
  <c r="K383" i="10" s="1"/>
  <c r="Q381" i="10"/>
  <c r="N382" i="10" l="1"/>
  <c r="J383" i="10" s="1"/>
  <c r="L383" i="10" l="1"/>
  <c r="O383" i="10"/>
  <c r="K384" i="10" s="1"/>
  <c r="Q382" i="10"/>
  <c r="P383" i="10"/>
  <c r="M384" i="10" s="1"/>
  <c r="N383" i="10" l="1"/>
  <c r="J384" i="10" s="1"/>
  <c r="L384" i="10" l="1"/>
  <c r="P384" i="10" s="1"/>
  <c r="M385" i="10" s="1"/>
  <c r="O384" i="10"/>
  <c r="K385" i="10" s="1"/>
  <c r="Q383" i="10"/>
  <c r="N384" i="10" l="1"/>
  <c r="J385" i="10" s="1"/>
  <c r="L385" i="10" l="1"/>
  <c r="P385" i="10" s="1"/>
  <c r="M386" i="10" s="1"/>
  <c r="O385" i="10"/>
  <c r="K386" i="10" s="1"/>
  <c r="Q384" i="10"/>
  <c r="N385" i="10" l="1"/>
  <c r="J386" i="10" s="1"/>
  <c r="L386" i="10" l="1"/>
  <c r="O386" i="10"/>
  <c r="K387" i="10" s="1"/>
  <c r="P386" i="10"/>
  <c r="M387" i="10" s="1"/>
  <c r="Q385" i="10"/>
  <c r="N386" i="10" l="1"/>
  <c r="J387" i="10" s="1"/>
  <c r="L387" i="10" l="1"/>
  <c r="P387" i="10" s="1"/>
  <c r="M388" i="10" s="1"/>
  <c r="O387" i="10"/>
  <c r="K388" i="10" s="1"/>
  <c r="Q386" i="10"/>
  <c r="N387" i="10" l="1"/>
  <c r="J388" i="10" s="1"/>
  <c r="L388" i="10" l="1"/>
  <c r="P388" i="10" s="1"/>
  <c r="M389" i="10" s="1"/>
  <c r="O388" i="10"/>
  <c r="K389" i="10" s="1"/>
  <c r="Q387" i="10"/>
  <c r="N388" i="10" l="1"/>
  <c r="J389" i="10" s="1"/>
  <c r="L389" i="10" l="1"/>
  <c r="P389" i="10" s="1"/>
  <c r="M390" i="10" s="1"/>
  <c r="Q388" i="10"/>
  <c r="O389" i="10"/>
  <c r="K390" i="10" s="1"/>
  <c r="N389" i="10" l="1"/>
  <c r="J390" i="10" s="1"/>
  <c r="L390" i="10" l="1"/>
  <c r="P390" i="10" s="1"/>
  <c r="M391" i="10" s="1"/>
  <c r="O390" i="10"/>
  <c r="K391" i="10" s="1"/>
  <c r="Q389" i="10"/>
  <c r="N390" i="10" l="1"/>
  <c r="J391" i="10" s="1"/>
  <c r="L391" i="10" l="1"/>
  <c r="O391" i="10"/>
  <c r="K392" i="10" s="1"/>
  <c r="Q390" i="10"/>
  <c r="P391" i="10"/>
  <c r="M392" i="10" s="1"/>
  <c r="N391" i="10" l="1"/>
  <c r="J392" i="10" s="1"/>
  <c r="L392" i="10" l="1"/>
  <c r="O392" i="10"/>
  <c r="K393" i="10" s="1"/>
  <c r="P392" i="10"/>
  <c r="M393" i="10" s="1"/>
  <c r="Q391" i="10"/>
  <c r="N392" i="10" l="1"/>
  <c r="J393" i="10" s="1"/>
  <c r="L393" i="10" l="1"/>
  <c r="O393" i="10"/>
  <c r="K394" i="10" s="1"/>
  <c r="P393" i="10"/>
  <c r="M394" i="10" s="1"/>
  <c r="Q392" i="10"/>
  <c r="N393" i="10" l="1"/>
  <c r="J394" i="10" s="1"/>
  <c r="L394" i="10" l="1"/>
  <c r="P394" i="10" s="1"/>
  <c r="M395" i="10" s="1"/>
  <c r="O394" i="10"/>
  <c r="K395" i="10" s="1"/>
  <c r="Q393" i="10"/>
  <c r="N394" i="10" l="1"/>
  <c r="J395" i="10" s="1"/>
  <c r="L395" i="10" l="1"/>
  <c r="O395" i="10"/>
  <c r="K396" i="10" s="1"/>
  <c r="Q394" i="10"/>
  <c r="P395" i="10"/>
  <c r="M396" i="10" s="1"/>
  <c r="N395" i="10" l="1"/>
  <c r="J396" i="10" s="1"/>
  <c r="L396" i="10" l="1"/>
  <c r="P396" i="10" s="1"/>
  <c r="M397" i="10" s="1"/>
  <c r="O396" i="10"/>
  <c r="K397" i="10" s="1"/>
  <c r="Q395" i="10"/>
  <c r="N396" i="10" l="1"/>
  <c r="J397" i="10" s="1"/>
  <c r="L397" i="10" l="1"/>
  <c r="P397" i="10" s="1"/>
  <c r="M398" i="10" s="1"/>
  <c r="O397" i="10"/>
  <c r="K398" i="10" s="1"/>
  <c r="Q396" i="10"/>
  <c r="N397" i="10" l="1"/>
  <c r="J398" i="10" s="1"/>
  <c r="L398" i="10" l="1"/>
  <c r="O398" i="10"/>
  <c r="K399" i="10" s="1"/>
  <c r="Q397" i="10"/>
  <c r="P398" i="10"/>
  <c r="M399" i="10" s="1"/>
  <c r="N398" i="10" l="1"/>
  <c r="J399" i="10" s="1"/>
  <c r="L399" i="10" l="1"/>
  <c r="P399" i="10" s="1"/>
  <c r="M400" i="10" s="1"/>
  <c r="O399" i="10"/>
  <c r="K400" i="10" s="1"/>
  <c r="Q398" i="10"/>
  <c r="N399" i="10" l="1"/>
  <c r="J400" i="10" s="1"/>
  <c r="L400" i="10" l="1"/>
  <c r="O400" i="10"/>
  <c r="K401" i="10" s="1"/>
  <c r="Q399" i="10"/>
  <c r="P400" i="10"/>
  <c r="M401" i="10" s="1"/>
  <c r="N400" i="10" l="1"/>
  <c r="J401" i="10" s="1"/>
  <c r="L401" i="10" l="1"/>
  <c r="O401" i="10"/>
  <c r="K402" i="10" s="1"/>
  <c r="P401" i="10"/>
  <c r="M402" i="10" s="1"/>
  <c r="Q400" i="10"/>
  <c r="N401" i="10" l="1"/>
  <c r="J402" i="10" s="1"/>
  <c r="L402" i="10" l="1"/>
  <c r="O402" i="10"/>
  <c r="K403" i="10" s="1"/>
  <c r="Q401" i="10"/>
  <c r="P402" i="10"/>
  <c r="M403" i="10" s="1"/>
  <c r="N402" i="10" l="1"/>
  <c r="J403" i="10" s="1"/>
  <c r="L403" i="10" l="1"/>
  <c r="O403" i="10"/>
  <c r="K404" i="10" s="1"/>
  <c r="P403" i="10"/>
  <c r="M404" i="10" s="1"/>
  <c r="Q402" i="10"/>
  <c r="N403" i="10" l="1"/>
  <c r="J404" i="10" s="1"/>
  <c r="L404" i="10" l="1"/>
  <c r="P404" i="10" s="1"/>
  <c r="M405" i="10" s="1"/>
  <c r="O404" i="10"/>
  <c r="K405" i="10" s="1"/>
  <c r="Q403" i="10"/>
  <c r="N404" i="10" l="1"/>
  <c r="J405" i="10" s="1"/>
  <c r="L405" i="10" l="1"/>
  <c r="Q404" i="10"/>
  <c r="P405" i="10"/>
  <c r="M406" i="10" s="1"/>
  <c r="O405" i="10"/>
  <c r="K406" i="10" s="1"/>
  <c r="N405" i="10" l="1"/>
  <c r="J406" i="10" s="1"/>
  <c r="L406" i="10" l="1"/>
  <c r="Q405" i="10"/>
  <c r="P406" i="10"/>
  <c r="M407" i="10" s="1"/>
  <c r="O406" i="10"/>
  <c r="K407" i="10" s="1"/>
  <c r="N406" i="10" l="1"/>
  <c r="J407" i="10" s="1"/>
  <c r="L407" i="10" l="1"/>
  <c r="P407" i="10" s="1"/>
  <c r="M408" i="10" s="1"/>
  <c r="O407" i="10"/>
  <c r="K408" i="10" s="1"/>
  <c r="Q406" i="10"/>
  <c r="N407" i="10" l="1"/>
  <c r="J408" i="10" s="1"/>
  <c r="L408" i="10" l="1"/>
  <c r="P408" i="10" s="1"/>
  <c r="M409" i="10" s="1"/>
  <c r="O408" i="10"/>
  <c r="K409" i="10" s="1"/>
  <c r="Q407" i="10"/>
  <c r="N408" i="10" l="1"/>
  <c r="J409" i="10" s="1"/>
  <c r="L409" i="10" l="1"/>
  <c r="P409" i="10"/>
  <c r="M410" i="10" s="1"/>
  <c r="Q408" i="10"/>
  <c r="O409" i="10"/>
  <c r="K410" i="10" s="1"/>
  <c r="N409" i="10" l="1"/>
  <c r="J410" i="10" s="1"/>
  <c r="L410" i="10" l="1"/>
  <c r="P410" i="10" s="1"/>
  <c r="M411" i="10" s="1"/>
  <c r="O410" i="10"/>
  <c r="K411" i="10" s="1"/>
  <c r="Q409" i="10"/>
  <c r="N410" i="10" l="1"/>
  <c r="J411" i="10" s="1"/>
  <c r="L411" i="10" l="1"/>
  <c r="O411" i="10"/>
  <c r="K412" i="10" s="1"/>
  <c r="P411" i="10"/>
  <c r="M412" i="10" s="1"/>
  <c r="Q410" i="10"/>
  <c r="N411" i="10" l="1"/>
  <c r="J412" i="10" s="1"/>
  <c r="L412" i="10" l="1"/>
  <c r="P412" i="10" s="1"/>
  <c r="M413" i="10" s="1"/>
  <c r="O412" i="10"/>
  <c r="K413" i="10" s="1"/>
  <c r="Q411" i="10"/>
  <c r="N412" i="10" l="1"/>
  <c r="J413" i="10" s="1"/>
  <c r="L413" i="10" l="1"/>
  <c r="P413" i="10" s="1"/>
  <c r="M414" i="10" s="1"/>
  <c r="O413" i="10"/>
  <c r="K414" i="10" s="1"/>
  <c r="Q412" i="10"/>
  <c r="N413" i="10" l="1"/>
  <c r="J414" i="10" s="1"/>
  <c r="L414" i="10" l="1"/>
  <c r="O414" i="10"/>
  <c r="K415" i="10" s="1"/>
  <c r="P414" i="10"/>
  <c r="M415" i="10" s="1"/>
  <c r="Q413" i="10"/>
  <c r="N414" i="10" l="1"/>
  <c r="J415" i="10" s="1"/>
  <c r="L415" i="10" l="1"/>
  <c r="O415" i="10"/>
  <c r="K416" i="10" s="1"/>
  <c r="P415" i="10"/>
  <c r="M416" i="10" s="1"/>
  <c r="Q414" i="10"/>
  <c r="N415" i="10" l="1"/>
  <c r="J416" i="10" s="1"/>
  <c r="L416" i="10" l="1"/>
  <c r="O416" i="10"/>
  <c r="K417" i="10" s="1"/>
  <c r="Q415" i="10"/>
  <c r="P416" i="10"/>
  <c r="M417" i="10" s="1"/>
  <c r="N416" i="10" l="1"/>
  <c r="J417" i="10" s="1"/>
  <c r="L417" i="10" l="1"/>
  <c r="Q416" i="10"/>
  <c r="P417" i="10"/>
  <c r="M418" i="10" s="1"/>
  <c r="O417" i="10"/>
  <c r="K418" i="10" s="1"/>
  <c r="N417" i="10" l="1"/>
  <c r="J418" i="10" s="1"/>
  <c r="L418" i="10" l="1"/>
  <c r="P418" i="10"/>
  <c r="M419" i="10" s="1"/>
  <c r="O418" i="10"/>
  <c r="K419" i="10" s="1"/>
  <c r="Q417" i="10"/>
  <c r="N418" i="10" l="1"/>
  <c r="J419" i="10" s="1"/>
  <c r="L419" i="10" l="1"/>
  <c r="P419" i="10" s="1"/>
  <c r="M420" i="10" s="1"/>
  <c r="O419" i="10"/>
  <c r="K420" i="10" s="1"/>
  <c r="Q418" i="10"/>
  <c r="N419" i="10" l="1"/>
  <c r="J420" i="10" s="1"/>
  <c r="L420" i="10" l="1"/>
  <c r="P420" i="10" s="1"/>
  <c r="M421" i="10" s="1"/>
  <c r="O420" i="10"/>
  <c r="K421" i="10" s="1"/>
  <c r="Q419" i="10"/>
  <c r="N420" i="10" l="1"/>
  <c r="J421" i="10" s="1"/>
  <c r="L421" i="10" l="1"/>
  <c r="O421" i="10"/>
  <c r="K422" i="10" s="1"/>
  <c r="Q420" i="10"/>
  <c r="P421" i="10"/>
  <c r="M422" i="10" s="1"/>
  <c r="N421" i="10" l="1"/>
  <c r="J422" i="10" s="1"/>
  <c r="L422" i="10" l="1"/>
  <c r="P422" i="10" s="1"/>
  <c r="M423" i="10" s="1"/>
  <c r="O422" i="10"/>
  <c r="K423" i="10" s="1"/>
  <c r="Q421" i="10"/>
  <c r="N422" i="10" l="1"/>
  <c r="J423" i="10" s="1"/>
  <c r="L423" i="10" l="1"/>
  <c r="P423" i="10" s="1"/>
  <c r="M424" i="10" s="1"/>
  <c r="O423" i="10"/>
  <c r="K424" i="10" s="1"/>
  <c r="Q422" i="10"/>
  <c r="N423" i="10" l="1"/>
  <c r="J424" i="10" s="1"/>
  <c r="L424" i="10" l="1"/>
  <c r="O424" i="10"/>
  <c r="K425" i="10" s="1"/>
  <c r="Q423" i="10"/>
  <c r="P424" i="10"/>
  <c r="M425" i="10" s="1"/>
  <c r="N424" i="10" l="1"/>
  <c r="J425" i="10" s="1"/>
  <c r="L425" i="10" l="1"/>
  <c r="O425" i="10"/>
  <c r="K426" i="10" s="1"/>
  <c r="Q424" i="10"/>
  <c r="P425" i="10"/>
  <c r="M426" i="10" s="1"/>
  <c r="N425" i="10" l="1"/>
  <c r="J426" i="10" s="1"/>
  <c r="L426" i="10" l="1"/>
  <c r="P426" i="10" s="1"/>
  <c r="M427" i="10" s="1"/>
  <c r="O426" i="10"/>
  <c r="K427" i="10" s="1"/>
  <c r="Q425" i="10"/>
  <c r="N426" i="10" l="1"/>
  <c r="J427" i="10" s="1"/>
  <c r="L427" i="10" l="1"/>
  <c r="P427" i="10" s="1"/>
  <c r="M428" i="10" s="1"/>
  <c r="O427" i="10"/>
  <c r="K428" i="10" s="1"/>
  <c r="Q426" i="10"/>
  <c r="N427" i="10" l="1"/>
  <c r="J428" i="10" s="1"/>
  <c r="L428" i="10" l="1"/>
  <c r="P428" i="10" s="1"/>
  <c r="M429" i="10" s="1"/>
  <c r="O428" i="10"/>
  <c r="K429" i="10" s="1"/>
  <c r="Q427" i="10"/>
  <c r="N428" i="10" l="1"/>
  <c r="J429" i="10" s="1"/>
  <c r="L429" i="10" l="1"/>
  <c r="O429" i="10"/>
  <c r="K430" i="10" s="1"/>
  <c r="Q428" i="10"/>
  <c r="P429" i="10"/>
  <c r="M430" i="10" s="1"/>
  <c r="N429" i="10" l="1"/>
  <c r="J430" i="10" s="1"/>
  <c r="L430" i="10" l="1"/>
  <c r="P430" i="10" s="1"/>
  <c r="M431" i="10" s="1"/>
  <c r="O430" i="10"/>
  <c r="K431" i="10" s="1"/>
  <c r="Q429" i="10"/>
  <c r="N430" i="10" l="1"/>
  <c r="J431" i="10" s="1"/>
  <c r="L431" i="10" l="1"/>
  <c r="O431" i="10"/>
  <c r="K432" i="10" s="1"/>
  <c r="Q430" i="10"/>
  <c r="P431" i="10"/>
  <c r="M432" i="10" s="1"/>
  <c r="N431" i="10" l="1"/>
  <c r="J432" i="10" s="1"/>
  <c r="L432" i="10" l="1"/>
  <c r="P432" i="10" s="1"/>
  <c r="M433" i="10" s="1"/>
  <c r="O432" i="10"/>
  <c r="K433" i="10" s="1"/>
  <c r="Q431" i="10"/>
  <c r="N432" i="10" l="1"/>
  <c r="J433" i="10" s="1"/>
  <c r="L433" i="10" l="1"/>
  <c r="P433" i="10" s="1"/>
  <c r="M434" i="10" s="1"/>
  <c r="O433" i="10"/>
  <c r="K434" i="10" s="1"/>
  <c r="Q432" i="10"/>
  <c r="N433" i="10" l="1"/>
  <c r="J434" i="10" s="1"/>
  <c r="L434" i="10" l="1"/>
  <c r="P434" i="10" s="1"/>
  <c r="M435" i="10" s="1"/>
  <c r="Q433" i="10"/>
  <c r="O434" i="10"/>
  <c r="K435" i="10" s="1"/>
  <c r="N434" i="10" l="1"/>
  <c r="J435" i="10" s="1"/>
  <c r="L435" i="10" l="1"/>
  <c r="P435" i="10" s="1"/>
  <c r="M436" i="10" s="1"/>
  <c r="O435" i="10"/>
  <c r="K436" i="10" s="1"/>
  <c r="Q434" i="10"/>
  <c r="N435" i="10" l="1"/>
  <c r="J436" i="10" s="1"/>
  <c r="L436" i="10" l="1"/>
  <c r="P436" i="10" s="1"/>
  <c r="M437" i="10" s="1"/>
  <c r="O436" i="10"/>
  <c r="K437" i="10" s="1"/>
  <c r="Q435" i="10"/>
  <c r="N436" i="10" l="1"/>
  <c r="J437" i="10" s="1"/>
  <c r="L437" i="10" l="1"/>
  <c r="P437" i="10" s="1"/>
  <c r="M438" i="10" s="1"/>
  <c r="O437" i="10"/>
  <c r="K438" i="10" s="1"/>
  <c r="Q436" i="10"/>
  <c r="N437" i="10" l="1"/>
  <c r="J438" i="10" s="1"/>
  <c r="L438" i="10" l="1"/>
  <c r="O438" i="10"/>
  <c r="K439" i="10" s="1"/>
  <c r="P438" i="10"/>
  <c r="M439" i="10" s="1"/>
  <c r="Q437" i="10"/>
  <c r="N438" i="10" l="1"/>
  <c r="J439" i="10" s="1"/>
  <c r="L439" i="10" l="1"/>
  <c r="P439" i="10" s="1"/>
  <c r="M440" i="10" s="1"/>
  <c r="O439" i="10"/>
  <c r="K440" i="10" s="1"/>
  <c r="Q438" i="10"/>
  <c r="N439" i="10" l="1"/>
  <c r="J440" i="10" s="1"/>
  <c r="L440" i="10" l="1"/>
  <c r="O440" i="10"/>
  <c r="K441" i="10" s="1"/>
  <c r="Q439" i="10"/>
  <c r="P440" i="10"/>
  <c r="M441" i="10" s="1"/>
  <c r="N440" i="10" l="1"/>
  <c r="J441" i="10" s="1"/>
  <c r="L441" i="10" l="1"/>
  <c r="P441" i="10" s="1"/>
  <c r="M442" i="10" s="1"/>
  <c r="O441" i="10"/>
  <c r="K442" i="10" s="1"/>
  <c r="Q440" i="10"/>
  <c r="N441" i="10" l="1"/>
  <c r="J442" i="10" s="1"/>
  <c r="L442" i="10" l="1"/>
  <c r="O442" i="10"/>
  <c r="K443" i="10" s="1"/>
  <c r="Q441" i="10"/>
  <c r="P442" i="10"/>
  <c r="M443" i="10" s="1"/>
  <c r="N442" i="10" l="1"/>
  <c r="J443" i="10" s="1"/>
  <c r="L443" i="10" l="1"/>
  <c r="P443" i="10" s="1"/>
  <c r="M444" i="10" s="1"/>
  <c r="O443" i="10"/>
  <c r="K444" i="10" s="1"/>
  <c r="Q442" i="10"/>
  <c r="N443" i="10" l="1"/>
  <c r="J444" i="10" s="1"/>
  <c r="L444" i="10" l="1"/>
  <c r="O444" i="10"/>
  <c r="K445" i="10" s="1"/>
  <c r="P444" i="10"/>
  <c r="M445" i="10" s="1"/>
  <c r="Q443" i="10"/>
  <c r="N444" i="10" l="1"/>
  <c r="J445" i="10" s="1"/>
  <c r="L445" i="10" l="1"/>
  <c r="P445" i="10" s="1"/>
  <c r="M446" i="10" s="1"/>
  <c r="Q444" i="10"/>
  <c r="O445" i="10"/>
  <c r="K446" i="10" s="1"/>
  <c r="N445" i="10" l="1"/>
  <c r="J446" i="10" s="1"/>
  <c r="L446" i="10" l="1"/>
  <c r="P446" i="10" s="1"/>
  <c r="M447" i="10" s="1"/>
  <c r="O446" i="10"/>
  <c r="K447" i="10" s="1"/>
  <c r="Q445" i="10"/>
  <c r="N446" i="10" l="1"/>
  <c r="J447" i="10" s="1"/>
  <c r="L447" i="10" l="1"/>
  <c r="P447" i="10" s="1"/>
  <c r="M448" i="10" s="1"/>
  <c r="O447" i="10"/>
  <c r="K448" i="10" s="1"/>
  <c r="Q446" i="10"/>
  <c r="N447" i="10" l="1"/>
  <c r="J448" i="10" s="1"/>
  <c r="L448" i="10" l="1"/>
  <c r="O448" i="10"/>
  <c r="K449" i="10" s="1"/>
  <c r="Q447" i="10"/>
  <c r="P448" i="10"/>
  <c r="M449" i="10" s="1"/>
  <c r="N448" i="10" l="1"/>
  <c r="J449" i="10" s="1"/>
  <c r="L449" i="10" l="1"/>
  <c r="P449" i="10" s="1"/>
  <c r="M450" i="10" s="1"/>
  <c r="O449" i="10"/>
  <c r="K450" i="10" s="1"/>
  <c r="Q448" i="10"/>
  <c r="N449" i="10" l="1"/>
  <c r="J450" i="10" s="1"/>
  <c r="L450" i="10" l="1"/>
  <c r="O450" i="10"/>
  <c r="K451" i="10" s="1"/>
  <c r="Q449" i="10"/>
  <c r="P450" i="10"/>
  <c r="M451" i="10" s="1"/>
  <c r="N450" i="10" l="1"/>
  <c r="J451" i="10" s="1"/>
  <c r="L451" i="10" l="1"/>
  <c r="P451" i="10" s="1"/>
  <c r="M452" i="10" s="1"/>
  <c r="O451" i="10"/>
  <c r="K452" i="10" s="1"/>
  <c r="Q450" i="10"/>
  <c r="N451" i="10" l="1"/>
  <c r="J452" i="10" s="1"/>
  <c r="L452" i="10" l="1"/>
  <c r="O452" i="10"/>
  <c r="K453" i="10" s="1"/>
  <c r="P452" i="10"/>
  <c r="M453" i="10" s="1"/>
  <c r="Q451" i="10"/>
  <c r="N452" i="10" l="1"/>
  <c r="J453" i="10" s="1"/>
  <c r="L453" i="10" l="1"/>
  <c r="P453" i="10" s="1"/>
  <c r="M454" i="10" s="1"/>
  <c r="O453" i="10"/>
  <c r="K454" i="10" s="1"/>
  <c r="Q452" i="10"/>
  <c r="N453" i="10" l="1"/>
  <c r="J454" i="10" s="1"/>
  <c r="L454" i="10" l="1"/>
  <c r="P454" i="10" s="1"/>
  <c r="M455" i="10" s="1"/>
  <c r="O454" i="10"/>
  <c r="K455" i="10" s="1"/>
  <c r="Q453" i="10"/>
  <c r="N454" i="10" l="1"/>
  <c r="J455" i="10" s="1"/>
  <c r="L455" i="10" l="1"/>
  <c r="P455" i="10" s="1"/>
  <c r="M456" i="10" s="1"/>
  <c r="O455" i="10"/>
  <c r="K456" i="10" s="1"/>
  <c r="Q454" i="10"/>
  <c r="N455" i="10" l="1"/>
  <c r="J456" i="10" s="1"/>
  <c r="L456" i="10" l="1"/>
  <c r="P456" i="10" s="1"/>
  <c r="M457" i="10" s="1"/>
  <c r="O456" i="10"/>
  <c r="K457" i="10" s="1"/>
  <c r="Q455" i="10"/>
  <c r="N456" i="10" l="1"/>
  <c r="J457" i="10" s="1"/>
  <c r="L457" i="10" l="1"/>
  <c r="P457" i="10" s="1"/>
  <c r="M458" i="10" s="1"/>
  <c r="O457" i="10"/>
  <c r="K458" i="10" s="1"/>
  <c r="Q456" i="10"/>
  <c r="N457" i="10" l="1"/>
  <c r="J458" i="10" s="1"/>
  <c r="L458" i="10" l="1"/>
  <c r="P458" i="10" s="1"/>
  <c r="M459" i="10" s="1"/>
  <c r="O458" i="10"/>
  <c r="K459" i="10" s="1"/>
  <c r="Q457" i="10"/>
  <c r="N458" i="10" l="1"/>
  <c r="J459" i="10" s="1"/>
  <c r="L459" i="10" l="1"/>
  <c r="P459" i="10" s="1"/>
  <c r="M460" i="10" s="1"/>
  <c r="O459" i="10"/>
  <c r="K460" i="10" s="1"/>
  <c r="Q458" i="10"/>
  <c r="N459" i="10" l="1"/>
  <c r="J460" i="10" s="1"/>
  <c r="L460" i="10" l="1"/>
  <c r="O460" i="10"/>
  <c r="K461" i="10" s="1"/>
  <c r="P460" i="10"/>
  <c r="M461" i="10" s="1"/>
  <c r="Q459" i="10"/>
  <c r="N460" i="10" l="1"/>
  <c r="J461" i="10" s="1"/>
  <c r="L461" i="10" l="1"/>
  <c r="P461" i="10" s="1"/>
  <c r="M462" i="10" s="1"/>
  <c r="O461" i="10"/>
  <c r="K462" i="10" s="1"/>
  <c r="Q460" i="10"/>
  <c r="N461" i="10" l="1"/>
  <c r="J462" i="10" s="1"/>
  <c r="L462" i="10" l="1"/>
  <c r="P462" i="10" s="1"/>
  <c r="M463" i="10" s="1"/>
  <c r="O462" i="10"/>
  <c r="K463" i="10" s="1"/>
  <c r="Q461" i="10"/>
  <c r="N462" i="10" l="1"/>
  <c r="J463" i="10" s="1"/>
  <c r="L463" i="10" l="1"/>
  <c r="P463" i="10" s="1"/>
  <c r="M464" i="10" s="1"/>
  <c r="O463" i="10"/>
  <c r="K464" i="10" s="1"/>
  <c r="Q462" i="10"/>
  <c r="N463" i="10" l="1"/>
  <c r="J464" i="10" s="1"/>
  <c r="L464" i="10" l="1"/>
  <c r="O464" i="10"/>
  <c r="K465" i="10" s="1"/>
  <c r="Q463" i="10"/>
  <c r="P464" i="10"/>
  <c r="M465" i="10" s="1"/>
  <c r="N464" i="10" l="1"/>
  <c r="J465" i="10" s="1"/>
  <c r="L465" i="10" l="1"/>
  <c r="P465" i="10" s="1"/>
  <c r="M466" i="10" s="1"/>
  <c r="O465" i="10"/>
  <c r="K466" i="10" s="1"/>
  <c r="Q464" i="10"/>
  <c r="N465" i="10" l="1"/>
  <c r="J466" i="10" s="1"/>
  <c r="L466" i="10" l="1"/>
  <c r="P466" i="10" s="1"/>
  <c r="M467" i="10" s="1"/>
  <c r="O466" i="10"/>
  <c r="K467" i="10" s="1"/>
  <c r="Q465" i="10"/>
  <c r="N466" i="10" l="1"/>
  <c r="J467" i="10" s="1"/>
  <c r="L467" i="10" l="1"/>
  <c r="P467" i="10" s="1"/>
  <c r="M468" i="10" s="1"/>
  <c r="O467" i="10"/>
  <c r="K468" i="10" s="1"/>
  <c r="Q466" i="10"/>
  <c r="N467" i="10" l="1"/>
  <c r="J468" i="10" s="1"/>
  <c r="L468" i="10" l="1"/>
  <c r="P468" i="10" s="1"/>
  <c r="M469" i="10" s="1"/>
  <c r="O468" i="10"/>
  <c r="K469" i="10" s="1"/>
  <c r="Q467" i="10"/>
  <c r="N468" i="10" l="1"/>
  <c r="J469" i="10" s="1"/>
  <c r="L469" i="10" l="1"/>
  <c r="P469" i="10" s="1"/>
  <c r="M470" i="10" s="1"/>
  <c r="O469" i="10"/>
  <c r="K470" i="10" s="1"/>
  <c r="Q468" i="10"/>
  <c r="N469" i="10" l="1"/>
  <c r="J470" i="10" s="1"/>
  <c r="L470" i="10" l="1"/>
  <c r="P470" i="10" s="1"/>
  <c r="M471" i="10" s="1"/>
  <c r="O470" i="10"/>
  <c r="K471" i="10" s="1"/>
  <c r="Q469" i="10"/>
  <c r="N470" i="10" l="1"/>
  <c r="J471" i="10" s="1"/>
  <c r="L471" i="10" l="1"/>
  <c r="P471" i="10" s="1"/>
  <c r="M472" i="10" s="1"/>
  <c r="O471" i="10"/>
  <c r="K472" i="10" s="1"/>
  <c r="Q470" i="10"/>
  <c r="N471" i="10" l="1"/>
  <c r="J472" i="10" s="1"/>
  <c r="L472" i="10" l="1"/>
  <c r="P472" i="10" s="1"/>
  <c r="M473" i="10" s="1"/>
  <c r="O472" i="10"/>
  <c r="K473" i="10" s="1"/>
  <c r="Q471" i="10"/>
  <c r="N472" i="10" l="1"/>
  <c r="J473" i="10" s="1"/>
  <c r="L473" i="10" l="1"/>
  <c r="P473" i="10" s="1"/>
  <c r="M474" i="10" s="1"/>
  <c r="O473" i="10"/>
  <c r="K474" i="10" s="1"/>
  <c r="Q472" i="10"/>
  <c r="N473" i="10" l="1"/>
  <c r="J474" i="10" s="1"/>
  <c r="L474" i="10" l="1"/>
  <c r="Q473" i="10"/>
  <c r="P474" i="10"/>
  <c r="M475" i="10" s="1"/>
  <c r="O474" i="10"/>
  <c r="K475" i="10" s="1"/>
  <c r="N474" i="10" l="1"/>
  <c r="J475" i="10" s="1"/>
  <c r="L475" i="10" l="1"/>
  <c r="P475" i="10" s="1"/>
  <c r="M476" i="10" s="1"/>
  <c r="O475" i="10"/>
  <c r="K476" i="10" s="1"/>
  <c r="Q474" i="10"/>
  <c r="N475" i="10" l="1"/>
  <c r="J476" i="10" s="1"/>
  <c r="L476" i="10" l="1"/>
  <c r="P476" i="10" s="1"/>
  <c r="M477" i="10" s="1"/>
  <c r="O476" i="10"/>
  <c r="K477" i="10" s="1"/>
  <c r="Q475" i="10"/>
  <c r="N476" i="10" l="1"/>
  <c r="J477" i="10" s="1"/>
  <c r="L477" i="10" l="1"/>
  <c r="P477" i="10" s="1"/>
  <c r="M478" i="10" s="1"/>
  <c r="O477" i="10"/>
  <c r="K478" i="10" s="1"/>
  <c r="Q476" i="10"/>
  <c r="N477" i="10" l="1"/>
  <c r="J478" i="10" s="1"/>
  <c r="L478" i="10" l="1"/>
  <c r="P478" i="10" s="1"/>
  <c r="M479" i="10" s="1"/>
  <c r="O478" i="10"/>
  <c r="K479" i="10" s="1"/>
  <c r="Q477" i="10"/>
  <c r="N478" i="10" l="1"/>
  <c r="J479" i="10" s="1"/>
  <c r="L479" i="10" l="1"/>
  <c r="P479" i="10" s="1"/>
  <c r="M480" i="10" s="1"/>
  <c r="O479" i="10"/>
  <c r="K480" i="10" s="1"/>
  <c r="Q478" i="10"/>
  <c r="N479" i="10" l="1"/>
  <c r="J480" i="10" s="1"/>
  <c r="L480" i="10" l="1"/>
  <c r="O480" i="10"/>
  <c r="K481" i="10" s="1"/>
  <c r="Q479" i="10"/>
  <c r="P480" i="10"/>
  <c r="M481" i="10" s="1"/>
  <c r="N480" i="10" l="1"/>
  <c r="J481" i="10" s="1"/>
  <c r="L481" i="10" l="1"/>
  <c r="P481" i="10" s="1"/>
  <c r="M482" i="10" s="1"/>
  <c r="O481" i="10"/>
  <c r="K482" i="10" s="1"/>
  <c r="Q480" i="10"/>
  <c r="N481" i="10" l="1"/>
  <c r="J482" i="10" s="1"/>
  <c r="L482" i="10" l="1"/>
  <c r="P482" i="10" s="1"/>
  <c r="M483" i="10" s="1"/>
  <c r="O482" i="10"/>
  <c r="K483" i="10" s="1"/>
  <c r="Q481" i="10"/>
  <c r="N482" i="10" l="1"/>
  <c r="J483" i="10" s="1"/>
  <c r="L483" i="10" l="1"/>
  <c r="P483" i="10" s="1"/>
  <c r="M484" i="10" s="1"/>
  <c r="O483" i="10"/>
  <c r="K484" i="10" s="1"/>
  <c r="Q482" i="10"/>
  <c r="N483" i="10" l="1"/>
  <c r="J484" i="10" s="1"/>
  <c r="L484" i="10" l="1"/>
  <c r="P484" i="10" s="1"/>
  <c r="M485" i="10" s="1"/>
  <c r="O484" i="10"/>
  <c r="K485" i="10" s="1"/>
  <c r="Q483" i="10"/>
  <c r="N484" i="10" l="1"/>
  <c r="J485" i="10" s="1"/>
  <c r="L485" i="10" l="1"/>
  <c r="P485" i="10" s="1"/>
  <c r="M486" i="10" s="1"/>
  <c r="O485" i="10"/>
  <c r="K486" i="10" s="1"/>
  <c r="Q484" i="10"/>
  <c r="N485" i="10" l="1"/>
  <c r="J486" i="10" s="1"/>
  <c r="L486" i="10" l="1"/>
  <c r="O486" i="10"/>
  <c r="K487" i="10" s="1"/>
  <c r="Q485" i="10"/>
  <c r="P486" i="10"/>
  <c r="M487" i="10" s="1"/>
  <c r="N486" i="10" l="1"/>
  <c r="J487" i="10" s="1"/>
  <c r="L487" i="10" l="1"/>
  <c r="P487" i="10" s="1"/>
  <c r="M488" i="10" s="1"/>
  <c r="O487" i="10"/>
  <c r="K488" i="10" s="1"/>
  <c r="Q486" i="10"/>
  <c r="N487" i="10" l="1"/>
  <c r="J488" i="10" s="1"/>
  <c r="L488" i="10" l="1"/>
  <c r="P488" i="10" s="1"/>
  <c r="M489" i="10" s="1"/>
  <c r="O488" i="10"/>
  <c r="K489" i="10" s="1"/>
  <c r="Q487" i="10"/>
  <c r="N488" i="10" l="1"/>
  <c r="J489" i="10" s="1"/>
  <c r="L489" i="10" l="1"/>
  <c r="O489" i="10"/>
  <c r="K490" i="10" s="1"/>
  <c r="Q488" i="10"/>
  <c r="P489" i="10"/>
  <c r="M490" i="10" s="1"/>
  <c r="N489" i="10" l="1"/>
  <c r="J490" i="10" s="1"/>
  <c r="L490" i="10" l="1"/>
  <c r="P490" i="10" s="1"/>
  <c r="M491" i="10" s="1"/>
  <c r="O490" i="10"/>
  <c r="K491" i="10" s="1"/>
  <c r="Q489" i="10"/>
  <c r="N490" i="10" l="1"/>
  <c r="J491" i="10" s="1"/>
  <c r="L491" i="10" l="1"/>
  <c r="P491" i="10" s="1"/>
  <c r="M492" i="10" s="1"/>
  <c r="O491" i="10"/>
  <c r="K492" i="10" s="1"/>
  <c r="Q490" i="10"/>
  <c r="N491" i="10" l="1"/>
  <c r="J492" i="10" s="1"/>
  <c r="L492" i="10" l="1"/>
  <c r="P492" i="10" s="1"/>
  <c r="M493" i="10" s="1"/>
  <c r="O492" i="10"/>
  <c r="K493" i="10" s="1"/>
  <c r="Q491" i="10"/>
  <c r="N492" i="10" l="1"/>
  <c r="J493" i="10" s="1"/>
  <c r="L493" i="10" l="1"/>
  <c r="P493" i="10" s="1"/>
  <c r="M494" i="10" s="1"/>
  <c r="O493" i="10"/>
  <c r="K494" i="10" s="1"/>
  <c r="Q492" i="10"/>
  <c r="N493" i="10" l="1"/>
  <c r="J494" i="10" s="1"/>
  <c r="L494" i="10" l="1"/>
  <c r="P494" i="10" s="1"/>
  <c r="M495" i="10" s="1"/>
  <c r="O494" i="10"/>
  <c r="K495" i="10" s="1"/>
  <c r="Q493" i="10"/>
  <c r="N494" i="10" l="1"/>
  <c r="J495" i="10" s="1"/>
  <c r="L495" i="10" l="1"/>
  <c r="P495" i="10" s="1"/>
  <c r="M496" i="10" s="1"/>
  <c r="O495" i="10"/>
  <c r="K496" i="10" s="1"/>
  <c r="Q494" i="10"/>
  <c r="N495" i="10" l="1"/>
  <c r="J496" i="10" s="1"/>
  <c r="L496" i="10" l="1"/>
  <c r="P496" i="10" s="1"/>
  <c r="M497" i="10" s="1"/>
  <c r="O496" i="10"/>
  <c r="K497" i="10" s="1"/>
  <c r="Q495" i="10"/>
  <c r="N496" i="10" l="1"/>
  <c r="J497" i="10" s="1"/>
  <c r="L497" i="10" l="1"/>
  <c r="P497" i="10" s="1"/>
  <c r="M498" i="10" s="1"/>
  <c r="O497" i="10"/>
  <c r="K498" i="10" s="1"/>
  <c r="Q496" i="10"/>
  <c r="N497" i="10" l="1"/>
  <c r="J498" i="10" s="1"/>
  <c r="L498" i="10" l="1"/>
  <c r="O498" i="10"/>
  <c r="K499" i="10" s="1"/>
  <c r="P498" i="10"/>
  <c r="M499" i="10" s="1"/>
  <c r="Q497" i="10"/>
  <c r="N498" i="10" l="1"/>
  <c r="J499" i="10" s="1"/>
  <c r="L499" i="10" l="1"/>
  <c r="P499" i="10" s="1"/>
  <c r="M500" i="10" s="1"/>
  <c r="O499" i="10"/>
  <c r="K500" i="10" s="1"/>
  <c r="Q498" i="10"/>
  <c r="N499" i="10" l="1"/>
  <c r="J500" i="10" s="1"/>
  <c r="L500" i="10" l="1"/>
  <c r="P500" i="10" s="1"/>
  <c r="M501" i="10" s="1"/>
  <c r="O500" i="10"/>
  <c r="K501" i="10" s="1"/>
  <c r="Q499" i="10"/>
  <c r="N500" i="10" l="1"/>
  <c r="J501" i="10" s="1"/>
  <c r="L501" i="10" l="1"/>
  <c r="P501" i="10" s="1"/>
  <c r="M502" i="10" s="1"/>
  <c r="O501" i="10"/>
  <c r="K502" i="10" s="1"/>
  <c r="Q500" i="10"/>
  <c r="N501" i="10" l="1"/>
  <c r="J502" i="10" s="1"/>
  <c r="L502" i="10" l="1"/>
  <c r="P502" i="10" s="1"/>
  <c r="M503" i="10" s="1"/>
  <c r="O502" i="10"/>
  <c r="K503" i="10" s="1"/>
  <c r="Q501" i="10"/>
  <c r="N502" i="10" l="1"/>
  <c r="J503" i="10" s="1"/>
  <c r="L503" i="10" l="1"/>
  <c r="O503" i="10"/>
  <c r="K504" i="10" s="1"/>
  <c r="Q502" i="10"/>
  <c r="P503" i="10"/>
  <c r="M504" i="10" s="1"/>
  <c r="N503" i="10" l="1"/>
  <c r="J504" i="10" s="1"/>
  <c r="L504" i="10" l="1"/>
  <c r="O504" i="10"/>
  <c r="K505" i="10" s="1"/>
  <c r="Q503" i="10"/>
  <c r="P504" i="10"/>
  <c r="M505" i="10" s="1"/>
  <c r="N504" i="10" l="1"/>
  <c r="J505" i="10" s="1"/>
  <c r="L505" i="10" l="1"/>
  <c r="O505" i="10"/>
  <c r="K506" i="10" s="1"/>
  <c r="P505" i="10"/>
  <c r="M506" i="10" s="1"/>
  <c r="Q504" i="10"/>
  <c r="N505" i="10" l="1"/>
  <c r="J506" i="10" s="1"/>
  <c r="L506" i="10" l="1"/>
  <c r="P506" i="10" s="1"/>
  <c r="M507" i="10" s="1"/>
  <c r="O506" i="10"/>
  <c r="K507" i="10" s="1"/>
  <c r="Q505" i="10"/>
  <c r="N506" i="10" l="1"/>
  <c r="J507" i="10" s="1"/>
  <c r="L507" i="10" l="1"/>
  <c r="P507" i="10" s="1"/>
  <c r="M508" i="10" s="1"/>
  <c r="O507" i="10"/>
  <c r="K508" i="10" s="1"/>
  <c r="Q506" i="10"/>
  <c r="N507" i="10" l="1"/>
  <c r="J508" i="10" s="1"/>
  <c r="L508" i="10" l="1"/>
  <c r="P508" i="10" s="1"/>
  <c r="M509" i="10" s="1"/>
  <c r="O508" i="10"/>
  <c r="K509" i="10" s="1"/>
  <c r="Q507" i="10"/>
  <c r="N508" i="10" l="1"/>
  <c r="J509" i="10" s="1"/>
  <c r="L509" i="10" l="1"/>
  <c r="P509" i="10" s="1"/>
  <c r="M510" i="10" s="1"/>
  <c r="O509" i="10"/>
  <c r="K510" i="10" s="1"/>
  <c r="Q508" i="10"/>
  <c r="N509" i="10" l="1"/>
  <c r="J510" i="10" s="1"/>
  <c r="L510" i="10" l="1"/>
  <c r="O510" i="10"/>
  <c r="K511" i="10" s="1"/>
  <c r="Q509" i="10"/>
  <c r="P510" i="10"/>
  <c r="M511" i="10" s="1"/>
  <c r="N510" i="10" l="1"/>
  <c r="J511" i="10" s="1"/>
  <c r="L511" i="10" l="1"/>
  <c r="P511" i="10" s="1"/>
  <c r="M512" i="10" s="1"/>
  <c r="O511" i="10"/>
  <c r="K512" i="10" s="1"/>
  <c r="Q510" i="10"/>
  <c r="N511" i="10" l="1"/>
  <c r="J512" i="10" s="1"/>
  <c r="L512" i="10" l="1"/>
  <c r="P512" i="10" s="1"/>
  <c r="M513" i="10" s="1"/>
  <c r="O512" i="10"/>
  <c r="K513" i="10" s="1"/>
  <c r="Q511" i="10"/>
  <c r="N512" i="10" l="1"/>
  <c r="J513" i="10" s="1"/>
  <c r="L513" i="10" l="1"/>
  <c r="P513" i="10" s="1"/>
  <c r="M514" i="10" s="1"/>
  <c r="O513" i="10"/>
  <c r="K514" i="10" s="1"/>
  <c r="Q512" i="10"/>
  <c r="N513" i="10" l="1"/>
  <c r="J514" i="10" s="1"/>
  <c r="L514" i="10" l="1"/>
  <c r="O514" i="10"/>
  <c r="K515" i="10" s="1"/>
  <c r="Q513" i="10"/>
  <c r="P514" i="10"/>
  <c r="M515" i="10" s="1"/>
  <c r="N514" i="10" l="1"/>
  <c r="J515" i="10" s="1"/>
  <c r="L515" i="10" l="1"/>
  <c r="O515" i="10"/>
  <c r="K516" i="10" s="1"/>
  <c r="P515" i="10"/>
  <c r="M516" i="10" s="1"/>
  <c r="Q514" i="10"/>
  <c r="N515" i="10" l="1"/>
  <c r="J516" i="10" s="1"/>
  <c r="L516" i="10" l="1"/>
  <c r="P516" i="10" s="1"/>
  <c r="M517" i="10" s="1"/>
  <c r="O516" i="10"/>
  <c r="K517" i="10" s="1"/>
  <c r="Q515" i="10"/>
  <c r="N516" i="10" l="1"/>
  <c r="J517" i="10" s="1"/>
  <c r="L517" i="10" l="1"/>
  <c r="O517" i="10"/>
  <c r="K518" i="10" s="1"/>
  <c r="P517" i="10"/>
  <c r="M518" i="10" s="1"/>
  <c r="Q516" i="10"/>
  <c r="N517" i="10" l="1"/>
  <c r="J518" i="10" s="1"/>
  <c r="L518" i="10" l="1"/>
  <c r="P518" i="10" s="1"/>
  <c r="M519" i="10" s="1"/>
  <c r="O518" i="10"/>
  <c r="K519" i="10" s="1"/>
  <c r="Q517" i="10"/>
  <c r="N518" i="10" l="1"/>
  <c r="J519" i="10" s="1"/>
  <c r="L519" i="10" l="1"/>
  <c r="P519" i="10" s="1"/>
  <c r="M520" i="10" s="1"/>
  <c r="O519" i="10"/>
  <c r="K520" i="10" s="1"/>
  <c r="Q518" i="10"/>
  <c r="N519" i="10" l="1"/>
  <c r="J520" i="10" s="1"/>
  <c r="L520" i="10" l="1"/>
  <c r="P520" i="10" s="1"/>
  <c r="M521" i="10" s="1"/>
  <c r="O520" i="10"/>
  <c r="K521" i="10" s="1"/>
  <c r="Q519" i="10"/>
  <c r="N520" i="10" l="1"/>
  <c r="J521" i="10" s="1"/>
  <c r="L521" i="10" l="1"/>
  <c r="P521" i="10" s="1"/>
  <c r="M522" i="10" s="1"/>
  <c r="O521" i="10"/>
  <c r="K522" i="10" s="1"/>
  <c r="Q520" i="10"/>
  <c r="N521" i="10" l="1"/>
  <c r="J522" i="10" s="1"/>
  <c r="L522" i="10" l="1"/>
  <c r="P522" i="10" s="1"/>
  <c r="M523" i="10" s="1"/>
  <c r="O522" i="10"/>
  <c r="K523" i="10" s="1"/>
  <c r="Q521" i="10"/>
  <c r="N522" i="10" l="1"/>
  <c r="J523" i="10" s="1"/>
  <c r="L523" i="10" l="1"/>
  <c r="O523" i="10"/>
  <c r="K524" i="10" s="1"/>
  <c r="Q522" i="10"/>
  <c r="P523" i="10"/>
  <c r="M524" i="10" s="1"/>
  <c r="N523" i="10" l="1"/>
  <c r="J524" i="10" s="1"/>
  <c r="L524" i="10" l="1"/>
  <c r="O524" i="10"/>
  <c r="K525" i="10" s="1"/>
  <c r="Q523" i="10"/>
  <c r="P524" i="10"/>
  <c r="M525" i="10" s="1"/>
  <c r="N524" i="10" l="1"/>
  <c r="J525" i="10" s="1"/>
  <c r="L525" i="10" l="1"/>
  <c r="O525" i="10"/>
  <c r="K526" i="10" s="1"/>
  <c r="Q524" i="10"/>
  <c r="P525" i="10"/>
  <c r="M526" i="10" s="1"/>
  <c r="N525" i="10" l="1"/>
  <c r="J526" i="10" s="1"/>
  <c r="L526" i="10" l="1"/>
  <c r="P526" i="10" s="1"/>
  <c r="M527" i="10" s="1"/>
  <c r="O526" i="10"/>
  <c r="K527" i="10" s="1"/>
  <c r="Q525" i="10"/>
  <c r="N526" i="10" l="1"/>
  <c r="J527" i="10" s="1"/>
  <c r="L527" i="10" l="1"/>
  <c r="P527" i="10" s="1"/>
  <c r="M528" i="10" s="1"/>
  <c r="O527" i="10"/>
  <c r="K528" i="10" s="1"/>
  <c r="Q526" i="10"/>
  <c r="N527" i="10" l="1"/>
  <c r="J528" i="10" s="1"/>
  <c r="L528" i="10" l="1"/>
  <c r="P528" i="10" s="1"/>
  <c r="M529" i="10" s="1"/>
  <c r="O528" i="10"/>
  <c r="K529" i="10" s="1"/>
  <c r="Q527" i="10"/>
  <c r="N528" i="10" l="1"/>
  <c r="J529" i="10" s="1"/>
  <c r="L529" i="10" l="1"/>
  <c r="P529" i="10" s="1"/>
  <c r="M530" i="10" s="1"/>
  <c r="O529" i="10"/>
  <c r="K530" i="10" s="1"/>
  <c r="Q528" i="10"/>
  <c r="N529" i="10" l="1"/>
  <c r="J530" i="10" s="1"/>
  <c r="L530" i="10" l="1"/>
  <c r="P530" i="10" s="1"/>
  <c r="M531" i="10" s="1"/>
  <c r="O530" i="10"/>
  <c r="K531" i="10" s="1"/>
  <c r="Q529" i="10"/>
  <c r="N530" i="10" l="1"/>
  <c r="J531" i="10" s="1"/>
  <c r="L531" i="10" l="1"/>
  <c r="P531" i="10" s="1"/>
  <c r="M532" i="10" s="1"/>
  <c r="Q530" i="10"/>
  <c r="O531" i="10"/>
  <c r="K532" i="10" s="1"/>
  <c r="N531" i="10" l="1"/>
  <c r="J532" i="10" s="1"/>
  <c r="L532" i="10" l="1"/>
  <c r="P532" i="10" s="1"/>
  <c r="M533" i="10" s="1"/>
  <c r="O532" i="10"/>
  <c r="K533" i="10" s="1"/>
  <c r="Q531" i="10"/>
  <c r="N532" i="10" l="1"/>
  <c r="J533" i="10" s="1"/>
  <c r="L533" i="10" l="1"/>
  <c r="P533" i="10" s="1"/>
  <c r="M534" i="10" s="1"/>
  <c r="Q532" i="10"/>
  <c r="O533" i="10"/>
  <c r="K534" i="10" s="1"/>
  <c r="N533" i="10" l="1"/>
  <c r="J534" i="10" s="1"/>
  <c r="L534" i="10" l="1"/>
  <c r="O534" i="10"/>
  <c r="K535" i="10" s="1"/>
  <c r="Q533" i="10"/>
  <c r="P534" i="10"/>
  <c r="M535" i="10" s="1"/>
  <c r="N534" i="10" l="1"/>
  <c r="J535" i="10" s="1"/>
  <c r="L535" i="10" l="1"/>
  <c r="P535" i="10" s="1"/>
  <c r="M536" i="10" s="1"/>
  <c r="O535" i="10"/>
  <c r="K536" i="10" s="1"/>
  <c r="Q534" i="10"/>
  <c r="N535" i="10" l="1"/>
  <c r="J536" i="10" s="1"/>
  <c r="L536" i="10" l="1"/>
  <c r="P536" i="10" s="1"/>
  <c r="M537" i="10" s="1"/>
  <c r="O536" i="10"/>
  <c r="K537" i="10" s="1"/>
  <c r="Q535" i="10"/>
  <c r="N536" i="10" l="1"/>
  <c r="J537" i="10" s="1"/>
  <c r="L537" i="10" l="1"/>
  <c r="Q536" i="10"/>
  <c r="O537" i="10"/>
  <c r="K538" i="10" s="1"/>
  <c r="P537" i="10"/>
  <c r="M538" i="10" s="1"/>
  <c r="N537" i="10" l="1"/>
  <c r="J538" i="10" s="1"/>
  <c r="L538" i="10" l="1"/>
  <c r="P538" i="10" s="1"/>
  <c r="M539" i="10" s="1"/>
  <c r="O538" i="10"/>
  <c r="K539" i="10" s="1"/>
  <c r="Q537" i="10"/>
  <c r="N538" i="10" l="1"/>
  <c r="J539" i="10" s="1"/>
  <c r="L539" i="10" l="1"/>
  <c r="O539" i="10"/>
  <c r="K540" i="10" s="1"/>
  <c r="P539" i="10"/>
  <c r="M540" i="10" s="1"/>
  <c r="Q538" i="10"/>
  <c r="N539" i="10" l="1"/>
  <c r="J540" i="10" s="1"/>
  <c r="L540" i="10" l="1"/>
  <c r="O540" i="10"/>
  <c r="K541" i="10" s="1"/>
  <c r="Q539" i="10"/>
  <c r="P540" i="10"/>
  <c r="M541" i="10" s="1"/>
  <c r="N540" i="10" l="1"/>
  <c r="J541" i="10" s="1"/>
  <c r="L541" i="10" l="1"/>
  <c r="O541" i="10"/>
  <c r="K542" i="10" s="1"/>
  <c r="P541" i="10"/>
  <c r="M542" i="10" s="1"/>
  <c r="Q540" i="10"/>
  <c r="N541" i="10" l="1"/>
  <c r="J542" i="10" s="1"/>
  <c r="L542" i="10" l="1"/>
  <c r="O542" i="10"/>
  <c r="K543" i="10" s="1"/>
  <c r="Q541" i="10"/>
  <c r="P542" i="10"/>
  <c r="M543" i="10" s="1"/>
  <c r="N542" i="10" l="1"/>
  <c r="J543" i="10" s="1"/>
  <c r="L543" i="10" l="1"/>
  <c r="P543" i="10" s="1"/>
  <c r="M544" i="10" s="1"/>
  <c r="O543" i="10"/>
  <c r="K544" i="10" s="1"/>
  <c r="Q542" i="10"/>
  <c r="N543" i="10" l="1"/>
  <c r="J544" i="10" s="1"/>
  <c r="L544" i="10" l="1"/>
  <c r="O544" i="10"/>
  <c r="K545" i="10" s="1"/>
  <c r="Q543" i="10"/>
  <c r="P544" i="10"/>
  <c r="M545" i="10" s="1"/>
  <c r="N544" i="10" l="1"/>
  <c r="J545" i="10" s="1"/>
  <c r="L545" i="10" l="1"/>
  <c r="P545" i="10" s="1"/>
  <c r="M546" i="10" s="1"/>
  <c r="O545" i="10"/>
  <c r="K546" i="10" s="1"/>
  <c r="Q544" i="10"/>
  <c r="N545" i="10" l="1"/>
  <c r="J546" i="10" s="1"/>
  <c r="L546" i="10" l="1"/>
  <c r="P546" i="10" s="1"/>
  <c r="M547" i="10" s="1"/>
  <c r="O546" i="10"/>
  <c r="K547" i="10" s="1"/>
  <c r="Q545" i="10"/>
  <c r="N546" i="10" l="1"/>
  <c r="J547" i="10" s="1"/>
  <c r="L547" i="10" l="1"/>
  <c r="P547" i="10" s="1"/>
  <c r="M548" i="10" s="1"/>
  <c r="O547" i="10"/>
  <c r="K548" i="10" s="1"/>
  <c r="Q546" i="10"/>
  <c r="N547" i="10" l="1"/>
  <c r="J548" i="10" s="1"/>
  <c r="L548" i="10" l="1"/>
  <c r="P548" i="10" s="1"/>
  <c r="M549" i="10" s="1"/>
  <c r="O548" i="10"/>
  <c r="K549" i="10" s="1"/>
  <c r="Q547" i="10"/>
  <c r="N548" i="10" l="1"/>
  <c r="J549" i="10" s="1"/>
  <c r="L549" i="10" l="1"/>
  <c r="P549" i="10" s="1"/>
  <c r="M550" i="10" s="1"/>
  <c r="O549" i="10"/>
  <c r="K550" i="10" s="1"/>
  <c r="Q548" i="10"/>
  <c r="N549" i="10" l="1"/>
  <c r="J550" i="10" s="1"/>
  <c r="L550" i="10" l="1"/>
  <c r="P550" i="10" s="1"/>
  <c r="M551" i="10" s="1"/>
  <c r="O550" i="10"/>
  <c r="K551" i="10" s="1"/>
  <c r="Q549" i="10"/>
  <c r="N550" i="10" l="1"/>
  <c r="J551" i="10" s="1"/>
  <c r="L551" i="10" l="1"/>
  <c r="P551" i="10" s="1"/>
  <c r="M552" i="10" s="1"/>
  <c r="O551" i="10"/>
  <c r="K552" i="10" s="1"/>
  <c r="Q550" i="10"/>
  <c r="N551" i="10" l="1"/>
  <c r="J552" i="10" s="1"/>
  <c r="L552" i="10" l="1"/>
  <c r="Q551" i="10"/>
  <c r="O552" i="10"/>
  <c r="K553" i="10" s="1"/>
  <c r="P552" i="10"/>
  <c r="M553" i="10" s="1"/>
  <c r="N552" i="10" l="1"/>
  <c r="J553" i="10" s="1"/>
  <c r="L553" i="10" l="1"/>
  <c r="O553" i="10"/>
  <c r="K554" i="10" s="1"/>
  <c r="P553" i="10"/>
  <c r="M554" i="10" s="1"/>
  <c r="Q552" i="10"/>
  <c r="N553" i="10" l="1"/>
  <c r="J554" i="10" s="1"/>
  <c r="L554" i="10" l="1"/>
  <c r="O554" i="10"/>
  <c r="K555" i="10" s="1"/>
  <c r="P554" i="10"/>
  <c r="M555" i="10" s="1"/>
  <c r="Q553" i="10"/>
  <c r="N554" i="10" l="1"/>
  <c r="J555" i="10" s="1"/>
  <c r="L555" i="10" l="1"/>
  <c r="P555" i="10" s="1"/>
  <c r="M556" i="10" s="1"/>
  <c r="O555" i="10"/>
  <c r="K556" i="10" s="1"/>
  <c r="Q554" i="10"/>
  <c r="N555" i="10" l="1"/>
  <c r="J556" i="10" s="1"/>
  <c r="L556" i="10" l="1"/>
  <c r="P556" i="10" s="1"/>
  <c r="M557" i="10" s="1"/>
  <c r="O556" i="10"/>
  <c r="K557" i="10" s="1"/>
  <c r="Q555" i="10"/>
  <c r="N556" i="10" l="1"/>
  <c r="J557" i="10" s="1"/>
  <c r="L557" i="10" l="1"/>
  <c r="O557" i="10"/>
  <c r="K558" i="10" s="1"/>
  <c r="P557" i="10"/>
  <c r="M558" i="10" s="1"/>
  <c r="Q556" i="10"/>
  <c r="N557" i="10" l="1"/>
  <c r="J558" i="10" s="1"/>
  <c r="L558" i="10" l="1"/>
  <c r="O558" i="10"/>
  <c r="K559" i="10" s="1"/>
  <c r="Q557" i="10"/>
  <c r="P558" i="10"/>
  <c r="M559" i="10" s="1"/>
  <c r="N558" i="10" l="1"/>
  <c r="J559" i="10" s="1"/>
  <c r="L559" i="10" l="1"/>
  <c r="O559" i="10"/>
  <c r="K560" i="10" s="1"/>
  <c r="P559" i="10"/>
  <c r="M560" i="10" s="1"/>
  <c r="Q558" i="10"/>
  <c r="N559" i="10" l="1"/>
  <c r="J560" i="10" s="1"/>
  <c r="L560" i="10" l="1"/>
  <c r="P560" i="10" s="1"/>
  <c r="M561" i="10" s="1"/>
  <c r="O560" i="10"/>
  <c r="K561" i="10" s="1"/>
  <c r="Q559" i="10"/>
  <c r="N560" i="10" l="1"/>
  <c r="J561" i="10" s="1"/>
  <c r="L561" i="10" l="1"/>
  <c r="P561" i="10" s="1"/>
  <c r="M562" i="10" s="1"/>
  <c r="O561" i="10"/>
  <c r="K562" i="10" s="1"/>
  <c r="Q560" i="10"/>
  <c r="N561" i="10" l="1"/>
  <c r="J562" i="10" s="1"/>
  <c r="L562" i="10" l="1"/>
  <c r="P562" i="10" s="1"/>
  <c r="M563" i="10" s="1"/>
  <c r="O562" i="10"/>
  <c r="K563" i="10" s="1"/>
  <c r="Q561" i="10"/>
  <c r="N562" i="10" l="1"/>
  <c r="J563" i="10" s="1"/>
  <c r="L563" i="10" l="1"/>
  <c r="O563" i="10"/>
  <c r="K564" i="10" s="1"/>
  <c r="P563" i="10"/>
  <c r="M564" i="10" s="1"/>
  <c r="Q562" i="10"/>
  <c r="N563" i="10" l="1"/>
  <c r="J564" i="10" s="1"/>
  <c r="L564" i="10" l="1"/>
  <c r="O564" i="10"/>
  <c r="K565" i="10" s="1"/>
  <c r="Q563" i="10"/>
  <c r="P564" i="10"/>
  <c r="M565" i="10" s="1"/>
  <c r="N564" i="10" l="1"/>
  <c r="J565" i="10" s="1"/>
  <c r="L565" i="10" l="1"/>
  <c r="P565" i="10" s="1"/>
  <c r="M566" i="10" s="1"/>
  <c r="O565" i="10"/>
  <c r="K566" i="10" s="1"/>
  <c r="Q564" i="10"/>
  <c r="N565" i="10" l="1"/>
  <c r="J566" i="10" s="1"/>
  <c r="L566" i="10" l="1"/>
  <c r="P566" i="10" s="1"/>
  <c r="M567" i="10" s="1"/>
  <c r="O566" i="10"/>
  <c r="K567" i="10" s="1"/>
  <c r="Q565" i="10"/>
  <c r="N566" i="10" l="1"/>
  <c r="J567" i="10" s="1"/>
  <c r="L567" i="10" l="1"/>
  <c r="P567" i="10" s="1"/>
  <c r="M568" i="10" s="1"/>
  <c r="O567" i="10"/>
  <c r="K568" i="10" s="1"/>
  <c r="Q566" i="10"/>
  <c r="N567" i="10" l="1"/>
  <c r="J568" i="10" s="1"/>
  <c r="L568" i="10" l="1"/>
  <c r="P568" i="10" s="1"/>
  <c r="M569" i="10" s="1"/>
  <c r="O568" i="10"/>
  <c r="K569" i="10" s="1"/>
  <c r="Q567" i="10"/>
  <c r="N568" i="10" l="1"/>
  <c r="J569" i="10" s="1"/>
  <c r="L569" i="10" l="1"/>
  <c r="P569" i="10" s="1"/>
  <c r="M570" i="10" s="1"/>
  <c r="O569" i="10"/>
  <c r="K570" i="10" s="1"/>
  <c r="Q568" i="10"/>
  <c r="N569" i="10" l="1"/>
  <c r="J570" i="10" s="1"/>
  <c r="L570" i="10" l="1"/>
  <c r="O570" i="10"/>
  <c r="K571" i="10" s="1"/>
  <c r="P570" i="10"/>
  <c r="M571" i="10" s="1"/>
  <c r="Q569" i="10"/>
  <c r="N570" i="10" l="1"/>
  <c r="J571" i="10" s="1"/>
  <c r="L571" i="10" l="1"/>
  <c r="P571" i="10" s="1"/>
  <c r="M572" i="10" s="1"/>
  <c r="Q570" i="10"/>
  <c r="O571" i="10"/>
  <c r="K572" i="10" s="1"/>
  <c r="N571" i="10" l="1"/>
  <c r="J572" i="10" s="1"/>
  <c r="L572" i="10" l="1"/>
  <c r="O572" i="10"/>
  <c r="K573" i="10" s="1"/>
  <c r="P572" i="10"/>
  <c r="M573" i="10" s="1"/>
  <c r="Q571" i="10"/>
  <c r="N572" i="10" l="1"/>
  <c r="J573" i="10" s="1"/>
  <c r="L573" i="10" l="1"/>
  <c r="P573" i="10" s="1"/>
  <c r="M574" i="10" s="1"/>
  <c r="O573" i="10"/>
  <c r="K574" i="10" s="1"/>
  <c r="Q572" i="10"/>
  <c r="N573" i="10" l="1"/>
  <c r="J574" i="10" s="1"/>
  <c r="L574" i="10" l="1"/>
  <c r="P574" i="10" s="1"/>
  <c r="M575" i="10" s="1"/>
  <c r="O574" i="10"/>
  <c r="K575" i="10" s="1"/>
  <c r="Q573" i="10"/>
  <c r="N574" i="10" l="1"/>
  <c r="J575" i="10" s="1"/>
  <c r="L575" i="10" l="1"/>
  <c r="P575" i="10" s="1"/>
  <c r="M576" i="10" s="1"/>
  <c r="O575" i="10"/>
  <c r="K576" i="10" s="1"/>
  <c r="Q574" i="10"/>
  <c r="N575" i="10" l="1"/>
  <c r="J576" i="10" s="1"/>
  <c r="L576" i="10" l="1"/>
  <c r="P576" i="10" s="1"/>
  <c r="M577" i="10" s="1"/>
  <c r="O576" i="10"/>
  <c r="K577" i="10" s="1"/>
  <c r="Q575" i="10"/>
  <c r="N576" i="10" l="1"/>
  <c r="J577" i="10" s="1"/>
  <c r="L577" i="10" l="1"/>
  <c r="P577" i="10" s="1"/>
  <c r="M578" i="10" s="1"/>
  <c r="O577" i="10"/>
  <c r="K578" i="10" s="1"/>
  <c r="Q576" i="10"/>
  <c r="N577" i="10" l="1"/>
  <c r="J578" i="10" s="1"/>
  <c r="L578" i="10" l="1"/>
  <c r="O578" i="10"/>
  <c r="K579" i="10" s="1"/>
  <c r="P578" i="10"/>
  <c r="M579" i="10" s="1"/>
  <c r="Q577" i="10"/>
  <c r="N578" i="10" l="1"/>
  <c r="J579" i="10" s="1"/>
  <c r="L579" i="10" l="1"/>
  <c r="O579" i="10"/>
  <c r="K580" i="10" s="1"/>
  <c r="Q578" i="10"/>
  <c r="P579" i="10"/>
  <c r="M580" i="10" s="1"/>
  <c r="N579" i="10" l="1"/>
  <c r="J580" i="10" s="1"/>
  <c r="L580" i="10" l="1"/>
  <c r="P580" i="10" s="1"/>
  <c r="M581" i="10" s="1"/>
  <c r="O580" i="10"/>
  <c r="K581" i="10" s="1"/>
  <c r="Q579" i="10"/>
  <c r="N580" i="10" l="1"/>
  <c r="J581" i="10" s="1"/>
  <c r="L581" i="10" l="1"/>
  <c r="P581" i="10" s="1"/>
  <c r="M582" i="10" s="1"/>
  <c r="O581" i="10"/>
  <c r="K582" i="10" s="1"/>
  <c r="Q580" i="10"/>
  <c r="N581" i="10" l="1"/>
  <c r="J582" i="10" s="1"/>
  <c r="L582" i="10" l="1"/>
  <c r="P582" i="10" s="1"/>
  <c r="M583" i="10" s="1"/>
  <c r="O582" i="10"/>
  <c r="K583" i="10" s="1"/>
  <c r="Q581" i="10"/>
  <c r="N582" i="10" l="1"/>
  <c r="J583" i="10" s="1"/>
  <c r="L583" i="10" l="1"/>
  <c r="P583" i="10" s="1"/>
  <c r="M584" i="10" s="1"/>
  <c r="O583" i="10"/>
  <c r="K584" i="10" s="1"/>
  <c r="Q582" i="10"/>
  <c r="N583" i="10" l="1"/>
  <c r="J584" i="10" s="1"/>
  <c r="L584" i="10" l="1"/>
  <c r="P584" i="10" s="1"/>
  <c r="M585" i="10" s="1"/>
  <c r="O584" i="10"/>
  <c r="K585" i="10" s="1"/>
  <c r="Q583" i="10"/>
  <c r="N584" i="10" l="1"/>
  <c r="J585" i="10" s="1"/>
  <c r="L585" i="10" l="1"/>
  <c r="P585" i="10" s="1"/>
  <c r="M586" i="10" s="1"/>
  <c r="Q584" i="10"/>
  <c r="O585" i="10"/>
  <c r="K586" i="10" s="1"/>
  <c r="N585" i="10" l="1"/>
  <c r="J586" i="10" s="1"/>
  <c r="L586" i="10" l="1"/>
  <c r="P586" i="10" s="1"/>
  <c r="M587" i="10" s="1"/>
  <c r="O586" i="10"/>
  <c r="K587" i="10" s="1"/>
  <c r="Q585" i="10"/>
  <c r="N586" i="10" l="1"/>
  <c r="J587" i="10" s="1"/>
  <c r="L587" i="10" l="1"/>
  <c r="P587" i="10" s="1"/>
  <c r="M588" i="10" s="1"/>
  <c r="O587" i="10"/>
  <c r="K588" i="10" s="1"/>
  <c r="Q586" i="10"/>
  <c r="N587" i="10" l="1"/>
  <c r="J588" i="10" s="1"/>
  <c r="L588" i="10" l="1"/>
  <c r="P588" i="10"/>
  <c r="M589" i="10" s="1"/>
  <c r="Q587" i="10"/>
  <c r="O588" i="10"/>
  <c r="K589" i="10" s="1"/>
  <c r="N588" i="10" l="1"/>
  <c r="J589" i="10" s="1"/>
  <c r="L589" i="10" l="1"/>
  <c r="O589" i="10"/>
  <c r="K590" i="10" s="1"/>
  <c r="Q588" i="10"/>
  <c r="P589" i="10"/>
  <c r="M590" i="10" s="1"/>
  <c r="N589" i="10" l="1"/>
  <c r="J590" i="10" s="1"/>
  <c r="L590" i="10" l="1"/>
  <c r="P590" i="10" s="1"/>
  <c r="M591" i="10" s="1"/>
  <c r="O590" i="10"/>
  <c r="K591" i="10" s="1"/>
  <c r="Q589" i="10"/>
  <c r="N590" i="10" l="1"/>
  <c r="J591" i="10" s="1"/>
  <c r="L591" i="10" l="1"/>
  <c r="P591" i="10" s="1"/>
  <c r="M592" i="10" s="1"/>
  <c r="O591" i="10"/>
  <c r="K592" i="10" s="1"/>
  <c r="Q590" i="10"/>
  <c r="N591" i="10" l="1"/>
  <c r="J592" i="10" s="1"/>
  <c r="L592" i="10" l="1"/>
  <c r="P592" i="10" s="1"/>
  <c r="M593" i="10" s="1"/>
  <c r="O592" i="10"/>
  <c r="K593" i="10" s="1"/>
  <c r="Q591" i="10"/>
  <c r="N592" i="10" l="1"/>
  <c r="J593" i="10" s="1"/>
  <c r="L593" i="10" l="1"/>
  <c r="P593" i="10" s="1"/>
  <c r="M594" i="10" s="1"/>
  <c r="O593" i="10"/>
  <c r="K594" i="10" s="1"/>
  <c r="Q592" i="10"/>
  <c r="N593" i="10" l="1"/>
  <c r="J594" i="10" s="1"/>
  <c r="L594" i="10" l="1"/>
  <c r="P594" i="10" s="1"/>
  <c r="M595" i="10" s="1"/>
  <c r="O594" i="10"/>
  <c r="K595" i="10" s="1"/>
  <c r="Q593" i="10"/>
  <c r="N594" i="10" l="1"/>
  <c r="J595" i="10" s="1"/>
  <c r="L595" i="10" l="1"/>
  <c r="Q594" i="10"/>
  <c r="P595" i="10"/>
  <c r="M596" i="10" s="1"/>
  <c r="O595" i="10"/>
  <c r="K596" i="10" s="1"/>
  <c r="N595" i="10" l="1"/>
  <c r="J596" i="10" s="1"/>
  <c r="L596" i="10" l="1"/>
  <c r="P596" i="10" s="1"/>
  <c r="M597" i="10" s="1"/>
  <c r="O596" i="10"/>
  <c r="K597" i="10" s="1"/>
  <c r="Q595" i="10"/>
  <c r="N596" i="10" l="1"/>
  <c r="J597" i="10" s="1"/>
  <c r="L597" i="10" l="1"/>
  <c r="P597" i="10" s="1"/>
  <c r="M598" i="10" s="1"/>
  <c r="O597" i="10"/>
  <c r="K598" i="10" s="1"/>
  <c r="Q596" i="10"/>
  <c r="N597" i="10" l="1"/>
  <c r="J598" i="10" s="1"/>
  <c r="L598" i="10" l="1"/>
  <c r="P598" i="10" s="1"/>
  <c r="M599" i="10" s="1"/>
  <c r="O598" i="10"/>
  <c r="K599" i="10" s="1"/>
  <c r="Q597" i="10"/>
  <c r="N598" i="10" l="1"/>
  <c r="J599" i="10" s="1"/>
  <c r="L599" i="10" l="1"/>
  <c r="P599" i="10" s="1"/>
  <c r="M600" i="10" s="1"/>
  <c r="O599" i="10"/>
  <c r="K600" i="10" s="1"/>
  <c r="Q598" i="10"/>
  <c r="N599" i="10" l="1"/>
  <c r="J600" i="10" s="1"/>
  <c r="L600" i="10" l="1"/>
  <c r="O600" i="10"/>
  <c r="K601" i="10" s="1"/>
  <c r="P600" i="10"/>
  <c r="M601" i="10" s="1"/>
  <c r="Q599" i="10"/>
  <c r="N600" i="10" l="1"/>
  <c r="J601" i="10" s="1"/>
  <c r="L601" i="10" l="1"/>
  <c r="O601" i="10"/>
  <c r="K602" i="10" s="1"/>
  <c r="Q600" i="10"/>
  <c r="P601" i="10"/>
  <c r="M602" i="10" s="1"/>
  <c r="N601" i="10" l="1"/>
  <c r="J602" i="10" s="1"/>
  <c r="L602" i="10" l="1"/>
  <c r="P602" i="10" s="1"/>
  <c r="M603" i="10" s="1"/>
  <c r="O602" i="10"/>
  <c r="K603" i="10" s="1"/>
  <c r="Q601" i="10"/>
  <c r="N602" i="10" l="1"/>
  <c r="J603" i="10" s="1"/>
  <c r="L603" i="10" l="1"/>
  <c r="O603" i="10"/>
  <c r="K604" i="10" s="1"/>
  <c r="P603" i="10"/>
  <c r="M604" i="10" s="1"/>
  <c r="Q602" i="10"/>
  <c r="N603" i="10" l="1"/>
  <c r="J604" i="10" s="1"/>
  <c r="L604" i="10" l="1"/>
  <c r="O604" i="10"/>
  <c r="K605" i="10" s="1"/>
  <c r="P604" i="10"/>
  <c r="M605" i="10" s="1"/>
  <c r="Q603" i="10"/>
  <c r="N604" i="10" l="1"/>
  <c r="J605" i="10" s="1"/>
  <c r="L605" i="10" l="1"/>
  <c r="P605" i="10" s="1"/>
  <c r="M606" i="10" s="1"/>
  <c r="O605" i="10"/>
  <c r="K606" i="10" s="1"/>
  <c r="Q604" i="10"/>
  <c r="N605" i="10" l="1"/>
  <c r="J606" i="10" s="1"/>
  <c r="L606" i="10" l="1"/>
  <c r="P606" i="10" s="1"/>
  <c r="M607" i="10" s="1"/>
  <c r="O606" i="10"/>
  <c r="K607" i="10" s="1"/>
  <c r="Q605" i="10"/>
  <c r="N606" i="10" l="1"/>
  <c r="J607" i="10" s="1"/>
  <c r="L607" i="10" l="1"/>
  <c r="P607" i="10" s="1"/>
  <c r="M608" i="10" s="1"/>
  <c r="O607" i="10"/>
  <c r="K608" i="10" s="1"/>
  <c r="Q606" i="10"/>
  <c r="N607" i="10" l="1"/>
  <c r="J608" i="10" s="1"/>
  <c r="L608" i="10" l="1"/>
  <c r="P608" i="10" s="1"/>
  <c r="M609" i="10" s="1"/>
  <c r="O608" i="10"/>
  <c r="K609" i="10" s="1"/>
  <c r="Q607" i="10"/>
  <c r="N608" i="10" l="1"/>
  <c r="J609" i="10" s="1"/>
  <c r="L609" i="10" l="1"/>
  <c r="P609" i="10" s="1"/>
  <c r="M610" i="10" s="1"/>
  <c r="O609" i="10"/>
  <c r="K610" i="10" s="1"/>
  <c r="Q608" i="10"/>
  <c r="N609" i="10" l="1"/>
  <c r="J610" i="10" s="1"/>
  <c r="L610" i="10" l="1"/>
  <c r="P610" i="10" s="1"/>
  <c r="M611" i="10" s="1"/>
  <c r="O610" i="10"/>
  <c r="K611" i="10" s="1"/>
  <c r="Q609" i="10"/>
  <c r="N610" i="10" l="1"/>
  <c r="J611" i="10" s="1"/>
  <c r="L611" i="10" l="1"/>
  <c r="P611" i="10" s="1"/>
  <c r="M612" i="10" s="1"/>
  <c r="O611" i="10"/>
  <c r="K612" i="10" s="1"/>
  <c r="Q610" i="10"/>
  <c r="N611" i="10" l="1"/>
  <c r="J612" i="10" s="1"/>
  <c r="L612" i="10" l="1"/>
  <c r="P612" i="10" s="1"/>
  <c r="M613" i="10" s="1"/>
  <c r="O612" i="10"/>
  <c r="K613" i="10" s="1"/>
  <c r="Q611" i="10"/>
  <c r="N612" i="10" l="1"/>
  <c r="J613" i="10" s="1"/>
  <c r="L613" i="10" l="1"/>
  <c r="P613" i="10" s="1"/>
  <c r="M614" i="10" s="1"/>
  <c r="O613" i="10"/>
  <c r="K614" i="10" s="1"/>
  <c r="Q612" i="10"/>
  <c r="N613" i="10" l="1"/>
  <c r="J614" i="10" s="1"/>
  <c r="L614" i="10" l="1"/>
  <c r="P614" i="10" s="1"/>
  <c r="M615" i="10" s="1"/>
  <c r="O614" i="10"/>
  <c r="K615" i="10" s="1"/>
  <c r="Q613" i="10"/>
  <c r="N614" i="10" l="1"/>
  <c r="J615" i="10" s="1"/>
  <c r="L615" i="10" l="1"/>
  <c r="P615" i="10" s="1"/>
  <c r="M616" i="10" s="1"/>
  <c r="O615" i="10"/>
  <c r="K616" i="10" s="1"/>
  <c r="Q614" i="10"/>
  <c r="N615" i="10" l="1"/>
  <c r="J616" i="10" s="1"/>
  <c r="L616" i="10" l="1"/>
  <c r="P616" i="10" s="1"/>
  <c r="M617" i="10" s="1"/>
  <c r="O616" i="10"/>
  <c r="K617" i="10" s="1"/>
  <c r="Q615" i="10"/>
  <c r="N616" i="10" l="1"/>
  <c r="J617" i="10" s="1"/>
  <c r="L617" i="10" l="1"/>
  <c r="P617" i="10" s="1"/>
  <c r="M618" i="10" s="1"/>
  <c r="O617" i="10"/>
  <c r="K618" i="10" s="1"/>
  <c r="Q616" i="10"/>
  <c r="N617" i="10" l="1"/>
  <c r="J618" i="10" s="1"/>
  <c r="L618" i="10" l="1"/>
  <c r="P618" i="10" s="1"/>
  <c r="M619" i="10" s="1"/>
  <c r="O618" i="10"/>
  <c r="K619" i="10" s="1"/>
  <c r="Q617" i="10"/>
  <c r="N618" i="10" l="1"/>
  <c r="J619" i="10" s="1"/>
  <c r="L619" i="10" l="1"/>
  <c r="P619" i="10" s="1"/>
  <c r="M620" i="10" s="1"/>
  <c r="O619" i="10"/>
  <c r="K620" i="10" s="1"/>
  <c r="Q618" i="10"/>
  <c r="N619" i="10" l="1"/>
  <c r="J620" i="10" s="1"/>
  <c r="L620" i="10" l="1"/>
  <c r="P620" i="10" s="1"/>
  <c r="M621" i="10" s="1"/>
  <c r="O620" i="10"/>
  <c r="K621" i="10" s="1"/>
  <c r="Q619" i="10"/>
  <c r="N620" i="10" l="1"/>
  <c r="J621" i="10" s="1"/>
  <c r="L621" i="10" l="1"/>
  <c r="P621" i="10" s="1"/>
  <c r="M622" i="10" s="1"/>
  <c r="O621" i="10"/>
  <c r="K622" i="10" s="1"/>
  <c r="Q620" i="10"/>
  <c r="N621" i="10" l="1"/>
  <c r="J622" i="10" s="1"/>
  <c r="L622" i="10" l="1"/>
  <c r="P622" i="10" s="1"/>
  <c r="M623" i="10" s="1"/>
  <c r="O622" i="10"/>
  <c r="K623" i="10" s="1"/>
  <c r="Q621" i="10"/>
  <c r="N622" i="10" l="1"/>
  <c r="J623" i="10" s="1"/>
  <c r="L623" i="10" l="1"/>
  <c r="P623" i="10" s="1"/>
  <c r="M624" i="10" s="1"/>
  <c r="O623" i="10"/>
  <c r="K624" i="10" s="1"/>
  <c r="Q622" i="10"/>
  <c r="N623" i="10" l="1"/>
  <c r="J624" i="10" s="1"/>
  <c r="L624" i="10" l="1"/>
  <c r="P624" i="10" s="1"/>
  <c r="M625" i="10" s="1"/>
  <c r="O624" i="10"/>
  <c r="K625" i="10" s="1"/>
  <c r="Q623" i="10"/>
  <c r="N624" i="10" l="1"/>
  <c r="J625" i="10" s="1"/>
  <c r="L625" i="10" l="1"/>
  <c r="P625" i="10" s="1"/>
  <c r="M626" i="10" s="1"/>
  <c r="O625" i="10"/>
  <c r="K626" i="10" s="1"/>
  <c r="Q624" i="10"/>
  <c r="N625" i="10" l="1"/>
  <c r="J626" i="10" s="1"/>
  <c r="L626" i="10" l="1"/>
  <c r="P626" i="10" s="1"/>
  <c r="M627" i="10" s="1"/>
  <c r="O626" i="10"/>
  <c r="K627" i="10" s="1"/>
  <c r="Q625" i="10"/>
  <c r="N626" i="10" l="1"/>
  <c r="J627" i="10" s="1"/>
  <c r="L627" i="10" l="1"/>
  <c r="O627" i="10"/>
  <c r="K628" i="10" s="1"/>
  <c r="Q626" i="10"/>
  <c r="P627" i="10"/>
  <c r="M628" i="10" s="1"/>
  <c r="N627" i="10" l="1"/>
  <c r="J628" i="10" s="1"/>
  <c r="L628" i="10" l="1"/>
  <c r="O628" i="10"/>
  <c r="K629" i="10" s="1"/>
  <c r="P628" i="10"/>
  <c r="M629" i="10" s="1"/>
  <c r="Q627" i="10"/>
  <c r="N628" i="10" l="1"/>
  <c r="J629" i="10" s="1"/>
  <c r="L629" i="10" l="1"/>
  <c r="O629" i="10"/>
  <c r="K630" i="10" s="1"/>
  <c r="P629" i="10"/>
  <c r="M630" i="10" s="1"/>
  <c r="Q628" i="10"/>
  <c r="N629" i="10" l="1"/>
  <c r="J630" i="10" s="1"/>
  <c r="L630" i="10" l="1"/>
  <c r="P630" i="10" s="1"/>
  <c r="M631" i="10" s="1"/>
  <c r="O630" i="10"/>
  <c r="K631" i="10" s="1"/>
  <c r="Q629" i="10"/>
  <c r="N630" i="10" l="1"/>
  <c r="J631" i="10" s="1"/>
  <c r="L631" i="10" l="1"/>
  <c r="P631" i="10" s="1"/>
  <c r="M632" i="10" s="1"/>
  <c r="O631" i="10"/>
  <c r="K632" i="10" s="1"/>
  <c r="Q630" i="10"/>
  <c r="N631" i="10" l="1"/>
  <c r="J632" i="10" s="1"/>
  <c r="L632" i="10" l="1"/>
  <c r="P632" i="10" s="1"/>
  <c r="M633" i="10" s="1"/>
  <c r="O632" i="10"/>
  <c r="K633" i="10" s="1"/>
  <c r="Q631" i="10"/>
  <c r="N632" i="10" l="1"/>
  <c r="J633" i="10" s="1"/>
  <c r="L633" i="10" l="1"/>
  <c r="P633" i="10" s="1"/>
  <c r="M634" i="10" s="1"/>
  <c r="O633" i="10"/>
  <c r="K634" i="10" s="1"/>
  <c r="Q632" i="10"/>
  <c r="N633" i="10" l="1"/>
  <c r="J634" i="10" s="1"/>
  <c r="L634" i="10" l="1"/>
  <c r="O634" i="10"/>
  <c r="K635" i="10" s="1"/>
  <c r="P634" i="10"/>
  <c r="M635" i="10" s="1"/>
  <c r="Q633" i="10"/>
  <c r="N634" i="10" l="1"/>
  <c r="J635" i="10" s="1"/>
  <c r="L635" i="10" l="1"/>
  <c r="P635" i="10" s="1"/>
  <c r="M636" i="10" s="1"/>
  <c r="O635" i="10"/>
  <c r="K636" i="10" s="1"/>
  <c r="Q634" i="10"/>
  <c r="N635" i="10" l="1"/>
  <c r="J636" i="10" s="1"/>
  <c r="L636" i="10" l="1"/>
  <c r="O636" i="10"/>
  <c r="K637" i="10" s="1"/>
  <c r="P636" i="10"/>
  <c r="M637" i="10" s="1"/>
  <c r="Q635" i="10"/>
  <c r="N636" i="10" l="1"/>
  <c r="J637" i="10" s="1"/>
  <c r="L637" i="10" l="1"/>
  <c r="O637" i="10"/>
  <c r="K638" i="10" s="1"/>
  <c r="P637" i="10"/>
  <c r="M638" i="10" s="1"/>
  <c r="Q636" i="10"/>
  <c r="N637" i="10" l="1"/>
  <c r="J638" i="10" s="1"/>
  <c r="L638" i="10" l="1"/>
  <c r="O638" i="10"/>
  <c r="K639" i="10" s="1"/>
  <c r="Q637" i="10"/>
  <c r="P638" i="10"/>
  <c r="M639" i="10" s="1"/>
  <c r="N638" i="10" l="1"/>
  <c r="J639" i="10" s="1"/>
  <c r="L639" i="10" l="1"/>
  <c r="P639" i="10" s="1"/>
  <c r="M640" i="10" s="1"/>
  <c r="O639" i="10"/>
  <c r="K640" i="10" s="1"/>
  <c r="Q638" i="10"/>
  <c r="N639" i="10" l="1"/>
  <c r="J640" i="10" s="1"/>
  <c r="L640" i="10" l="1"/>
  <c r="P640" i="10" s="1"/>
  <c r="M641" i="10" s="1"/>
  <c r="O640" i="10"/>
  <c r="K641" i="10" s="1"/>
  <c r="Q639" i="10"/>
  <c r="N640" i="10" l="1"/>
  <c r="J641" i="10" s="1"/>
  <c r="L641" i="10" l="1"/>
  <c r="P641" i="10" s="1"/>
  <c r="M642" i="10" s="1"/>
  <c r="O641" i="10"/>
  <c r="K642" i="10" s="1"/>
  <c r="Q640" i="10"/>
  <c r="N641" i="10" l="1"/>
  <c r="J642" i="10" s="1"/>
  <c r="L642" i="10" l="1"/>
  <c r="O642" i="10"/>
  <c r="K643" i="10" s="1"/>
  <c r="P642" i="10"/>
  <c r="M643" i="10" s="1"/>
  <c r="Q641" i="10"/>
  <c r="N642" i="10" l="1"/>
  <c r="J643" i="10" s="1"/>
  <c r="L643" i="10" l="1"/>
  <c r="P643" i="10" s="1"/>
  <c r="M644" i="10" s="1"/>
  <c r="O643" i="10"/>
  <c r="K644" i="10" s="1"/>
  <c r="Q642" i="10"/>
  <c r="N643" i="10" l="1"/>
  <c r="J644" i="10" s="1"/>
  <c r="L644" i="10" l="1"/>
  <c r="O644" i="10"/>
  <c r="K645" i="10" s="1"/>
  <c r="Q643" i="10"/>
  <c r="P644" i="10"/>
  <c r="M645" i="10" s="1"/>
  <c r="N644" i="10" l="1"/>
  <c r="J645" i="10" s="1"/>
  <c r="L645" i="10" l="1"/>
  <c r="P645" i="10" s="1"/>
  <c r="M646" i="10" s="1"/>
  <c r="O645" i="10"/>
  <c r="K646" i="10" s="1"/>
  <c r="Q644" i="10"/>
  <c r="N645" i="10" l="1"/>
  <c r="J646" i="10" s="1"/>
  <c r="L646" i="10" l="1"/>
  <c r="P646" i="10" s="1"/>
  <c r="M647" i="10" s="1"/>
  <c r="O646" i="10"/>
  <c r="K647" i="10" s="1"/>
  <c r="Q645" i="10"/>
  <c r="N646" i="10" l="1"/>
  <c r="J647" i="10" s="1"/>
  <c r="L647" i="10" l="1"/>
  <c r="O647" i="10"/>
  <c r="K648" i="10" s="1"/>
  <c r="P647" i="10"/>
  <c r="M648" i="10" s="1"/>
  <c r="Q646" i="10"/>
  <c r="N647" i="10" l="1"/>
  <c r="J648" i="10" s="1"/>
  <c r="L648" i="10" l="1"/>
  <c r="O648" i="10"/>
  <c r="K649" i="10" s="1"/>
  <c r="P648" i="10"/>
  <c r="M649" i="10" s="1"/>
  <c r="Q647" i="10"/>
  <c r="N648" i="10" l="1"/>
  <c r="J649" i="10" s="1"/>
  <c r="L649" i="10" l="1"/>
  <c r="P649" i="10" s="1"/>
  <c r="M650" i="10" s="1"/>
  <c r="O649" i="10"/>
  <c r="K650" i="10" s="1"/>
  <c r="Q648" i="10"/>
  <c r="N649" i="10" l="1"/>
  <c r="J650" i="10" s="1"/>
  <c r="L650" i="10" l="1"/>
  <c r="P650" i="10" s="1"/>
  <c r="M651" i="10" s="1"/>
  <c r="O650" i="10"/>
  <c r="K651" i="10" s="1"/>
  <c r="Q649" i="10"/>
  <c r="N650" i="10" l="1"/>
  <c r="J651" i="10" s="1"/>
  <c r="L651" i="10" l="1"/>
  <c r="O651" i="10"/>
  <c r="K652" i="10" s="1"/>
  <c r="P651" i="10"/>
  <c r="M652" i="10" s="1"/>
  <c r="Q650" i="10"/>
  <c r="N651" i="10" l="1"/>
  <c r="J652" i="10" s="1"/>
  <c r="L652" i="10" l="1"/>
  <c r="P652" i="10" s="1"/>
  <c r="M653" i="10" s="1"/>
  <c r="O652" i="10"/>
  <c r="K653" i="10" s="1"/>
  <c r="Q651" i="10"/>
  <c r="N652" i="10" l="1"/>
  <c r="J653" i="10" s="1"/>
  <c r="L653" i="10" l="1"/>
  <c r="P653" i="10"/>
  <c r="M654" i="10" s="1"/>
  <c r="O653" i="10"/>
  <c r="K654" i="10" s="1"/>
  <c r="Q652" i="10"/>
  <c r="N653" i="10" l="1"/>
  <c r="J654" i="10" s="1"/>
  <c r="L654" i="10" l="1"/>
  <c r="P654" i="10" s="1"/>
  <c r="M655" i="10" s="1"/>
  <c r="O654" i="10"/>
  <c r="K655" i="10" s="1"/>
  <c r="Q653" i="10"/>
  <c r="N654" i="10" l="1"/>
  <c r="J655" i="10" s="1"/>
  <c r="L655" i="10" l="1"/>
  <c r="P655" i="10" s="1"/>
  <c r="M656" i="10" s="1"/>
  <c r="O655" i="10"/>
  <c r="K656" i="10" s="1"/>
  <c r="Q654" i="10"/>
  <c r="N655" i="10" l="1"/>
  <c r="J656" i="10" s="1"/>
  <c r="L656" i="10" l="1"/>
  <c r="P656" i="10" s="1"/>
  <c r="M657" i="10" s="1"/>
  <c r="O656" i="10"/>
  <c r="K657" i="10" s="1"/>
  <c r="Q655" i="10"/>
  <c r="N656" i="10" l="1"/>
  <c r="J657" i="10" s="1"/>
  <c r="L657" i="10" l="1"/>
  <c r="O657" i="10"/>
  <c r="K658" i="10" s="1"/>
  <c r="Q656" i="10"/>
  <c r="P657" i="10"/>
  <c r="M658" i="10" s="1"/>
  <c r="N657" i="10" l="1"/>
  <c r="J658" i="10" s="1"/>
  <c r="L658" i="10" l="1"/>
  <c r="P658" i="10" s="1"/>
  <c r="M659" i="10" s="1"/>
  <c r="O658" i="10"/>
  <c r="K659" i="10" s="1"/>
  <c r="Q657" i="10"/>
  <c r="N658" i="10" l="1"/>
  <c r="J659" i="10" s="1"/>
  <c r="L659" i="10" l="1"/>
  <c r="P659" i="10" s="1"/>
  <c r="M660" i="10" s="1"/>
  <c r="O659" i="10"/>
  <c r="K660" i="10" s="1"/>
  <c r="Q658" i="10"/>
  <c r="N659" i="10" l="1"/>
  <c r="J660" i="10" s="1"/>
  <c r="L660" i="10" l="1"/>
  <c r="P660" i="10" s="1"/>
  <c r="M661" i="10" s="1"/>
  <c r="O660" i="10"/>
  <c r="K661" i="10" s="1"/>
  <c r="Q659" i="10"/>
  <c r="N660" i="10" l="1"/>
  <c r="J661" i="10" s="1"/>
  <c r="L661" i="10" l="1"/>
  <c r="P661" i="10" s="1"/>
  <c r="M662" i="10" s="1"/>
  <c r="O661" i="10"/>
  <c r="K662" i="10" s="1"/>
  <c r="Q660" i="10"/>
  <c r="N661" i="10" l="1"/>
  <c r="J662" i="10" s="1"/>
  <c r="L662" i="10" l="1"/>
  <c r="O662" i="10"/>
  <c r="K663" i="10" s="1"/>
  <c r="P662" i="10"/>
  <c r="M663" i="10" s="1"/>
  <c r="Q661" i="10"/>
  <c r="N662" i="10" l="1"/>
  <c r="J663" i="10" s="1"/>
  <c r="L663" i="10" l="1"/>
  <c r="P663" i="10" s="1"/>
  <c r="M664" i="10" s="1"/>
  <c r="O663" i="10"/>
  <c r="K664" i="10" s="1"/>
  <c r="Q662" i="10"/>
  <c r="N663" i="10" l="1"/>
  <c r="J664" i="10" s="1"/>
  <c r="L664" i="10" l="1"/>
  <c r="O664" i="10"/>
  <c r="K665" i="10" s="1"/>
  <c r="P664" i="10"/>
  <c r="M665" i="10" s="1"/>
  <c r="Q663" i="10"/>
  <c r="N664" i="10" l="1"/>
  <c r="J665" i="10" s="1"/>
  <c r="L665" i="10" l="1"/>
  <c r="O665" i="10"/>
  <c r="K666" i="10" s="1"/>
  <c r="Q664" i="10"/>
  <c r="P665" i="10"/>
  <c r="M666" i="10" s="1"/>
  <c r="N665" i="10" l="1"/>
  <c r="J666" i="10" s="1"/>
  <c r="L666" i="10" l="1"/>
  <c r="O666" i="10"/>
  <c r="K667" i="10" s="1"/>
  <c r="P666" i="10"/>
  <c r="M667" i="10" s="1"/>
  <c r="Q665" i="10"/>
  <c r="N666" i="10" l="1"/>
  <c r="J667" i="10" s="1"/>
  <c r="L667" i="10" l="1"/>
  <c r="O667" i="10"/>
  <c r="K668" i="10" s="1"/>
  <c r="P667" i="10"/>
  <c r="M668" i="10" s="1"/>
  <c r="Q666" i="10"/>
  <c r="N667" i="10" l="1"/>
  <c r="J668" i="10" s="1"/>
  <c r="L668" i="10" l="1"/>
  <c r="P668" i="10"/>
  <c r="M669" i="10" s="1"/>
  <c r="Q667" i="10"/>
  <c r="O668" i="10"/>
  <c r="K669" i="10" s="1"/>
  <c r="N668" i="10" l="1"/>
  <c r="J669" i="10" s="1"/>
  <c r="L669" i="10" l="1"/>
  <c r="P669" i="10" s="1"/>
  <c r="M670" i="10" s="1"/>
  <c r="O669" i="10"/>
  <c r="K670" i="10" s="1"/>
  <c r="Q668" i="10"/>
  <c r="N669" i="10" l="1"/>
  <c r="J670" i="10" s="1"/>
  <c r="L670" i="10" l="1"/>
  <c r="P670" i="10" s="1"/>
  <c r="M671" i="10" s="1"/>
  <c r="O670" i="10"/>
  <c r="K671" i="10" s="1"/>
  <c r="Q669" i="10"/>
  <c r="N670" i="10" l="1"/>
  <c r="J671" i="10" s="1"/>
  <c r="L671" i="10" l="1"/>
  <c r="P671" i="10" s="1"/>
  <c r="M672" i="10" s="1"/>
  <c r="O671" i="10"/>
  <c r="K672" i="10" s="1"/>
  <c r="Q670" i="10"/>
  <c r="N671" i="10" l="1"/>
  <c r="J672" i="10" s="1"/>
  <c r="L672" i="10" l="1"/>
  <c r="O672" i="10"/>
  <c r="K673" i="10" s="1"/>
  <c r="Q671" i="10"/>
  <c r="P672" i="10"/>
  <c r="M673" i="10" s="1"/>
  <c r="N672" i="10" l="1"/>
  <c r="J673" i="10" s="1"/>
  <c r="L673" i="10" l="1"/>
  <c r="P673" i="10" s="1"/>
  <c r="M674" i="10" s="1"/>
  <c r="O673" i="10"/>
  <c r="K674" i="10" s="1"/>
  <c r="Q672" i="10"/>
  <c r="N673" i="10" l="1"/>
  <c r="J674" i="10" s="1"/>
  <c r="L674" i="10" l="1"/>
  <c r="P674" i="10" s="1"/>
  <c r="M675" i="10" s="1"/>
  <c r="O674" i="10"/>
  <c r="K675" i="10" s="1"/>
  <c r="Q673" i="10"/>
  <c r="N674" i="10" l="1"/>
  <c r="J675" i="10" s="1"/>
  <c r="L675" i="10" l="1"/>
  <c r="P675" i="10" s="1"/>
  <c r="M676" i="10" s="1"/>
  <c r="O675" i="10"/>
  <c r="K676" i="10" s="1"/>
  <c r="Q674" i="10"/>
  <c r="N675" i="10" l="1"/>
  <c r="J676" i="10" s="1"/>
  <c r="L676" i="10" l="1"/>
  <c r="O676" i="10"/>
  <c r="K677" i="10" s="1"/>
  <c r="Q675" i="10"/>
  <c r="P676" i="10"/>
  <c r="M677" i="10" s="1"/>
  <c r="N676" i="10" l="1"/>
  <c r="J677" i="10" s="1"/>
  <c r="L677" i="10" l="1"/>
  <c r="P677" i="10" s="1"/>
  <c r="M678" i="10" s="1"/>
  <c r="O677" i="10"/>
  <c r="K678" i="10" s="1"/>
  <c r="Q676" i="10"/>
  <c r="N677" i="10" l="1"/>
  <c r="J678" i="10" s="1"/>
  <c r="L678" i="10" l="1"/>
  <c r="P678" i="10" s="1"/>
  <c r="M679" i="10" s="1"/>
  <c r="O678" i="10"/>
  <c r="K679" i="10" s="1"/>
  <c r="Q677" i="10"/>
  <c r="N678" i="10" l="1"/>
  <c r="J679" i="10" s="1"/>
  <c r="L679" i="10" l="1"/>
  <c r="O679" i="10"/>
  <c r="K680" i="10" s="1"/>
  <c r="P679" i="10"/>
  <c r="M680" i="10" s="1"/>
  <c r="Q678" i="10"/>
  <c r="N679" i="10" l="1"/>
  <c r="J680" i="10" s="1"/>
  <c r="L680" i="10" l="1"/>
  <c r="P680" i="10" s="1"/>
  <c r="M681" i="10" s="1"/>
  <c r="O680" i="10"/>
  <c r="K681" i="10" s="1"/>
  <c r="Q679" i="10"/>
  <c r="N680" i="10" l="1"/>
  <c r="J681" i="10" s="1"/>
  <c r="L681" i="10" l="1"/>
  <c r="P681" i="10" s="1"/>
  <c r="M682" i="10" s="1"/>
  <c r="O681" i="10"/>
  <c r="K682" i="10" s="1"/>
  <c r="Q680" i="10"/>
  <c r="N681" i="10" l="1"/>
  <c r="J682" i="10" s="1"/>
  <c r="L682" i="10" l="1"/>
  <c r="P682" i="10" s="1"/>
  <c r="M683" i="10" s="1"/>
  <c r="O682" i="10"/>
  <c r="K683" i="10" s="1"/>
  <c r="Q681" i="10"/>
  <c r="N682" i="10" l="1"/>
  <c r="J683" i="10" s="1"/>
  <c r="L683" i="10" l="1"/>
  <c r="P683" i="10" s="1"/>
  <c r="M684" i="10" s="1"/>
  <c r="O683" i="10"/>
  <c r="K684" i="10" s="1"/>
  <c r="Q682" i="10"/>
  <c r="N683" i="10" l="1"/>
  <c r="J684" i="10" s="1"/>
  <c r="L684" i="10" l="1"/>
  <c r="O684" i="10"/>
  <c r="K685" i="10" s="1"/>
  <c r="Q683" i="10"/>
  <c r="P684" i="10"/>
  <c r="M685" i="10" s="1"/>
  <c r="N684" i="10" l="1"/>
  <c r="J685" i="10" s="1"/>
  <c r="L685" i="10" l="1"/>
  <c r="P685" i="10" s="1"/>
  <c r="M686" i="10" s="1"/>
  <c r="O685" i="10"/>
  <c r="K686" i="10" s="1"/>
  <c r="Q684" i="10"/>
  <c r="N685" i="10" l="1"/>
  <c r="J686" i="10" s="1"/>
  <c r="L686" i="10" l="1"/>
  <c r="P686" i="10" s="1"/>
  <c r="M687" i="10" s="1"/>
  <c r="O686" i="10"/>
  <c r="K687" i="10" s="1"/>
  <c r="Q685" i="10"/>
  <c r="N686" i="10" l="1"/>
  <c r="J687" i="10" s="1"/>
  <c r="L687" i="10" l="1"/>
  <c r="O687" i="10"/>
  <c r="K688" i="10" s="1"/>
  <c r="Q686" i="10"/>
  <c r="P687" i="10"/>
  <c r="M688" i="10" s="1"/>
  <c r="N687" i="10" l="1"/>
  <c r="J688" i="10" s="1"/>
  <c r="L688" i="10" l="1"/>
  <c r="P688" i="10" s="1"/>
  <c r="M689" i="10" s="1"/>
  <c r="O688" i="10"/>
  <c r="K689" i="10" s="1"/>
  <c r="Q687" i="10"/>
  <c r="N688" i="10" l="1"/>
  <c r="J689" i="10" s="1"/>
  <c r="L689" i="10" l="1"/>
  <c r="O689" i="10"/>
  <c r="K690" i="10" s="1"/>
  <c r="Q688" i="10"/>
  <c r="P689" i="10"/>
  <c r="M690" i="10" s="1"/>
  <c r="N689" i="10" l="1"/>
  <c r="J690" i="10" s="1"/>
  <c r="L690" i="10" l="1"/>
  <c r="P690" i="10" s="1"/>
  <c r="M691" i="10" s="1"/>
  <c r="O690" i="10"/>
  <c r="K691" i="10" s="1"/>
  <c r="Q689" i="10"/>
  <c r="N690" i="10" l="1"/>
  <c r="J691" i="10" s="1"/>
  <c r="L691" i="10" l="1"/>
  <c r="O691" i="10"/>
  <c r="K692" i="10" s="1"/>
  <c r="P691" i="10"/>
  <c r="M692" i="10" s="1"/>
  <c r="Q690" i="10"/>
  <c r="N691" i="10" l="1"/>
  <c r="J692" i="10" s="1"/>
  <c r="L692" i="10" l="1"/>
  <c r="P692" i="10" s="1"/>
  <c r="M693" i="10" s="1"/>
  <c r="O692" i="10"/>
  <c r="K693" i="10" s="1"/>
  <c r="Q691" i="10"/>
  <c r="N692" i="10" l="1"/>
  <c r="J693" i="10" s="1"/>
  <c r="L693" i="10" l="1"/>
  <c r="P693" i="10" s="1"/>
  <c r="M694" i="10" s="1"/>
  <c r="O693" i="10"/>
  <c r="K694" i="10" s="1"/>
  <c r="Q692" i="10"/>
  <c r="N693" i="10" l="1"/>
  <c r="J694" i="10" s="1"/>
  <c r="L694" i="10" l="1"/>
  <c r="O694" i="10"/>
  <c r="K695" i="10" s="1"/>
  <c r="P694" i="10"/>
  <c r="M695" i="10" s="1"/>
  <c r="Q693" i="10"/>
  <c r="N694" i="10" l="1"/>
  <c r="J695" i="10" s="1"/>
  <c r="L695" i="10" l="1"/>
  <c r="O695" i="10"/>
  <c r="K696" i="10" s="1"/>
  <c r="P695" i="10"/>
  <c r="M696" i="10" s="1"/>
  <c r="Q694" i="10"/>
  <c r="N695" i="10" l="1"/>
  <c r="J696" i="10" s="1"/>
  <c r="L696" i="10" l="1"/>
  <c r="P696" i="10" s="1"/>
  <c r="M697" i="10" s="1"/>
  <c r="O696" i="10"/>
  <c r="K697" i="10" s="1"/>
  <c r="Q695" i="10"/>
  <c r="N696" i="10" l="1"/>
  <c r="J697" i="10" s="1"/>
  <c r="L697" i="10" l="1"/>
  <c r="P697" i="10" s="1"/>
  <c r="M698" i="10" s="1"/>
  <c r="O697" i="10"/>
  <c r="K698" i="10" s="1"/>
  <c r="Q696" i="10"/>
  <c r="N697" i="10" l="1"/>
  <c r="J698" i="10" s="1"/>
  <c r="L698" i="10" l="1"/>
  <c r="P698" i="10" s="1"/>
  <c r="M699" i="10" s="1"/>
  <c r="O698" i="10"/>
  <c r="K699" i="10" s="1"/>
  <c r="Q697" i="10"/>
  <c r="N698" i="10" l="1"/>
  <c r="J699" i="10" s="1"/>
  <c r="L699" i="10" l="1"/>
  <c r="O699" i="10"/>
  <c r="K700" i="10" s="1"/>
  <c r="P699" i="10"/>
  <c r="M700" i="10" s="1"/>
  <c r="Q698" i="10"/>
  <c r="N699" i="10" l="1"/>
  <c r="J700" i="10" s="1"/>
  <c r="L700" i="10" l="1"/>
  <c r="O700" i="10"/>
  <c r="K701" i="10" s="1"/>
  <c r="P700" i="10"/>
  <c r="M701" i="10" s="1"/>
  <c r="Q699" i="10"/>
  <c r="N700" i="10" l="1"/>
  <c r="J701" i="10" s="1"/>
  <c r="L701" i="10" l="1"/>
  <c r="P701" i="10" s="1"/>
  <c r="M702" i="10" s="1"/>
  <c r="O701" i="10"/>
  <c r="K702" i="10" s="1"/>
  <c r="Q700" i="10"/>
  <c r="N701" i="10" l="1"/>
  <c r="J702" i="10" s="1"/>
  <c r="L702" i="10" l="1"/>
  <c r="O702" i="10"/>
  <c r="K703" i="10" s="1"/>
  <c r="P702" i="10"/>
  <c r="M703" i="10" s="1"/>
  <c r="Q701" i="10"/>
  <c r="N702" i="10" l="1"/>
  <c r="J703" i="10" s="1"/>
  <c r="L703" i="10" l="1"/>
  <c r="P703" i="10" s="1"/>
  <c r="M704" i="10" s="1"/>
  <c r="O703" i="10"/>
  <c r="K704" i="10" s="1"/>
  <c r="Q702" i="10"/>
  <c r="N703" i="10" l="1"/>
  <c r="J704" i="10" s="1"/>
  <c r="L704" i="10" l="1"/>
  <c r="P704" i="10" s="1"/>
  <c r="M705" i="10" s="1"/>
  <c r="O704" i="10"/>
  <c r="K705" i="10" s="1"/>
  <c r="Q703" i="10"/>
  <c r="N704" i="10" l="1"/>
  <c r="J705" i="10" s="1"/>
  <c r="L705" i="10" l="1"/>
  <c r="P705" i="10" s="1"/>
  <c r="M706" i="10" s="1"/>
  <c r="O705" i="10"/>
  <c r="K706" i="10" s="1"/>
  <c r="Q704" i="10"/>
  <c r="N705" i="10" l="1"/>
  <c r="J706" i="10" s="1"/>
  <c r="L706" i="10" l="1"/>
  <c r="O706" i="10"/>
  <c r="K707" i="10" s="1"/>
  <c r="P706" i="10"/>
  <c r="M707" i="10" s="1"/>
  <c r="Q705" i="10"/>
  <c r="N706" i="10" l="1"/>
  <c r="J707" i="10" s="1"/>
  <c r="L707" i="10" l="1"/>
  <c r="O707" i="10"/>
  <c r="K708" i="10" s="1"/>
  <c r="Q706" i="10"/>
  <c r="P707" i="10"/>
  <c r="M708" i="10" s="1"/>
  <c r="N707" i="10" l="1"/>
  <c r="J708" i="10" s="1"/>
  <c r="L708" i="10" l="1"/>
  <c r="O708" i="10"/>
  <c r="K709" i="10" s="1"/>
  <c r="Q707" i="10"/>
  <c r="P708" i="10"/>
  <c r="M709" i="10" s="1"/>
  <c r="N708" i="10" l="1"/>
  <c r="J709" i="10" s="1"/>
  <c r="L709" i="10" l="1"/>
  <c r="P709" i="10" s="1"/>
  <c r="M710" i="10" s="1"/>
  <c r="O709" i="10"/>
  <c r="K710" i="10" s="1"/>
  <c r="Q708" i="10"/>
  <c r="N709" i="10" l="1"/>
  <c r="J710" i="10" s="1"/>
  <c r="L710" i="10" l="1"/>
  <c r="O710" i="10"/>
  <c r="K711" i="10" s="1"/>
  <c r="Q709" i="10"/>
  <c r="P710" i="10"/>
  <c r="M711" i="10" s="1"/>
  <c r="N710" i="10" l="1"/>
  <c r="J711" i="10" s="1"/>
  <c r="L711" i="10" l="1"/>
  <c r="P711" i="10" s="1"/>
  <c r="M712" i="10" s="1"/>
  <c r="O711" i="10"/>
  <c r="K712" i="10" s="1"/>
  <c r="Q710" i="10"/>
  <c r="N711" i="10" l="1"/>
  <c r="J712" i="10" s="1"/>
  <c r="L712" i="10" l="1"/>
  <c r="P712" i="10" s="1"/>
  <c r="M713" i="10" s="1"/>
  <c r="O712" i="10"/>
  <c r="K713" i="10" s="1"/>
  <c r="Q711" i="10"/>
  <c r="N712" i="10" l="1"/>
  <c r="J713" i="10" s="1"/>
  <c r="L713" i="10" l="1"/>
  <c r="P713" i="10" s="1"/>
  <c r="M714" i="10" s="1"/>
  <c r="O713" i="10"/>
  <c r="K714" i="10" s="1"/>
  <c r="Q712" i="10"/>
  <c r="N713" i="10" l="1"/>
  <c r="J714" i="10" s="1"/>
  <c r="L714" i="10" l="1"/>
  <c r="P714" i="10" s="1"/>
  <c r="M715" i="10" s="1"/>
  <c r="O714" i="10"/>
  <c r="K715" i="10" s="1"/>
  <c r="Q713" i="10"/>
  <c r="N714" i="10" l="1"/>
  <c r="J715" i="10" s="1"/>
  <c r="L715" i="10" l="1"/>
  <c r="O715" i="10"/>
  <c r="K716" i="10" s="1"/>
  <c r="Q714" i="10"/>
  <c r="P715" i="10"/>
  <c r="M716" i="10" s="1"/>
  <c r="N715" i="10" l="1"/>
  <c r="J716" i="10" s="1"/>
  <c r="L716" i="10" l="1"/>
  <c r="P716" i="10" s="1"/>
  <c r="M717" i="10" s="1"/>
  <c r="O716" i="10"/>
  <c r="K717" i="10" s="1"/>
  <c r="Q715" i="10"/>
  <c r="N716" i="10" l="1"/>
  <c r="J717" i="10" s="1"/>
  <c r="L717" i="10" l="1"/>
  <c r="P717" i="10" s="1"/>
  <c r="M718" i="10" s="1"/>
  <c r="O717" i="10"/>
  <c r="K718" i="10" s="1"/>
  <c r="Q716" i="10"/>
  <c r="N717" i="10" l="1"/>
  <c r="J718" i="10" s="1"/>
  <c r="L718" i="10" l="1"/>
  <c r="P718" i="10" s="1"/>
  <c r="M719" i="10" s="1"/>
  <c r="O718" i="10"/>
  <c r="K719" i="10" s="1"/>
  <c r="Q717" i="10"/>
  <c r="N718" i="10" l="1"/>
  <c r="J719" i="10" s="1"/>
  <c r="L719" i="10" l="1"/>
  <c r="O719" i="10"/>
  <c r="K720" i="10" s="1"/>
  <c r="P719" i="10"/>
  <c r="M720" i="10" s="1"/>
  <c r="Q718" i="10"/>
  <c r="N719" i="10" l="1"/>
  <c r="J720" i="10" s="1"/>
  <c r="L720" i="10" l="1"/>
  <c r="P720" i="10" s="1"/>
  <c r="M721" i="10" s="1"/>
  <c r="O720" i="10"/>
  <c r="K721" i="10" s="1"/>
  <c r="Q719" i="10"/>
  <c r="N720" i="10" l="1"/>
  <c r="J721" i="10" s="1"/>
  <c r="L721" i="10" l="1"/>
  <c r="P721" i="10" s="1"/>
  <c r="M722" i="10" s="1"/>
  <c r="O721" i="10"/>
  <c r="K722" i="10" s="1"/>
  <c r="Q720" i="10"/>
  <c r="N721" i="10" l="1"/>
  <c r="J722" i="10" s="1"/>
  <c r="L722" i="10" l="1"/>
  <c r="P722" i="10" s="1"/>
  <c r="M723" i="10" s="1"/>
  <c r="O722" i="10"/>
  <c r="K723" i="10" s="1"/>
  <c r="Q721" i="10"/>
  <c r="N722" i="10" l="1"/>
  <c r="J723" i="10" s="1"/>
  <c r="L723" i="10" l="1"/>
  <c r="P723" i="10" s="1"/>
  <c r="M724" i="10" s="1"/>
  <c r="O723" i="10"/>
  <c r="K724" i="10" s="1"/>
  <c r="Q722" i="10"/>
  <c r="N723" i="10" l="1"/>
  <c r="J724" i="10" s="1"/>
  <c r="L724" i="10" l="1"/>
  <c r="O724" i="10"/>
  <c r="K725" i="10" s="1"/>
  <c r="P724" i="10"/>
  <c r="M725" i="10" s="1"/>
  <c r="Q723" i="10"/>
  <c r="N724" i="10" l="1"/>
  <c r="J725" i="10" s="1"/>
  <c r="L725" i="10" l="1"/>
  <c r="P725" i="10" s="1"/>
  <c r="M726" i="10" s="1"/>
  <c r="O725" i="10"/>
  <c r="K726" i="10" s="1"/>
  <c r="Q724" i="10"/>
  <c r="N725" i="10" l="1"/>
  <c r="J726" i="10" s="1"/>
  <c r="L726" i="10" l="1"/>
  <c r="O726" i="10"/>
  <c r="K727" i="10" s="1"/>
  <c r="P726" i="10"/>
  <c r="M727" i="10" s="1"/>
  <c r="Q725" i="10"/>
  <c r="N726" i="10" l="1"/>
  <c r="J727" i="10" s="1"/>
  <c r="L727" i="10" l="1"/>
  <c r="Q726" i="10"/>
  <c r="P727" i="10"/>
  <c r="M728" i="10" s="1"/>
  <c r="O727" i="10"/>
  <c r="K728" i="10" s="1"/>
  <c r="N727" i="10" l="1"/>
  <c r="J728" i="10" s="1"/>
  <c r="L728" i="10" l="1"/>
  <c r="P728" i="10" s="1"/>
  <c r="M729" i="10" s="1"/>
  <c r="O728" i="10"/>
  <c r="K729" i="10" s="1"/>
  <c r="Q727" i="10"/>
  <c r="N728" i="10" l="1"/>
  <c r="J729" i="10" s="1"/>
  <c r="L729" i="10" l="1"/>
  <c r="O729" i="10"/>
  <c r="K730" i="10" s="1"/>
  <c r="P729" i="10"/>
  <c r="M730" i="10" s="1"/>
  <c r="Q728" i="10"/>
  <c r="N729" i="10" l="1"/>
  <c r="J730" i="10" s="1"/>
  <c r="L730" i="10" l="1"/>
  <c r="P730" i="10" s="1"/>
  <c r="M731" i="10" s="1"/>
  <c r="O730" i="10"/>
  <c r="K731" i="10" s="1"/>
  <c r="Q729" i="10"/>
  <c r="N730" i="10" l="1"/>
  <c r="J731" i="10" s="1"/>
  <c r="L731" i="10" l="1"/>
  <c r="O731" i="10"/>
  <c r="K732" i="10" s="1"/>
  <c r="Q730" i="10"/>
  <c r="P731" i="10"/>
  <c r="M732" i="10" s="1"/>
  <c r="N731" i="10" l="1"/>
  <c r="J732" i="10" s="1"/>
  <c r="L732" i="10" l="1"/>
  <c r="P732" i="10" s="1"/>
  <c r="M733" i="10" s="1"/>
  <c r="O732" i="10"/>
  <c r="K733" i="10" s="1"/>
  <c r="Q731" i="10"/>
  <c r="N732" i="10" l="1"/>
  <c r="J733" i="10" s="1"/>
  <c r="L733" i="10" l="1"/>
  <c r="P733" i="10" s="1"/>
  <c r="M734" i="10" s="1"/>
  <c r="O733" i="10"/>
  <c r="K734" i="10" s="1"/>
  <c r="Q732" i="10"/>
  <c r="N733" i="10" l="1"/>
  <c r="J734" i="10" s="1"/>
  <c r="L734" i="10" l="1"/>
  <c r="P734" i="10" s="1"/>
  <c r="M735" i="10" s="1"/>
  <c r="O734" i="10"/>
  <c r="K735" i="10" s="1"/>
  <c r="Q733" i="10"/>
  <c r="N734" i="10" l="1"/>
  <c r="J735" i="10" s="1"/>
  <c r="L735" i="10" l="1"/>
  <c r="P735" i="10" s="1"/>
  <c r="M736" i="10" s="1"/>
  <c r="O735" i="10"/>
  <c r="K736" i="10" s="1"/>
  <c r="Q734" i="10"/>
  <c r="N735" i="10" l="1"/>
  <c r="J736" i="10" s="1"/>
  <c r="L736" i="10" l="1"/>
  <c r="P736" i="10" s="1"/>
  <c r="M737" i="10" s="1"/>
  <c r="O736" i="10"/>
  <c r="K737" i="10" s="1"/>
  <c r="Q735" i="10"/>
  <c r="N736" i="10" l="1"/>
  <c r="J737" i="10" s="1"/>
  <c r="L737" i="10" l="1"/>
  <c r="O737" i="10"/>
  <c r="K738" i="10" s="1"/>
  <c r="Q736" i="10"/>
  <c r="P737" i="10"/>
  <c r="M738" i="10" s="1"/>
  <c r="N737" i="10" l="1"/>
  <c r="J738" i="10" s="1"/>
  <c r="L738" i="10" l="1"/>
  <c r="P738" i="10" s="1"/>
  <c r="M739" i="10" s="1"/>
  <c r="O738" i="10"/>
  <c r="K739" i="10" s="1"/>
  <c r="Q737" i="10"/>
  <c r="N738" i="10" l="1"/>
  <c r="J739" i="10" s="1"/>
  <c r="L739" i="10" l="1"/>
  <c r="O739" i="10"/>
  <c r="K740" i="10" s="1"/>
  <c r="P739" i="10"/>
  <c r="M740" i="10" s="1"/>
  <c r="Q738" i="10"/>
  <c r="N739" i="10" l="1"/>
  <c r="J740" i="10" s="1"/>
  <c r="L740" i="10" l="1"/>
  <c r="P740" i="10" s="1"/>
  <c r="M741" i="10" s="1"/>
  <c r="O740" i="10"/>
  <c r="K741" i="10" s="1"/>
  <c r="Q739" i="10"/>
  <c r="N740" i="10" l="1"/>
  <c r="J741" i="10" s="1"/>
  <c r="L741" i="10" l="1"/>
  <c r="P741" i="10" s="1"/>
  <c r="M742" i="10" s="1"/>
  <c r="O741" i="10"/>
  <c r="K742" i="10" s="1"/>
  <c r="Q740" i="10"/>
  <c r="N741" i="10" l="1"/>
  <c r="J742" i="10" s="1"/>
  <c r="L742" i="10" l="1"/>
  <c r="O742" i="10"/>
  <c r="K743" i="10" s="1"/>
  <c r="Q741" i="10"/>
  <c r="P742" i="10"/>
  <c r="M743" i="10" s="1"/>
  <c r="N742" i="10" l="1"/>
  <c r="J743" i="10" s="1"/>
  <c r="L743" i="10" l="1"/>
  <c r="P743" i="10" s="1"/>
  <c r="M744" i="10" s="1"/>
  <c r="O743" i="10"/>
  <c r="K744" i="10" s="1"/>
  <c r="Q742" i="10"/>
  <c r="N743" i="10" l="1"/>
  <c r="J744" i="10" s="1"/>
  <c r="L744" i="10" l="1"/>
  <c r="P744" i="10" s="1"/>
  <c r="M745" i="10" s="1"/>
  <c r="O744" i="10"/>
  <c r="K745" i="10" s="1"/>
  <c r="Q743" i="10"/>
  <c r="N744" i="10" l="1"/>
  <c r="J745" i="10" s="1"/>
  <c r="L745" i="10" l="1"/>
  <c r="P745" i="10" s="1"/>
  <c r="M746" i="10" s="1"/>
  <c r="O745" i="10"/>
  <c r="K746" i="10" s="1"/>
  <c r="Q744" i="10"/>
  <c r="N745" i="10" l="1"/>
  <c r="J746" i="10" s="1"/>
  <c r="L746" i="10" l="1"/>
  <c r="O746" i="10"/>
  <c r="K747" i="10" s="1"/>
  <c r="Q745" i="10"/>
  <c r="P746" i="10"/>
  <c r="M747" i="10" s="1"/>
  <c r="N746" i="10" l="1"/>
  <c r="J747" i="10" s="1"/>
  <c r="L747" i="10" l="1"/>
  <c r="P747" i="10" s="1"/>
  <c r="M748" i="10" s="1"/>
  <c r="O747" i="10"/>
  <c r="K748" i="10" s="1"/>
  <c r="Q746" i="10"/>
  <c r="N747" i="10" l="1"/>
  <c r="J748" i="10" s="1"/>
  <c r="L748" i="10" l="1"/>
  <c r="P748" i="10" s="1"/>
  <c r="M749" i="10" s="1"/>
  <c r="O748" i="10"/>
  <c r="K749" i="10" s="1"/>
  <c r="Q747" i="10"/>
  <c r="N748" i="10" l="1"/>
  <c r="J749" i="10" s="1"/>
  <c r="L749" i="10" l="1"/>
  <c r="P749" i="10" s="1"/>
  <c r="M750" i="10" s="1"/>
  <c r="O749" i="10"/>
  <c r="K750" i="10" s="1"/>
  <c r="Q748" i="10"/>
  <c r="N749" i="10" l="1"/>
  <c r="J750" i="10" s="1"/>
  <c r="L750" i="10" l="1"/>
  <c r="O750" i="10"/>
  <c r="K751" i="10" s="1"/>
  <c r="P750" i="10"/>
  <c r="M751" i="10" s="1"/>
  <c r="Q749" i="10"/>
  <c r="N750" i="10" l="1"/>
  <c r="J751" i="10" s="1"/>
  <c r="L751" i="10" l="1"/>
  <c r="O751" i="10"/>
  <c r="K752" i="10" s="1"/>
  <c r="P751" i="10"/>
  <c r="M752" i="10" s="1"/>
  <c r="Q750" i="10"/>
  <c r="N751" i="10" l="1"/>
  <c r="J752" i="10" s="1"/>
  <c r="L752" i="10" l="1"/>
  <c r="O752" i="10"/>
  <c r="K753" i="10" s="1"/>
  <c r="P752" i="10"/>
  <c r="M753" i="10" s="1"/>
  <c r="Q751" i="10"/>
  <c r="N752" i="10" l="1"/>
  <c r="J753" i="10" s="1"/>
  <c r="L753" i="10" l="1"/>
  <c r="P753" i="10" s="1"/>
  <c r="M754" i="10" s="1"/>
  <c r="O753" i="10"/>
  <c r="K754" i="10" s="1"/>
  <c r="Q752" i="10"/>
  <c r="N753" i="10" l="1"/>
  <c r="J754" i="10" s="1"/>
  <c r="L754" i="10" l="1"/>
  <c r="P754" i="10" s="1"/>
  <c r="M755" i="10" s="1"/>
  <c r="O754" i="10"/>
  <c r="K755" i="10" s="1"/>
  <c r="Q753" i="10"/>
  <c r="N754" i="10" l="1"/>
  <c r="J755" i="10" s="1"/>
  <c r="L755" i="10" l="1"/>
  <c r="P755" i="10" s="1"/>
  <c r="M756" i="10" s="1"/>
  <c r="O755" i="10"/>
  <c r="K756" i="10" s="1"/>
  <c r="Q754" i="10"/>
  <c r="N755" i="10" l="1"/>
  <c r="J756" i="10" s="1"/>
  <c r="L756" i="10" l="1"/>
  <c r="O756" i="10"/>
  <c r="K757" i="10" s="1"/>
  <c r="Q755" i="10"/>
  <c r="P756" i="10"/>
  <c r="M757" i="10" s="1"/>
  <c r="N756" i="10" l="1"/>
  <c r="J757" i="10" s="1"/>
  <c r="L757" i="10" l="1"/>
  <c r="O757" i="10"/>
  <c r="K758" i="10" s="1"/>
  <c r="P757" i="10"/>
  <c r="M758" i="10" s="1"/>
  <c r="Q756" i="10"/>
  <c r="N757" i="10" l="1"/>
  <c r="J758" i="10" s="1"/>
  <c r="L758" i="10" l="1"/>
  <c r="O758" i="10"/>
  <c r="K759" i="10" s="1"/>
  <c r="P758" i="10"/>
  <c r="M759" i="10" s="1"/>
  <c r="Q757" i="10"/>
  <c r="N758" i="10" l="1"/>
  <c r="J759" i="10" s="1"/>
  <c r="L759" i="10" l="1"/>
  <c r="P759" i="10" s="1"/>
  <c r="M760" i="10" s="1"/>
  <c r="O759" i="10"/>
  <c r="K760" i="10" s="1"/>
  <c r="Q758" i="10"/>
  <c r="N759" i="10" l="1"/>
  <c r="J760" i="10" s="1"/>
  <c r="L760" i="10" l="1"/>
  <c r="O760" i="10"/>
  <c r="K761" i="10" s="1"/>
  <c r="P760" i="10"/>
  <c r="M761" i="10" s="1"/>
  <c r="Q759" i="10"/>
  <c r="N760" i="10" l="1"/>
  <c r="J761" i="10" s="1"/>
  <c r="L761" i="10" l="1"/>
  <c r="O761" i="10"/>
  <c r="K762" i="10" s="1"/>
  <c r="P761" i="10"/>
  <c r="M762" i="10" s="1"/>
  <c r="Q760" i="10"/>
  <c r="N761" i="10" l="1"/>
  <c r="J762" i="10" s="1"/>
  <c r="L762" i="10" l="1"/>
  <c r="O762" i="10"/>
  <c r="K763" i="10" s="1"/>
  <c r="Q761" i="10"/>
  <c r="P762" i="10"/>
  <c r="M763" i="10" s="1"/>
  <c r="N762" i="10" l="1"/>
  <c r="J763" i="10" s="1"/>
  <c r="L763" i="10" l="1"/>
  <c r="O763" i="10"/>
  <c r="K764" i="10" s="1"/>
  <c r="P763" i="10"/>
  <c r="M764" i="10" s="1"/>
  <c r="Q762" i="10"/>
  <c r="N763" i="10" l="1"/>
  <c r="J764" i="10" s="1"/>
  <c r="L764" i="10" l="1"/>
  <c r="P764" i="10" s="1"/>
  <c r="M765" i="10" s="1"/>
  <c r="O764" i="10"/>
  <c r="K765" i="10" s="1"/>
  <c r="Q763" i="10"/>
  <c r="N764" i="10" l="1"/>
  <c r="J765" i="10" s="1"/>
  <c r="L765" i="10" l="1"/>
  <c r="O765" i="10"/>
  <c r="K766" i="10" s="1"/>
  <c r="P765" i="10"/>
  <c r="M766" i="10" s="1"/>
  <c r="Q764" i="10"/>
  <c r="N765" i="10" l="1"/>
  <c r="J766" i="10" s="1"/>
  <c r="L766" i="10" l="1"/>
  <c r="O766" i="10"/>
  <c r="K767" i="10" s="1"/>
  <c r="P766" i="10"/>
  <c r="M767" i="10" s="1"/>
  <c r="Q765" i="10"/>
  <c r="N766" i="10" l="1"/>
  <c r="J767" i="10" s="1"/>
  <c r="L767" i="10" l="1"/>
  <c r="P767" i="10" s="1"/>
  <c r="M768" i="10" s="1"/>
  <c r="O767" i="10"/>
  <c r="K768" i="10" s="1"/>
  <c r="Q766" i="10"/>
  <c r="N767" i="10" l="1"/>
  <c r="J768" i="10" s="1"/>
  <c r="L768" i="10" l="1"/>
  <c r="O768" i="10"/>
  <c r="K769" i="10" s="1"/>
  <c r="P768" i="10"/>
  <c r="M769" i="10" s="1"/>
  <c r="Q767" i="10"/>
  <c r="N768" i="10" l="1"/>
  <c r="J769" i="10" s="1"/>
  <c r="L769" i="10" l="1"/>
  <c r="O769" i="10"/>
  <c r="K770" i="10" s="1"/>
  <c r="P769" i="10"/>
  <c r="M770" i="10" s="1"/>
  <c r="Q768" i="10"/>
  <c r="N769" i="10" l="1"/>
  <c r="J770" i="10" s="1"/>
  <c r="L770" i="10" l="1"/>
  <c r="O770" i="10"/>
  <c r="K771" i="10" s="1"/>
  <c r="P770" i="10"/>
  <c r="M771" i="10" s="1"/>
  <c r="Q769" i="10"/>
  <c r="N770" i="10" l="1"/>
  <c r="J771" i="10" s="1"/>
  <c r="L771" i="10" l="1"/>
  <c r="O771" i="10"/>
  <c r="K772" i="10" s="1"/>
  <c r="P771" i="10"/>
  <c r="M772" i="10" s="1"/>
  <c r="Q770" i="10"/>
  <c r="N771" i="10" l="1"/>
  <c r="J772" i="10" s="1"/>
  <c r="L772" i="10" l="1"/>
  <c r="P772" i="10" s="1"/>
  <c r="M773" i="10" s="1"/>
  <c r="O772" i="10"/>
  <c r="K773" i="10" s="1"/>
  <c r="Q771" i="10"/>
  <c r="N772" i="10" l="1"/>
  <c r="J773" i="10" s="1"/>
  <c r="L773" i="10" l="1"/>
  <c r="P773" i="10" s="1"/>
  <c r="M774" i="10" s="1"/>
  <c r="O773" i="10"/>
  <c r="K774" i="10" s="1"/>
  <c r="Q772" i="10"/>
  <c r="N773" i="10" l="1"/>
  <c r="J774" i="10" s="1"/>
  <c r="L774" i="10" l="1"/>
  <c r="P774" i="10" s="1"/>
  <c r="M775" i="10" s="1"/>
  <c r="O774" i="10"/>
  <c r="K775" i="10" s="1"/>
  <c r="Q773" i="10"/>
  <c r="N774" i="10" l="1"/>
  <c r="J775" i="10" s="1"/>
  <c r="L775" i="10" l="1"/>
  <c r="P775" i="10" s="1"/>
  <c r="M776" i="10" s="1"/>
  <c r="O775" i="10"/>
  <c r="K776" i="10" s="1"/>
  <c r="Q774" i="10"/>
  <c r="N775" i="10" l="1"/>
  <c r="J776" i="10" s="1"/>
  <c r="L776" i="10" l="1"/>
  <c r="P776" i="10" s="1"/>
  <c r="M777" i="10" s="1"/>
  <c r="O776" i="10"/>
  <c r="K777" i="10" s="1"/>
  <c r="Q775" i="10"/>
  <c r="N776" i="10" l="1"/>
  <c r="J777" i="10" s="1"/>
  <c r="L777" i="10" l="1"/>
  <c r="P777" i="10" s="1"/>
  <c r="M778" i="10" s="1"/>
  <c r="O777" i="10"/>
  <c r="K778" i="10" s="1"/>
  <c r="Q776" i="10"/>
  <c r="N777" i="10" l="1"/>
  <c r="J778" i="10" s="1"/>
  <c r="L778" i="10" l="1"/>
  <c r="O778" i="10"/>
  <c r="K779" i="10" s="1"/>
  <c r="P778" i="10"/>
  <c r="M779" i="10" s="1"/>
  <c r="Q777" i="10"/>
  <c r="N778" i="10" l="1"/>
  <c r="J779" i="10" s="1"/>
  <c r="L779" i="10" l="1"/>
  <c r="O779" i="10"/>
  <c r="K780" i="10" s="1"/>
  <c r="Q778" i="10"/>
  <c r="P779" i="10"/>
  <c r="M780" i="10" s="1"/>
  <c r="N779" i="10" l="1"/>
  <c r="J780" i="10" s="1"/>
  <c r="L780" i="10" l="1"/>
  <c r="P780" i="10" s="1"/>
  <c r="M781" i="10" s="1"/>
  <c r="O780" i="10"/>
  <c r="K781" i="10" s="1"/>
  <c r="Q779" i="10"/>
  <c r="N780" i="10" l="1"/>
  <c r="J781" i="10" s="1"/>
  <c r="L781" i="10" l="1"/>
  <c r="O781" i="10"/>
  <c r="K782" i="10" s="1"/>
  <c r="P781" i="10"/>
  <c r="M782" i="10" s="1"/>
  <c r="Q780" i="10"/>
  <c r="N781" i="10" l="1"/>
  <c r="J782" i="10" s="1"/>
  <c r="L782" i="10" l="1"/>
  <c r="O782" i="10"/>
  <c r="K783" i="10" s="1"/>
  <c r="P782" i="10"/>
  <c r="M783" i="10" s="1"/>
  <c r="Q781" i="10"/>
  <c r="N782" i="10" l="1"/>
  <c r="J783" i="10" s="1"/>
  <c r="L783" i="10" l="1"/>
  <c r="P783" i="10" s="1"/>
  <c r="M784" i="10" s="1"/>
  <c r="O783" i="10"/>
  <c r="K784" i="10" s="1"/>
  <c r="Q782" i="10"/>
  <c r="N783" i="10" l="1"/>
  <c r="J784" i="10" s="1"/>
  <c r="L784" i="10" l="1"/>
  <c r="O784" i="10"/>
  <c r="K785" i="10" s="1"/>
  <c r="P784" i="10"/>
  <c r="M785" i="10" s="1"/>
  <c r="Q783" i="10"/>
  <c r="N784" i="10" l="1"/>
  <c r="J785" i="10" s="1"/>
  <c r="L785" i="10" l="1"/>
  <c r="O785" i="10"/>
  <c r="K786" i="10" s="1"/>
  <c r="P785" i="10"/>
  <c r="M786" i="10" s="1"/>
  <c r="Q784" i="10"/>
  <c r="N785" i="10" l="1"/>
  <c r="J786" i="10" s="1"/>
  <c r="L786" i="10" l="1"/>
  <c r="O786" i="10"/>
  <c r="K787" i="10" s="1"/>
  <c r="P786" i="10"/>
  <c r="M787" i="10" s="1"/>
  <c r="Q785" i="10"/>
  <c r="N786" i="10" l="1"/>
  <c r="J787" i="10" s="1"/>
  <c r="L787" i="10" l="1"/>
  <c r="P787" i="10" s="1"/>
  <c r="M788" i="10" s="1"/>
  <c r="Q786" i="10"/>
  <c r="O787" i="10"/>
  <c r="K788" i="10" s="1"/>
  <c r="N787" i="10" l="1"/>
  <c r="J788" i="10" s="1"/>
  <c r="L788" i="10" l="1"/>
  <c r="P788" i="10" s="1"/>
  <c r="M789" i="10" s="1"/>
  <c r="O788" i="10"/>
  <c r="K789" i="10" s="1"/>
  <c r="Q787" i="10"/>
  <c r="N788" i="10" l="1"/>
  <c r="J789" i="10" s="1"/>
  <c r="L789" i="10" l="1"/>
  <c r="P789" i="10" s="1"/>
  <c r="M790" i="10" s="1"/>
  <c r="O789" i="10"/>
  <c r="K790" i="10" s="1"/>
  <c r="Q788" i="10"/>
  <c r="N789" i="10" l="1"/>
  <c r="J790" i="10" s="1"/>
  <c r="L790" i="10" l="1"/>
  <c r="Q789" i="10"/>
  <c r="P790" i="10"/>
  <c r="M791" i="10" s="1"/>
  <c r="O790" i="10"/>
  <c r="K791" i="10" s="1"/>
  <c r="N790" i="10" l="1"/>
  <c r="J791" i="10" s="1"/>
  <c r="L791" i="10" l="1"/>
  <c r="O791" i="10"/>
  <c r="K792" i="10" s="1"/>
  <c r="P791" i="10"/>
  <c r="M792" i="10" s="1"/>
  <c r="Q790" i="10"/>
  <c r="N791" i="10" l="1"/>
  <c r="J792" i="10" s="1"/>
  <c r="L792" i="10" l="1"/>
  <c r="O792" i="10"/>
  <c r="K793" i="10" s="1"/>
  <c r="P792" i="10"/>
  <c r="M793" i="10" s="1"/>
  <c r="Q791" i="10"/>
  <c r="N792" i="10" l="1"/>
  <c r="J793" i="10" s="1"/>
  <c r="L793" i="10" l="1"/>
  <c r="O793" i="10"/>
  <c r="K794" i="10" s="1"/>
  <c r="P793" i="10"/>
  <c r="M794" i="10" s="1"/>
  <c r="Q792" i="10"/>
  <c r="N793" i="10" l="1"/>
  <c r="J794" i="10" s="1"/>
  <c r="L794" i="10" l="1"/>
  <c r="O794" i="10"/>
  <c r="K795" i="10" s="1"/>
  <c r="Q793" i="10"/>
  <c r="P794" i="10"/>
  <c r="M795" i="10" s="1"/>
  <c r="N794" i="10" l="1"/>
  <c r="J795" i="10" s="1"/>
  <c r="L795" i="10" l="1"/>
  <c r="O795" i="10"/>
  <c r="K796" i="10" s="1"/>
  <c r="Q794" i="10"/>
  <c r="P795" i="10"/>
  <c r="M796" i="10" s="1"/>
  <c r="N795" i="10" l="1"/>
  <c r="J796" i="10" s="1"/>
  <c r="L796" i="10" l="1"/>
  <c r="O796" i="10"/>
  <c r="K797" i="10" s="1"/>
  <c r="P796" i="10"/>
  <c r="M797" i="10" s="1"/>
  <c r="Q795" i="10"/>
  <c r="N796" i="10" l="1"/>
  <c r="J797" i="10" s="1"/>
  <c r="L797" i="10" l="1"/>
  <c r="O797" i="10"/>
  <c r="K798" i="10" s="1"/>
  <c r="P797" i="10"/>
  <c r="M798" i="10" s="1"/>
  <c r="Q796" i="10"/>
  <c r="N797" i="10" l="1"/>
  <c r="J798" i="10" s="1"/>
  <c r="L798" i="10" l="1"/>
  <c r="O798" i="10"/>
  <c r="K799" i="10" s="1"/>
  <c r="P798" i="10"/>
  <c r="M799" i="10" s="1"/>
  <c r="Q797" i="10"/>
  <c r="N798" i="10" l="1"/>
  <c r="J799" i="10" s="1"/>
  <c r="L799" i="10" l="1"/>
  <c r="P799" i="10" s="1"/>
  <c r="M800" i="10" s="1"/>
  <c r="Q798" i="10"/>
  <c r="O799" i="10"/>
  <c r="K800" i="10" s="1"/>
  <c r="N799" i="10" l="1"/>
  <c r="J800" i="10" s="1"/>
  <c r="L800" i="10" l="1"/>
  <c r="P800" i="10"/>
  <c r="M801" i="10" s="1"/>
  <c r="Q799" i="10"/>
  <c r="O800" i="10"/>
  <c r="K801" i="10" s="1"/>
  <c r="N800" i="10" l="1"/>
  <c r="J801" i="10" s="1"/>
  <c r="L801" i="10" l="1"/>
  <c r="P801" i="10" s="1"/>
  <c r="M802" i="10" s="1"/>
  <c r="O801" i="10"/>
  <c r="K802" i="10" s="1"/>
  <c r="Q800" i="10"/>
  <c r="N801" i="10" l="1"/>
  <c r="J802" i="10" s="1"/>
  <c r="L802" i="10" l="1"/>
  <c r="P802" i="10" s="1"/>
  <c r="M803" i="10" s="1"/>
  <c r="Q801" i="10"/>
  <c r="O802" i="10"/>
  <c r="K803" i="10" s="1"/>
  <c r="N802" i="10" l="1"/>
  <c r="J803" i="10" s="1"/>
  <c r="L803" i="10" l="1"/>
  <c r="P803" i="10" s="1"/>
  <c r="M804" i="10" s="1"/>
  <c r="O803" i="10"/>
  <c r="K804" i="10" s="1"/>
  <c r="Q802" i="10"/>
  <c r="N803" i="10" l="1"/>
  <c r="J804" i="10" s="1"/>
  <c r="L804" i="10" l="1"/>
  <c r="O804" i="10"/>
  <c r="K805" i="10" s="1"/>
  <c r="P804" i="10"/>
  <c r="M805" i="10" s="1"/>
  <c r="Q803" i="10"/>
  <c r="N804" i="10" l="1"/>
  <c r="J805" i="10" s="1"/>
  <c r="L805" i="10" l="1"/>
  <c r="P805" i="10" s="1"/>
  <c r="M806" i="10" s="1"/>
  <c r="O805" i="10"/>
  <c r="K806" i="10" s="1"/>
  <c r="Q804" i="10"/>
  <c r="N805" i="10" l="1"/>
  <c r="J806" i="10" s="1"/>
  <c r="L806" i="10" l="1"/>
  <c r="O806" i="10"/>
  <c r="K807" i="10" s="1"/>
  <c r="P806" i="10"/>
  <c r="M807" i="10" s="1"/>
  <c r="Q805" i="10"/>
  <c r="N806" i="10" l="1"/>
  <c r="J807" i="10" s="1"/>
  <c r="L807" i="10" l="1"/>
  <c r="P807" i="10" s="1"/>
  <c r="M808" i="10" s="1"/>
  <c r="Q806" i="10"/>
  <c r="O807" i="10"/>
  <c r="K808" i="10" s="1"/>
  <c r="N807" i="10" l="1"/>
  <c r="J808" i="10" s="1"/>
  <c r="L808" i="10" l="1"/>
  <c r="O808" i="10"/>
  <c r="K809" i="10" s="1"/>
  <c r="Q807" i="10"/>
  <c r="P808" i="10"/>
  <c r="M809" i="10" s="1"/>
  <c r="N808" i="10" l="1"/>
  <c r="J809" i="10" s="1"/>
  <c r="L809" i="10" l="1"/>
  <c r="P809" i="10"/>
  <c r="M810" i="10" s="1"/>
  <c r="O809" i="10"/>
  <c r="K810" i="10" s="1"/>
  <c r="Q808" i="10"/>
  <c r="N809" i="10" l="1"/>
  <c r="J810" i="10" s="1"/>
  <c r="L810" i="10" l="1"/>
  <c r="O810" i="10"/>
  <c r="K811" i="10" s="1"/>
  <c r="Q809" i="10"/>
  <c r="P810" i="10"/>
  <c r="M811" i="10" s="1"/>
  <c r="N810" i="10" l="1"/>
  <c r="J811" i="10" s="1"/>
  <c r="L811" i="10" l="1"/>
  <c r="O811" i="10"/>
  <c r="K812" i="10" s="1"/>
  <c r="Q810" i="10"/>
  <c r="P811" i="10"/>
  <c r="M812" i="10" s="1"/>
  <c r="N811" i="10" l="1"/>
  <c r="J812" i="10" s="1"/>
  <c r="L812" i="10" l="1"/>
  <c r="O812" i="10"/>
  <c r="K813" i="10" s="1"/>
  <c r="P812" i="10"/>
  <c r="M813" i="10" s="1"/>
  <c r="Q811" i="10"/>
  <c r="N812" i="10" l="1"/>
  <c r="J813" i="10" s="1"/>
  <c r="L813" i="10" l="1"/>
  <c r="P813" i="10" s="1"/>
  <c r="M814" i="10" s="1"/>
  <c r="O813" i="10"/>
  <c r="K814" i="10" s="1"/>
  <c r="Q812" i="10"/>
  <c r="N813" i="10" l="1"/>
  <c r="J814" i="10" s="1"/>
  <c r="L814" i="10" l="1"/>
  <c r="P814" i="10" s="1"/>
  <c r="M815" i="10" s="1"/>
  <c r="Q813" i="10"/>
  <c r="O814" i="10"/>
  <c r="K815" i="10" s="1"/>
  <c r="N814" i="10" l="1"/>
  <c r="J815" i="10" s="1"/>
  <c r="L815" i="10" l="1"/>
  <c r="O815" i="10"/>
  <c r="K816" i="10" s="1"/>
  <c r="P815" i="10"/>
  <c r="M816" i="10" s="1"/>
  <c r="Q814" i="10"/>
  <c r="N815" i="10" l="1"/>
  <c r="J816" i="10" s="1"/>
  <c r="L816" i="10" l="1"/>
  <c r="P816" i="10"/>
  <c r="M817" i="10" s="1"/>
  <c r="O816" i="10"/>
  <c r="K817" i="10" s="1"/>
  <c r="Q815" i="10"/>
  <c r="N816" i="10" l="1"/>
  <c r="J817" i="10" s="1"/>
  <c r="L817" i="10" l="1"/>
  <c r="O817" i="10"/>
  <c r="K818" i="10" s="1"/>
  <c r="P817" i="10"/>
  <c r="M818" i="10" s="1"/>
  <c r="Q816" i="10"/>
  <c r="N817" i="10" l="1"/>
  <c r="J818" i="10" s="1"/>
  <c r="L818" i="10" l="1"/>
  <c r="Q817" i="10"/>
  <c r="O818" i="10"/>
  <c r="K819" i="10" s="1"/>
  <c r="P818" i="10"/>
  <c r="M819" i="10" s="1"/>
  <c r="N818" i="10" l="1"/>
  <c r="J819" i="10" s="1"/>
  <c r="L819" i="10" l="1"/>
  <c r="O819" i="10"/>
  <c r="K820" i="10" s="1"/>
  <c r="Q818" i="10"/>
  <c r="P819" i="10"/>
  <c r="M820" i="10" s="1"/>
  <c r="N819" i="10" l="1"/>
  <c r="J820" i="10" s="1"/>
  <c r="L820" i="10" l="1"/>
  <c r="O820" i="10"/>
  <c r="K821" i="10" s="1"/>
  <c r="Q819" i="10"/>
  <c r="P820" i="10"/>
  <c r="M821" i="10" s="1"/>
  <c r="N820" i="10" l="1"/>
  <c r="J821" i="10" s="1"/>
  <c r="L821" i="10" l="1"/>
  <c r="Q820" i="10"/>
  <c r="P821" i="10"/>
  <c r="M822" i="10" s="1"/>
  <c r="O821" i="10"/>
  <c r="K822" i="10" s="1"/>
  <c r="N821" i="10" l="1"/>
  <c r="J822" i="10" s="1"/>
  <c r="L822" i="10" l="1"/>
  <c r="O822" i="10"/>
  <c r="K823" i="10" s="1"/>
  <c r="Q821" i="10"/>
  <c r="P822" i="10"/>
  <c r="M823" i="10" s="1"/>
  <c r="N822" i="10" l="1"/>
  <c r="J823" i="10" s="1"/>
  <c r="L823" i="10" l="1"/>
  <c r="O823" i="10"/>
  <c r="K824" i="10" s="1"/>
  <c r="Q822" i="10"/>
  <c r="P823" i="10"/>
  <c r="M824" i="10" s="1"/>
  <c r="N823" i="10" l="1"/>
  <c r="J824" i="10" s="1"/>
  <c r="L824" i="10" l="1"/>
  <c r="O824" i="10"/>
  <c r="K825" i="10" s="1"/>
  <c r="P824" i="10"/>
  <c r="M825" i="10" s="1"/>
  <c r="Q823" i="10"/>
  <c r="N824" i="10" l="1"/>
  <c r="J825" i="10" s="1"/>
  <c r="L825" i="10" l="1"/>
  <c r="P825" i="10" s="1"/>
  <c r="M826" i="10" s="1"/>
  <c r="O825" i="10"/>
  <c r="K826" i="10" s="1"/>
  <c r="Q824" i="10"/>
  <c r="N825" i="10" l="1"/>
  <c r="J826" i="10" s="1"/>
  <c r="L826" i="10" l="1"/>
  <c r="O826" i="10"/>
  <c r="K827" i="10" s="1"/>
  <c r="P826" i="10"/>
  <c r="M827" i="10" s="1"/>
  <c r="Q825" i="10"/>
  <c r="N826" i="10" l="1"/>
  <c r="J827" i="10" s="1"/>
  <c r="L827" i="10" l="1"/>
  <c r="P827" i="10" s="1"/>
  <c r="M828" i="10" s="1"/>
  <c r="O827" i="10"/>
  <c r="K828" i="10" s="1"/>
  <c r="Q826" i="10"/>
  <c r="N827" i="10" l="1"/>
  <c r="J828" i="10" s="1"/>
  <c r="L828" i="10" l="1"/>
  <c r="O828" i="10"/>
  <c r="K829" i="10" s="1"/>
  <c r="P828" i="10"/>
  <c r="M829" i="10" s="1"/>
  <c r="Q827" i="10"/>
  <c r="N828" i="10" l="1"/>
  <c r="J829" i="10" s="1"/>
  <c r="L829" i="10" l="1"/>
  <c r="O829" i="10"/>
  <c r="K830" i="10" s="1"/>
  <c r="Q828" i="10"/>
  <c r="P829" i="10"/>
  <c r="M830" i="10" s="1"/>
  <c r="N829" i="10" l="1"/>
  <c r="J830" i="10" s="1"/>
  <c r="L830" i="10" l="1"/>
  <c r="O830" i="10"/>
  <c r="K831" i="10" s="1"/>
  <c r="P830" i="10"/>
  <c r="M831" i="10" s="1"/>
  <c r="Q829" i="10"/>
  <c r="N830" i="10" l="1"/>
  <c r="J831" i="10" s="1"/>
  <c r="L831" i="10" l="1"/>
  <c r="O831" i="10"/>
  <c r="K832" i="10" s="1"/>
  <c r="P831" i="10"/>
  <c r="M832" i="10" s="1"/>
  <c r="Q830" i="10"/>
  <c r="N831" i="10" l="1"/>
  <c r="J832" i="10" s="1"/>
  <c r="L832" i="10" l="1"/>
  <c r="O832" i="10"/>
  <c r="K833" i="10" s="1"/>
  <c r="P832" i="10"/>
  <c r="M833" i="10" s="1"/>
  <c r="Q831" i="10"/>
  <c r="N832" i="10" l="1"/>
  <c r="J833" i="10" s="1"/>
  <c r="L833" i="10" l="1"/>
  <c r="P833" i="10" s="1"/>
  <c r="M834" i="10" s="1"/>
  <c r="O833" i="10"/>
  <c r="K834" i="10" s="1"/>
  <c r="Q832" i="10"/>
  <c r="N833" i="10" l="1"/>
  <c r="J834" i="10" s="1"/>
  <c r="L834" i="10" l="1"/>
  <c r="P834" i="10"/>
  <c r="M835" i="10" s="1"/>
  <c r="Q833" i="10"/>
  <c r="O834" i="10"/>
  <c r="K835" i="10" s="1"/>
  <c r="N834" i="10" l="1"/>
  <c r="J835" i="10" s="1"/>
  <c r="L835" i="10" l="1"/>
  <c r="P835" i="10" s="1"/>
  <c r="M836" i="10" s="1"/>
  <c r="O835" i="10"/>
  <c r="K836" i="10" s="1"/>
  <c r="Q834" i="10"/>
  <c r="N835" i="10" l="1"/>
  <c r="J836" i="10" s="1"/>
  <c r="L836" i="10" l="1"/>
  <c r="O836" i="10"/>
  <c r="K837" i="10" s="1"/>
  <c r="P836" i="10"/>
  <c r="M837" i="10" s="1"/>
  <c r="Q835" i="10"/>
  <c r="N836" i="10" l="1"/>
  <c r="J837" i="10" s="1"/>
  <c r="L837" i="10" l="1"/>
  <c r="O837" i="10"/>
  <c r="K838" i="10" s="1"/>
  <c r="P837" i="10"/>
  <c r="M838" i="10" s="1"/>
  <c r="Q836" i="10"/>
  <c r="N837" i="10" l="1"/>
  <c r="J838" i="10" s="1"/>
  <c r="L838" i="10" l="1"/>
  <c r="P838" i="10" s="1"/>
  <c r="M839" i="10" s="1"/>
  <c r="O838" i="10"/>
  <c r="K839" i="10" s="1"/>
  <c r="Q837" i="10"/>
  <c r="N838" i="10" l="1"/>
  <c r="J839" i="10" s="1"/>
  <c r="L839" i="10" l="1"/>
  <c r="O839" i="10"/>
  <c r="K840" i="10" s="1"/>
  <c r="P839" i="10"/>
  <c r="M840" i="10" s="1"/>
  <c r="Q838" i="10"/>
  <c r="N839" i="10" l="1"/>
  <c r="J840" i="10" s="1"/>
  <c r="L840" i="10" l="1"/>
  <c r="P840" i="10" s="1"/>
  <c r="M841" i="10" s="1"/>
  <c r="Q839" i="10"/>
  <c r="O840" i="10"/>
  <c r="K841" i="10" s="1"/>
  <c r="N840" i="10" l="1"/>
  <c r="J841" i="10" s="1"/>
  <c r="L841" i="10" l="1"/>
  <c r="P841" i="10" s="1"/>
  <c r="M842" i="10" s="1"/>
  <c r="O841" i="10"/>
  <c r="K842" i="10" s="1"/>
  <c r="Q840" i="10"/>
  <c r="N841" i="10" l="1"/>
  <c r="J842" i="10" s="1"/>
  <c r="L842" i="10" l="1"/>
  <c r="O842" i="10"/>
  <c r="K843" i="10" s="1"/>
  <c r="Q841" i="10"/>
  <c r="P842" i="10"/>
  <c r="M843" i="10" s="1"/>
  <c r="N842" i="10" l="1"/>
  <c r="J843" i="10" s="1"/>
  <c r="L843" i="10" l="1"/>
  <c r="Q842" i="10"/>
  <c r="P843" i="10"/>
  <c r="M844" i="10" s="1"/>
  <c r="O843" i="10"/>
  <c r="K844" i="10" s="1"/>
  <c r="N843" i="10" l="1"/>
  <c r="J844" i="10" s="1"/>
  <c r="L844" i="10" l="1"/>
  <c r="P844" i="10" s="1"/>
  <c r="M845" i="10" s="1"/>
  <c r="O844" i="10"/>
  <c r="K845" i="10" s="1"/>
  <c r="Q843" i="10"/>
  <c r="N844" i="10" l="1"/>
  <c r="J845" i="10" s="1"/>
  <c r="L845" i="10" l="1"/>
  <c r="O845" i="10"/>
  <c r="K846" i="10" s="1"/>
  <c r="P845" i="10"/>
  <c r="M846" i="10" s="1"/>
  <c r="Q844" i="10"/>
  <c r="N845" i="10" l="1"/>
  <c r="J846" i="10" s="1"/>
  <c r="L846" i="10" l="1"/>
  <c r="O846" i="10"/>
  <c r="K847" i="10" s="1"/>
  <c r="P846" i="10"/>
  <c r="M847" i="10" s="1"/>
  <c r="Q845" i="10"/>
  <c r="N846" i="10" l="1"/>
  <c r="J847" i="10" s="1"/>
  <c r="L847" i="10" l="1"/>
  <c r="P847" i="10" s="1"/>
  <c r="M848" i="10" s="1"/>
  <c r="O847" i="10"/>
  <c r="K848" i="10" s="1"/>
  <c r="Q846" i="10"/>
  <c r="N847" i="10" l="1"/>
  <c r="J848" i="10" s="1"/>
  <c r="L848" i="10" l="1"/>
  <c r="O848" i="10"/>
  <c r="K849" i="10" s="1"/>
  <c r="P848" i="10"/>
  <c r="M849" i="10" s="1"/>
  <c r="Q847" i="10"/>
  <c r="N848" i="10" l="1"/>
  <c r="J849" i="10" s="1"/>
  <c r="L849" i="10" l="1"/>
  <c r="P849" i="10" s="1"/>
  <c r="M850" i="10" s="1"/>
  <c r="O849" i="10"/>
  <c r="K850" i="10" s="1"/>
  <c r="Q848" i="10"/>
  <c r="N849" i="10" l="1"/>
  <c r="J850" i="10" s="1"/>
  <c r="L850" i="10" l="1"/>
  <c r="Q849" i="10"/>
  <c r="P850" i="10"/>
  <c r="M851" i="10" s="1"/>
  <c r="O850" i="10"/>
  <c r="K851" i="10" s="1"/>
  <c r="N850" i="10" l="1"/>
  <c r="J851" i="10" s="1"/>
  <c r="L851" i="10" l="1"/>
  <c r="O851" i="10"/>
  <c r="K852" i="10" s="1"/>
  <c r="P851" i="10"/>
  <c r="M852" i="10" s="1"/>
  <c r="Q850" i="10"/>
  <c r="N851" i="10" l="1"/>
  <c r="J852" i="10" s="1"/>
  <c r="L852" i="10" l="1"/>
  <c r="P852" i="10" s="1"/>
  <c r="M853" i="10" s="1"/>
  <c r="O852" i="10"/>
  <c r="K853" i="10" s="1"/>
  <c r="Q851" i="10"/>
  <c r="N852" i="10" l="1"/>
  <c r="J853" i="10" s="1"/>
  <c r="L853" i="10" l="1"/>
  <c r="P853" i="10" s="1"/>
  <c r="M854" i="10" s="1"/>
  <c r="O853" i="10"/>
  <c r="K854" i="10" s="1"/>
  <c r="Q852" i="10"/>
  <c r="N853" i="10" l="1"/>
  <c r="J854" i="10" s="1"/>
  <c r="L854" i="10" l="1"/>
  <c r="O854" i="10"/>
  <c r="K855" i="10" s="1"/>
  <c r="P854" i="10"/>
  <c r="M855" i="10" s="1"/>
  <c r="Q853" i="10"/>
  <c r="N854" i="10" l="1"/>
  <c r="J855" i="10" s="1"/>
  <c r="L855" i="10" l="1"/>
  <c r="P855" i="10" s="1"/>
  <c r="M856" i="10" s="1"/>
  <c r="O855" i="10"/>
  <c r="K856" i="10" s="1"/>
  <c r="Q854" i="10"/>
  <c r="N855" i="10" l="1"/>
  <c r="J856" i="10" s="1"/>
  <c r="L856" i="10" l="1"/>
  <c r="P856" i="10" s="1"/>
  <c r="M857" i="10" s="1"/>
  <c r="O856" i="10"/>
  <c r="K857" i="10" s="1"/>
  <c r="Q855" i="10"/>
  <c r="N856" i="10" l="1"/>
  <c r="J857" i="10" s="1"/>
  <c r="L857" i="10" l="1"/>
  <c r="P857" i="10"/>
  <c r="M858" i="10" s="1"/>
  <c r="O857" i="10"/>
  <c r="K858" i="10" s="1"/>
  <c r="Q856" i="10"/>
  <c r="N857" i="10" l="1"/>
  <c r="J858" i="10" s="1"/>
  <c r="L858" i="10" l="1"/>
  <c r="P858" i="10" s="1"/>
  <c r="M859" i="10" s="1"/>
  <c r="O858" i="10"/>
  <c r="K859" i="10" s="1"/>
  <c r="Q857" i="10"/>
  <c r="N858" i="10" l="1"/>
  <c r="J859" i="10" s="1"/>
  <c r="L859" i="10" l="1"/>
  <c r="P859" i="10" s="1"/>
  <c r="M860" i="10" s="1"/>
  <c r="O859" i="10"/>
  <c r="K860" i="10" s="1"/>
  <c r="Q858" i="10"/>
  <c r="N859" i="10" l="1"/>
  <c r="J860" i="10" s="1"/>
  <c r="L860" i="10" l="1"/>
  <c r="P860" i="10" s="1"/>
  <c r="M861" i="10" s="1"/>
  <c r="O860" i="10"/>
  <c r="K861" i="10" s="1"/>
  <c r="Q859" i="10"/>
  <c r="N860" i="10" l="1"/>
  <c r="J861" i="10" s="1"/>
  <c r="L861" i="10" l="1"/>
  <c r="P861" i="10" s="1"/>
  <c r="M862" i="10" s="1"/>
  <c r="O861" i="10"/>
  <c r="K862" i="10" s="1"/>
  <c r="Q860" i="10"/>
  <c r="N861" i="10" l="1"/>
  <c r="J862" i="10" s="1"/>
  <c r="L862" i="10" l="1"/>
  <c r="P862" i="10" s="1"/>
  <c r="M863" i="10" s="1"/>
  <c r="O862" i="10"/>
  <c r="K863" i="10" s="1"/>
  <c r="Q861" i="10"/>
  <c r="N862" i="10" l="1"/>
  <c r="J863" i="10" s="1"/>
  <c r="L863" i="10" l="1"/>
  <c r="P863" i="10" s="1"/>
  <c r="M864" i="10" s="1"/>
  <c r="O863" i="10"/>
  <c r="K864" i="10" s="1"/>
  <c r="Q862" i="10"/>
  <c r="N863" i="10" l="1"/>
  <c r="J864" i="10" s="1"/>
  <c r="L864" i="10" l="1"/>
  <c r="O864" i="10"/>
  <c r="K865" i="10" s="1"/>
  <c r="P864" i="10"/>
  <c r="M865" i="10" s="1"/>
  <c r="Q863" i="10"/>
  <c r="N864" i="10" l="1"/>
  <c r="J865" i="10" s="1"/>
  <c r="L865" i="10" l="1"/>
  <c r="P865" i="10" s="1"/>
  <c r="M866" i="10" s="1"/>
  <c r="O865" i="10"/>
  <c r="K866" i="10" s="1"/>
  <c r="Q864" i="10"/>
  <c r="N865" i="10" l="1"/>
  <c r="J866" i="10" s="1"/>
  <c r="L866" i="10" l="1"/>
  <c r="P866" i="10" s="1"/>
  <c r="M867" i="10" s="1"/>
  <c r="O866" i="10"/>
  <c r="K867" i="10" s="1"/>
  <c r="Q865" i="10"/>
  <c r="N866" i="10" l="1"/>
  <c r="J867" i="10" s="1"/>
  <c r="L867" i="10" l="1"/>
  <c r="P867" i="10" s="1"/>
  <c r="M868" i="10" s="1"/>
  <c r="O867" i="10"/>
  <c r="K868" i="10" s="1"/>
  <c r="Q866" i="10"/>
  <c r="N867" i="10" l="1"/>
  <c r="J868" i="10" s="1"/>
  <c r="L868" i="10" l="1"/>
  <c r="O868" i="10"/>
  <c r="K869" i="10" s="1"/>
  <c r="P868" i="10"/>
  <c r="M869" i="10" s="1"/>
  <c r="Q867" i="10"/>
  <c r="N868" i="10" l="1"/>
  <c r="J869" i="10" s="1"/>
  <c r="L869" i="10" l="1"/>
  <c r="O869" i="10"/>
  <c r="K870" i="10" s="1"/>
  <c r="P869" i="10"/>
  <c r="M870" i="10" s="1"/>
  <c r="Q868" i="10"/>
  <c r="N869" i="10" l="1"/>
  <c r="J870" i="10" s="1"/>
  <c r="L870" i="10" l="1"/>
  <c r="P870" i="10" s="1"/>
  <c r="M871" i="10" s="1"/>
  <c r="O870" i="10"/>
  <c r="K871" i="10" s="1"/>
  <c r="Q869" i="10"/>
  <c r="N870" i="10" l="1"/>
  <c r="J871" i="10" s="1"/>
  <c r="L871" i="10" l="1"/>
  <c r="P871" i="10" s="1"/>
  <c r="M872" i="10" s="1"/>
  <c r="O871" i="10"/>
  <c r="K872" i="10" s="1"/>
  <c r="Q870" i="10"/>
  <c r="N871" i="10" l="1"/>
  <c r="J872" i="10" s="1"/>
  <c r="L872" i="10" l="1"/>
  <c r="O872" i="10"/>
  <c r="K873" i="10" s="1"/>
  <c r="P872" i="10"/>
  <c r="M873" i="10" s="1"/>
  <c r="Q871" i="10"/>
  <c r="N872" i="10" l="1"/>
  <c r="J873" i="10" s="1"/>
  <c r="L873" i="10" l="1"/>
  <c r="P873" i="10" s="1"/>
  <c r="M874" i="10" s="1"/>
  <c r="O873" i="10"/>
  <c r="K874" i="10" s="1"/>
  <c r="Q872" i="10"/>
  <c r="N873" i="10" l="1"/>
  <c r="J874" i="10" s="1"/>
  <c r="L874" i="10" l="1"/>
  <c r="P874" i="10" s="1"/>
  <c r="M875" i="10" s="1"/>
  <c r="O874" i="10"/>
  <c r="K875" i="10" s="1"/>
  <c r="Q873" i="10"/>
  <c r="N874" i="10" l="1"/>
  <c r="J875" i="10" s="1"/>
  <c r="L875" i="10" l="1"/>
  <c r="P875" i="10" s="1"/>
  <c r="M876" i="10" s="1"/>
  <c r="O875" i="10"/>
  <c r="K876" i="10" s="1"/>
  <c r="Q874" i="10"/>
  <c r="N875" i="10" l="1"/>
  <c r="J876" i="10" s="1"/>
  <c r="L876" i="10" l="1"/>
  <c r="P876" i="10" s="1"/>
  <c r="M877" i="10" s="1"/>
  <c r="O876" i="10"/>
  <c r="K877" i="10" s="1"/>
  <c r="Q875" i="10"/>
  <c r="N876" i="10" l="1"/>
  <c r="J877" i="10" s="1"/>
  <c r="L877" i="10" l="1"/>
  <c r="P877" i="10" s="1"/>
  <c r="M878" i="10" s="1"/>
  <c r="O877" i="10"/>
  <c r="K878" i="10" s="1"/>
  <c r="Q876" i="10"/>
  <c r="N877" i="10" l="1"/>
  <c r="J878" i="10" s="1"/>
  <c r="L878" i="10" l="1"/>
  <c r="P878" i="10" s="1"/>
  <c r="M879" i="10" s="1"/>
  <c r="O878" i="10"/>
  <c r="K879" i="10" s="1"/>
  <c r="Q877" i="10"/>
  <c r="N878" i="10" l="1"/>
  <c r="J879" i="10" s="1"/>
  <c r="L879" i="10" l="1"/>
  <c r="P879" i="10" s="1"/>
  <c r="M880" i="10" s="1"/>
  <c r="O879" i="10"/>
  <c r="K880" i="10" s="1"/>
  <c r="Q878" i="10"/>
  <c r="N879" i="10" l="1"/>
  <c r="J880" i="10" s="1"/>
  <c r="L880" i="10" l="1"/>
  <c r="P880" i="10" s="1"/>
  <c r="M881" i="10" s="1"/>
  <c r="O880" i="10"/>
  <c r="K881" i="10" s="1"/>
  <c r="Q879" i="10"/>
  <c r="N880" i="10" l="1"/>
  <c r="J881" i="10" s="1"/>
  <c r="L881" i="10" l="1"/>
  <c r="P881" i="10" s="1"/>
  <c r="M882" i="10" s="1"/>
  <c r="O881" i="10"/>
  <c r="K882" i="10" s="1"/>
  <c r="Q880" i="10"/>
  <c r="N881" i="10" l="1"/>
  <c r="J882" i="10" s="1"/>
  <c r="L882" i="10" l="1"/>
  <c r="O882" i="10"/>
  <c r="K883" i="10" s="1"/>
  <c r="P882" i="10"/>
  <c r="M883" i="10" s="1"/>
  <c r="Q881" i="10"/>
  <c r="N882" i="10" l="1"/>
  <c r="J883" i="10" s="1"/>
  <c r="L883" i="10" l="1"/>
  <c r="P883" i="10" s="1"/>
  <c r="M884" i="10" s="1"/>
  <c r="O883" i="10"/>
  <c r="K884" i="10" s="1"/>
  <c r="Q882" i="10"/>
  <c r="N883" i="10" l="1"/>
  <c r="J884" i="10" s="1"/>
  <c r="L884" i="10" l="1"/>
  <c r="P884" i="10" s="1"/>
  <c r="M885" i="10" s="1"/>
  <c r="O884" i="10"/>
  <c r="K885" i="10" s="1"/>
  <c r="Q883" i="10"/>
  <c r="N884" i="10" l="1"/>
  <c r="J885" i="10" s="1"/>
  <c r="L885" i="10" l="1"/>
  <c r="O885" i="10"/>
  <c r="K886" i="10" s="1"/>
  <c r="P885" i="10"/>
  <c r="M886" i="10" s="1"/>
  <c r="Q884" i="10"/>
  <c r="N885" i="10" l="1"/>
  <c r="J886" i="10" s="1"/>
  <c r="L886" i="10" l="1"/>
  <c r="P886" i="10" s="1"/>
  <c r="M887" i="10" s="1"/>
  <c r="O886" i="10"/>
  <c r="K887" i="10" s="1"/>
  <c r="Q885" i="10"/>
  <c r="N886" i="10" l="1"/>
  <c r="J887" i="10" s="1"/>
  <c r="L887" i="10" l="1"/>
  <c r="P887" i="10" s="1"/>
  <c r="M888" i="10" s="1"/>
  <c r="O887" i="10"/>
  <c r="K888" i="10" s="1"/>
  <c r="Q886" i="10"/>
  <c r="N887" i="10" l="1"/>
  <c r="J888" i="10" s="1"/>
  <c r="L888" i="10" l="1"/>
  <c r="P888" i="10" s="1"/>
  <c r="M889" i="10" s="1"/>
  <c r="O888" i="10"/>
  <c r="K889" i="10" s="1"/>
  <c r="Q887" i="10"/>
  <c r="N888" i="10" l="1"/>
  <c r="J889" i="10" s="1"/>
  <c r="L889" i="10" l="1"/>
  <c r="O889" i="10"/>
  <c r="K890" i="10" s="1"/>
  <c r="P889" i="10"/>
  <c r="M890" i="10" s="1"/>
  <c r="Q888" i="10"/>
  <c r="N889" i="10" l="1"/>
  <c r="J890" i="10" s="1"/>
  <c r="L890" i="10" l="1"/>
  <c r="P890" i="10" s="1"/>
  <c r="M891" i="10" s="1"/>
  <c r="O890" i="10"/>
  <c r="K891" i="10" s="1"/>
  <c r="Q889" i="10"/>
  <c r="N890" i="10" l="1"/>
  <c r="J891" i="10" s="1"/>
  <c r="L891" i="10" l="1"/>
  <c r="P891" i="10" s="1"/>
  <c r="M892" i="10" s="1"/>
  <c r="O891" i="10"/>
  <c r="K892" i="10" s="1"/>
  <c r="Q890" i="10"/>
  <c r="N891" i="10" l="1"/>
  <c r="J892" i="10" s="1"/>
  <c r="L892" i="10" l="1"/>
  <c r="P892" i="10" s="1"/>
  <c r="M893" i="10" s="1"/>
  <c r="O892" i="10"/>
  <c r="K893" i="10" s="1"/>
  <c r="Q891" i="10"/>
  <c r="N892" i="10" l="1"/>
  <c r="J893" i="10" s="1"/>
  <c r="L893" i="10" l="1"/>
  <c r="O893" i="10"/>
  <c r="K894" i="10" s="1"/>
  <c r="P893" i="10"/>
  <c r="M894" i="10" s="1"/>
  <c r="Q892" i="10"/>
  <c r="N893" i="10" l="1"/>
  <c r="J894" i="10" s="1"/>
  <c r="L894" i="10" l="1"/>
  <c r="P894" i="10" s="1"/>
  <c r="M895" i="10" s="1"/>
  <c r="O894" i="10"/>
  <c r="K895" i="10" s="1"/>
  <c r="Q893" i="10"/>
  <c r="N894" i="10" l="1"/>
  <c r="J895" i="10" s="1"/>
  <c r="L895" i="10" l="1"/>
  <c r="P895" i="10" s="1"/>
  <c r="M896" i="10" s="1"/>
  <c r="O895" i="10"/>
  <c r="K896" i="10" s="1"/>
  <c r="Q894" i="10"/>
  <c r="N895" i="10" l="1"/>
  <c r="J896" i="10" s="1"/>
  <c r="L896" i="10" l="1"/>
  <c r="P896" i="10" s="1"/>
  <c r="M897" i="10" s="1"/>
  <c r="O896" i="10"/>
  <c r="K897" i="10" s="1"/>
  <c r="Q895" i="10"/>
  <c r="N896" i="10" l="1"/>
  <c r="J897" i="10" s="1"/>
  <c r="L897" i="10" l="1"/>
  <c r="P897" i="10" s="1"/>
  <c r="M898" i="10" s="1"/>
  <c r="O897" i="10"/>
  <c r="K898" i="10" s="1"/>
  <c r="Q896" i="10"/>
  <c r="N897" i="10" l="1"/>
  <c r="J898" i="10" s="1"/>
  <c r="L898" i="10" l="1"/>
  <c r="P898" i="10" s="1"/>
  <c r="M899" i="10" s="1"/>
  <c r="O898" i="10"/>
  <c r="K899" i="10" s="1"/>
  <c r="Q897" i="10"/>
  <c r="N898" i="10" l="1"/>
  <c r="J899" i="10" s="1"/>
  <c r="L899" i="10" l="1"/>
  <c r="O899" i="10"/>
  <c r="K900" i="10" s="1"/>
  <c r="P899" i="10"/>
  <c r="M900" i="10" s="1"/>
  <c r="Q898" i="10"/>
  <c r="N899" i="10" l="1"/>
  <c r="J900" i="10" s="1"/>
  <c r="L900" i="10" l="1"/>
  <c r="O900" i="10"/>
  <c r="K901" i="10" s="1"/>
  <c r="Q899" i="10"/>
  <c r="P900" i="10"/>
  <c r="M901" i="10" s="1"/>
  <c r="N900" i="10" l="1"/>
  <c r="J901" i="10" s="1"/>
  <c r="L901" i="10" l="1"/>
  <c r="O901" i="10"/>
  <c r="K902" i="10" s="1"/>
  <c r="P901" i="10"/>
  <c r="M902" i="10" s="1"/>
  <c r="Q900" i="10"/>
  <c r="N901" i="10" l="1"/>
  <c r="J902" i="10" s="1"/>
  <c r="L902" i="10" l="1"/>
  <c r="O902" i="10"/>
  <c r="K903" i="10" s="1"/>
  <c r="P902" i="10"/>
  <c r="M903" i="10" s="1"/>
  <c r="Q901" i="10"/>
  <c r="N902" i="10" l="1"/>
  <c r="J903" i="10" s="1"/>
  <c r="L903" i="10" l="1"/>
  <c r="O903" i="10"/>
  <c r="K904" i="10" s="1"/>
  <c r="P903" i="10"/>
  <c r="M904" i="10" s="1"/>
  <c r="Q902" i="10"/>
  <c r="N903" i="10" l="1"/>
  <c r="J904" i="10" s="1"/>
  <c r="L904" i="10" l="1"/>
  <c r="O904" i="10"/>
  <c r="K905" i="10" s="1"/>
  <c r="Q903" i="10"/>
  <c r="P904" i="10"/>
  <c r="M905" i="10" s="1"/>
  <c r="N904" i="10" l="1"/>
  <c r="J905" i="10" s="1"/>
  <c r="L905" i="10" l="1"/>
  <c r="O905" i="10"/>
  <c r="K906" i="10" s="1"/>
  <c r="Q904" i="10"/>
  <c r="P905" i="10"/>
  <c r="M906" i="10" s="1"/>
  <c r="N905" i="10" l="1"/>
  <c r="J906" i="10" s="1"/>
  <c r="L906" i="10" l="1"/>
  <c r="P906" i="10" s="1"/>
  <c r="M907" i="10" s="1"/>
  <c r="O906" i="10"/>
  <c r="K907" i="10" s="1"/>
  <c r="Q905" i="10"/>
  <c r="N906" i="10" l="1"/>
  <c r="J907" i="10" s="1"/>
  <c r="L907" i="10" l="1"/>
  <c r="O907" i="10"/>
  <c r="K908" i="10" s="1"/>
  <c r="Q906" i="10"/>
  <c r="P907" i="10"/>
  <c r="M908" i="10" s="1"/>
  <c r="N907" i="10" l="1"/>
  <c r="J908" i="10" s="1"/>
  <c r="L908" i="10" l="1"/>
  <c r="Q907" i="10"/>
  <c r="O908" i="10"/>
  <c r="K909" i="10" s="1"/>
  <c r="P908" i="10"/>
  <c r="M909" i="10" s="1"/>
  <c r="N908" i="10" l="1"/>
  <c r="J909" i="10" s="1"/>
  <c r="L909" i="10" l="1"/>
  <c r="O909" i="10"/>
  <c r="K910" i="10" s="1"/>
  <c r="P909" i="10"/>
  <c r="M910" i="10" s="1"/>
  <c r="Q908" i="10"/>
  <c r="N909" i="10" l="1"/>
  <c r="J910" i="10" s="1"/>
  <c r="L910" i="10" l="1"/>
  <c r="P910" i="10" s="1"/>
  <c r="M911" i="10" s="1"/>
  <c r="O910" i="10"/>
  <c r="K911" i="10" s="1"/>
  <c r="Q909" i="10"/>
  <c r="N910" i="10" l="1"/>
  <c r="J911" i="10" s="1"/>
  <c r="L911" i="10" l="1"/>
  <c r="P911" i="10" s="1"/>
  <c r="M912" i="10" s="1"/>
  <c r="O911" i="10"/>
  <c r="K912" i="10" s="1"/>
  <c r="Q910" i="10"/>
  <c r="N911" i="10" l="1"/>
  <c r="J912" i="10" s="1"/>
  <c r="L912" i="10" l="1"/>
  <c r="P912" i="10" s="1"/>
  <c r="M913" i="10" s="1"/>
  <c r="O912" i="10"/>
  <c r="K913" i="10" s="1"/>
  <c r="Q911" i="10"/>
  <c r="N912" i="10" l="1"/>
  <c r="J913" i="10" s="1"/>
  <c r="L913" i="10" l="1"/>
  <c r="Q912" i="10"/>
  <c r="O913" i="10"/>
  <c r="K914" i="10" s="1"/>
  <c r="P913" i="10"/>
  <c r="M914" i="10" s="1"/>
  <c r="N913" i="10" l="1"/>
  <c r="J914" i="10" s="1"/>
  <c r="L914" i="10" l="1"/>
  <c r="O914" i="10"/>
  <c r="K915" i="10" s="1"/>
  <c r="P914" i="10"/>
  <c r="M915" i="10" s="1"/>
  <c r="Q913" i="10"/>
  <c r="N914" i="10" l="1"/>
  <c r="J915" i="10" s="1"/>
  <c r="L915" i="10" l="1"/>
  <c r="P915" i="10" s="1"/>
  <c r="M916" i="10" s="1"/>
  <c r="O915" i="10"/>
  <c r="K916" i="10" s="1"/>
  <c r="Q914" i="10"/>
  <c r="N915" i="10" l="1"/>
  <c r="J916" i="10" s="1"/>
  <c r="L916" i="10" l="1"/>
  <c r="O916" i="10"/>
  <c r="K917" i="10" s="1"/>
  <c r="Q915" i="10"/>
  <c r="P916" i="10"/>
  <c r="M917" i="10" s="1"/>
  <c r="N916" i="10" l="1"/>
  <c r="J917" i="10" s="1"/>
  <c r="L917" i="10" l="1"/>
  <c r="O917" i="10"/>
  <c r="K918" i="10" s="1"/>
  <c r="Q916" i="10"/>
  <c r="P917" i="10"/>
  <c r="M918" i="10" s="1"/>
  <c r="N917" i="10" l="1"/>
  <c r="J918" i="10" s="1"/>
  <c r="L918" i="10" l="1"/>
  <c r="O918" i="10"/>
  <c r="K919" i="10" s="1"/>
  <c r="Q917" i="10"/>
  <c r="P918" i="10"/>
  <c r="M919" i="10" s="1"/>
  <c r="N918" i="10" l="1"/>
  <c r="J919" i="10" s="1"/>
  <c r="L919" i="10" l="1"/>
  <c r="P919" i="10" s="1"/>
  <c r="M920" i="10" s="1"/>
  <c r="O919" i="10"/>
  <c r="K920" i="10" s="1"/>
  <c r="Q918" i="10"/>
  <c r="N919" i="10" l="1"/>
  <c r="J920" i="10" s="1"/>
  <c r="L920" i="10" l="1"/>
  <c r="O920" i="10"/>
  <c r="K921" i="10" s="1"/>
  <c r="P920" i="10"/>
  <c r="M921" i="10" s="1"/>
  <c r="Q919" i="10"/>
  <c r="N920" i="10" l="1"/>
  <c r="J921" i="10" s="1"/>
  <c r="L921" i="10" l="1"/>
  <c r="P921" i="10" s="1"/>
  <c r="M922" i="10" s="1"/>
  <c r="O921" i="10"/>
  <c r="K922" i="10" s="1"/>
  <c r="Q920" i="10"/>
  <c r="N921" i="10" l="1"/>
  <c r="J922" i="10" s="1"/>
  <c r="L922" i="10" l="1"/>
  <c r="P922" i="10" s="1"/>
  <c r="M923" i="10" s="1"/>
  <c r="O922" i="10"/>
  <c r="K923" i="10" s="1"/>
  <c r="Q921" i="10"/>
  <c r="N922" i="10" l="1"/>
  <c r="J923" i="10" s="1"/>
  <c r="L923" i="10" l="1"/>
  <c r="O923" i="10"/>
  <c r="K924" i="10" s="1"/>
  <c r="P923" i="10"/>
  <c r="M924" i="10" s="1"/>
  <c r="Q922" i="10"/>
  <c r="N923" i="10" l="1"/>
  <c r="J924" i="10" s="1"/>
  <c r="L924" i="10" l="1"/>
  <c r="O924" i="10"/>
  <c r="K925" i="10" s="1"/>
  <c r="P924" i="10"/>
  <c r="M925" i="10" s="1"/>
  <c r="Q923" i="10"/>
  <c r="N924" i="10" l="1"/>
  <c r="J925" i="10" s="1"/>
  <c r="L925" i="10" l="1"/>
  <c r="O925" i="10"/>
  <c r="K926" i="10" s="1"/>
  <c r="Q924" i="10"/>
  <c r="P925" i="10"/>
  <c r="M926" i="10" s="1"/>
  <c r="N925" i="10" l="1"/>
  <c r="J926" i="10" s="1"/>
  <c r="L926" i="10" l="1"/>
  <c r="P926" i="10" s="1"/>
  <c r="M927" i="10" s="1"/>
  <c r="O926" i="10"/>
  <c r="K927" i="10" s="1"/>
  <c r="Q925" i="10"/>
  <c r="N926" i="10" l="1"/>
  <c r="J927" i="10" s="1"/>
  <c r="L927" i="10" l="1"/>
  <c r="O927" i="10"/>
  <c r="K928" i="10" s="1"/>
  <c r="Q926" i="10"/>
  <c r="P927" i="10"/>
  <c r="M928" i="10" s="1"/>
  <c r="N927" i="10" l="1"/>
  <c r="J928" i="10" s="1"/>
  <c r="L928" i="10" l="1"/>
  <c r="O928" i="10"/>
  <c r="K929" i="10" s="1"/>
  <c r="Q927" i="10"/>
  <c r="P928" i="10"/>
  <c r="M929" i="10" s="1"/>
  <c r="N928" i="10" l="1"/>
  <c r="J929" i="10" s="1"/>
  <c r="L929" i="10" l="1"/>
  <c r="P929" i="10" s="1"/>
  <c r="M930" i="10" s="1"/>
  <c r="O929" i="10"/>
  <c r="K930" i="10" s="1"/>
  <c r="Q928" i="10"/>
  <c r="N929" i="10" l="1"/>
  <c r="J930" i="10" s="1"/>
  <c r="L930" i="10" l="1"/>
  <c r="Q929" i="10"/>
  <c r="O930" i="10"/>
  <c r="K931" i="10" s="1"/>
  <c r="P930" i="10"/>
  <c r="M931" i="10" s="1"/>
  <c r="N930" i="10" l="1"/>
  <c r="J931" i="10" s="1"/>
  <c r="L931" i="10" l="1"/>
  <c r="O931" i="10"/>
  <c r="K932" i="10" s="1"/>
  <c r="P931" i="10"/>
  <c r="M932" i="10" s="1"/>
  <c r="Q930" i="10"/>
  <c r="N931" i="10" l="1"/>
  <c r="J932" i="10" s="1"/>
  <c r="L932" i="10" l="1"/>
  <c r="O932" i="10"/>
  <c r="K933" i="10" s="1"/>
  <c r="P932" i="10"/>
  <c r="M933" i="10" s="1"/>
  <c r="Q931" i="10"/>
  <c r="N932" i="10" l="1"/>
  <c r="J933" i="10" s="1"/>
  <c r="L933" i="10" l="1"/>
  <c r="P933" i="10"/>
  <c r="M934" i="10" s="1"/>
  <c r="Q932" i="10"/>
  <c r="O933" i="10"/>
  <c r="K934" i="10" s="1"/>
  <c r="N933" i="10" l="1"/>
  <c r="J934" i="10" s="1"/>
  <c r="L934" i="10" l="1"/>
  <c r="O934" i="10"/>
  <c r="K935" i="10" s="1"/>
  <c r="Q933" i="10"/>
  <c r="P934" i="10"/>
  <c r="M935" i="10" s="1"/>
  <c r="N934" i="10" l="1"/>
  <c r="J935" i="10" s="1"/>
  <c r="L935" i="10" l="1"/>
  <c r="O935" i="10"/>
  <c r="K936" i="10" s="1"/>
  <c r="P935" i="10"/>
  <c r="M936" i="10" s="1"/>
  <c r="Q934" i="10"/>
  <c r="N935" i="10" l="1"/>
  <c r="J936" i="10" s="1"/>
  <c r="L936" i="10" l="1"/>
  <c r="P936" i="10" s="1"/>
  <c r="M937" i="10" s="1"/>
  <c r="O936" i="10"/>
  <c r="K937" i="10" s="1"/>
  <c r="Q935" i="10"/>
  <c r="N936" i="10" l="1"/>
  <c r="J937" i="10" s="1"/>
  <c r="L937" i="10" l="1"/>
  <c r="P937" i="10" s="1"/>
  <c r="M938" i="10" s="1"/>
  <c r="O937" i="10"/>
  <c r="K938" i="10" s="1"/>
  <c r="Q936" i="10"/>
  <c r="N937" i="10" l="1"/>
  <c r="J938" i="10" s="1"/>
  <c r="L938" i="10" l="1"/>
  <c r="O938" i="10"/>
  <c r="K939" i="10" s="1"/>
  <c r="Q937" i="10"/>
  <c r="P938" i="10"/>
  <c r="M939" i="10" s="1"/>
  <c r="N938" i="10" l="1"/>
  <c r="J939" i="10" s="1"/>
  <c r="L939" i="10" l="1"/>
  <c r="P939" i="10" s="1"/>
  <c r="M940" i="10" s="1"/>
  <c r="O939" i="10"/>
  <c r="K940" i="10" s="1"/>
  <c r="Q938" i="10"/>
  <c r="N939" i="10" l="1"/>
  <c r="J940" i="10" s="1"/>
  <c r="L940" i="10" l="1"/>
  <c r="Q939" i="10"/>
  <c r="O940" i="10"/>
  <c r="K941" i="10" s="1"/>
  <c r="P940" i="10"/>
  <c r="M941" i="10" s="1"/>
  <c r="N940" i="10" l="1"/>
  <c r="J941" i="10" s="1"/>
  <c r="L941" i="10" l="1"/>
  <c r="P941" i="10" s="1"/>
  <c r="M942" i="10" s="1"/>
  <c r="O941" i="10"/>
  <c r="K942" i="10" s="1"/>
  <c r="Q940" i="10"/>
  <c r="N941" i="10" l="1"/>
  <c r="J942" i="10" s="1"/>
  <c r="L942" i="10" l="1"/>
  <c r="P942" i="10" s="1"/>
  <c r="M943" i="10" s="1"/>
  <c r="O942" i="10"/>
  <c r="K943" i="10" s="1"/>
  <c r="Q941" i="10"/>
  <c r="N942" i="10" l="1"/>
  <c r="J943" i="10" s="1"/>
  <c r="L943" i="10" l="1"/>
  <c r="O943" i="10"/>
  <c r="K944" i="10" s="1"/>
  <c r="Q942" i="10"/>
  <c r="P943" i="10"/>
  <c r="M944" i="10" s="1"/>
  <c r="N943" i="10" l="1"/>
  <c r="J944" i="10" s="1"/>
  <c r="L944" i="10" l="1"/>
  <c r="P944" i="10" s="1"/>
  <c r="M945" i="10" s="1"/>
  <c r="O944" i="10"/>
  <c r="K945" i="10" s="1"/>
  <c r="Q943" i="10"/>
  <c r="N944" i="10" l="1"/>
  <c r="J945" i="10" s="1"/>
  <c r="L945" i="10" l="1"/>
  <c r="O945" i="10"/>
  <c r="K946" i="10" s="1"/>
  <c r="P945" i="10"/>
  <c r="M946" i="10" s="1"/>
  <c r="Q944" i="10"/>
  <c r="N945" i="10" l="1"/>
  <c r="J946" i="10" s="1"/>
  <c r="L946" i="10" l="1"/>
  <c r="O946" i="10"/>
  <c r="K947" i="10" s="1"/>
  <c r="P946" i="10"/>
  <c r="M947" i="10" s="1"/>
  <c r="Q945" i="10"/>
  <c r="N946" i="10" l="1"/>
  <c r="J947" i="10" s="1"/>
  <c r="L947" i="10" l="1"/>
  <c r="O947" i="10"/>
  <c r="K948" i="10" s="1"/>
  <c r="P947" i="10"/>
  <c r="M948" i="10" s="1"/>
  <c r="Q946" i="10"/>
  <c r="N947" i="10" l="1"/>
  <c r="J948" i="10" s="1"/>
  <c r="L948" i="10" l="1"/>
  <c r="O948" i="10"/>
  <c r="K949" i="10" s="1"/>
  <c r="P948" i="10"/>
  <c r="M949" i="10" s="1"/>
  <c r="Q947" i="10"/>
  <c r="N948" i="10" l="1"/>
  <c r="J949" i="10" s="1"/>
  <c r="L949" i="10" l="1"/>
  <c r="P949" i="10"/>
  <c r="M950" i="10" s="1"/>
  <c r="O949" i="10"/>
  <c r="K950" i="10" s="1"/>
  <c r="Q948" i="10"/>
  <c r="N949" i="10" l="1"/>
  <c r="J950" i="10" s="1"/>
  <c r="L950" i="10" l="1"/>
  <c r="O950" i="10"/>
  <c r="K951" i="10" s="1"/>
  <c r="Q949" i="10"/>
  <c r="P950" i="10"/>
  <c r="M951" i="10" s="1"/>
  <c r="N950" i="10" l="1"/>
  <c r="J951" i="10" s="1"/>
  <c r="L951" i="10" l="1"/>
  <c r="P951" i="10"/>
  <c r="M952" i="10" s="1"/>
  <c r="O951" i="10"/>
  <c r="K952" i="10" s="1"/>
  <c r="Q950" i="10"/>
  <c r="N951" i="10" l="1"/>
  <c r="J952" i="10" s="1"/>
  <c r="L952" i="10" l="1"/>
  <c r="Q951" i="10"/>
  <c r="O952" i="10"/>
  <c r="K953" i="10" s="1"/>
  <c r="P952" i="10"/>
  <c r="M953" i="10" s="1"/>
  <c r="N952" i="10" l="1"/>
  <c r="J953" i="10" s="1"/>
  <c r="L953" i="10" l="1"/>
  <c r="P953" i="10" s="1"/>
  <c r="M954" i="10" s="1"/>
  <c r="Q952" i="10"/>
  <c r="O953" i="10"/>
  <c r="K954" i="10" s="1"/>
  <c r="N953" i="10" l="1"/>
  <c r="J954" i="10" s="1"/>
  <c r="L954" i="10" l="1"/>
  <c r="P954" i="10" s="1"/>
  <c r="M955" i="10" s="1"/>
  <c r="Q953" i="10"/>
  <c r="O954" i="10"/>
  <c r="K955" i="10" s="1"/>
  <c r="N954" i="10" l="1"/>
  <c r="J955" i="10" s="1"/>
  <c r="L955" i="10" l="1"/>
  <c r="O955" i="10"/>
  <c r="K956" i="10" s="1"/>
  <c r="Q954" i="10"/>
  <c r="P955" i="10"/>
  <c r="M956" i="10" s="1"/>
  <c r="N955" i="10" l="1"/>
  <c r="J956" i="10" s="1"/>
  <c r="L956" i="10" l="1"/>
  <c r="O956" i="10"/>
  <c r="K957" i="10" s="1"/>
  <c r="Q955" i="10"/>
  <c r="P956" i="10"/>
  <c r="M957" i="10" s="1"/>
  <c r="N956" i="10" l="1"/>
  <c r="J957" i="10" s="1"/>
  <c r="L957" i="10" l="1"/>
  <c r="O957" i="10"/>
  <c r="K958" i="10" s="1"/>
  <c r="Q956" i="10"/>
  <c r="P957" i="10"/>
  <c r="M958" i="10" s="1"/>
  <c r="N957" i="10" l="1"/>
  <c r="J958" i="10" s="1"/>
  <c r="L958" i="10" l="1"/>
  <c r="O958" i="10"/>
  <c r="K959" i="10" s="1"/>
  <c r="P958" i="10"/>
  <c r="M959" i="10" s="1"/>
  <c r="Q957" i="10"/>
  <c r="N958" i="10" l="1"/>
  <c r="J959" i="10" s="1"/>
  <c r="L959" i="10" l="1"/>
  <c r="P959" i="10" s="1"/>
  <c r="M960" i="10" s="1"/>
  <c r="O959" i="10"/>
  <c r="K960" i="10" s="1"/>
  <c r="Q958" i="10"/>
  <c r="N959" i="10" l="1"/>
  <c r="J960" i="10" s="1"/>
  <c r="L960" i="10" l="1"/>
  <c r="O960" i="10"/>
  <c r="K961" i="10" s="1"/>
  <c r="Q959" i="10"/>
  <c r="P960" i="10"/>
  <c r="M961" i="10" s="1"/>
  <c r="N960" i="10" l="1"/>
  <c r="J961" i="10" s="1"/>
  <c r="L961" i="10" l="1"/>
  <c r="O961" i="10"/>
  <c r="K962" i="10" s="1"/>
  <c r="P961" i="10"/>
  <c r="M962" i="10" s="1"/>
  <c r="Q960" i="10"/>
  <c r="N961" i="10" l="1"/>
  <c r="J962" i="10" s="1"/>
  <c r="L962" i="10" l="1"/>
  <c r="O962" i="10"/>
  <c r="K963" i="10" s="1"/>
  <c r="P962" i="10"/>
  <c r="M963" i="10" s="1"/>
  <c r="Q961" i="10"/>
  <c r="N962" i="10" l="1"/>
  <c r="J963" i="10" s="1"/>
  <c r="L963" i="10" l="1"/>
  <c r="O963" i="10"/>
  <c r="K964" i="10" s="1"/>
  <c r="Q962" i="10"/>
  <c r="P963" i="10"/>
  <c r="M964" i="10" s="1"/>
  <c r="N963" i="10" l="1"/>
  <c r="J964" i="10" s="1"/>
  <c r="L964" i="10" l="1"/>
  <c r="Q963" i="10"/>
  <c r="O964" i="10"/>
  <c r="K965" i="10" s="1"/>
  <c r="P964" i="10"/>
  <c r="M965" i="10" s="1"/>
  <c r="N964" i="10" l="1"/>
  <c r="J965" i="10" s="1"/>
  <c r="L965" i="10" l="1"/>
  <c r="P965" i="10" s="1"/>
  <c r="M966" i="10" s="1"/>
  <c r="O965" i="10"/>
  <c r="K966" i="10" s="1"/>
  <c r="Q964" i="10"/>
  <c r="N965" i="10" l="1"/>
  <c r="J966" i="10" s="1"/>
  <c r="L966" i="10" l="1"/>
  <c r="O966" i="10"/>
  <c r="K967" i="10" s="1"/>
  <c r="P966" i="10"/>
  <c r="M967" i="10" s="1"/>
  <c r="Q965" i="10"/>
  <c r="N966" i="10" l="1"/>
  <c r="J967" i="10" s="1"/>
  <c r="L967" i="10" l="1"/>
  <c r="O967" i="10"/>
  <c r="K968" i="10" s="1"/>
  <c r="P967" i="10"/>
  <c r="M968" i="10" s="1"/>
  <c r="Q966" i="10"/>
  <c r="N967" i="10" l="1"/>
  <c r="J968" i="10" s="1"/>
  <c r="L968" i="10" l="1"/>
  <c r="O968" i="10"/>
  <c r="K969" i="10" s="1"/>
  <c r="Q967" i="10"/>
  <c r="P968" i="10"/>
  <c r="M969" i="10" s="1"/>
  <c r="N968" i="10" l="1"/>
  <c r="J969" i="10" s="1"/>
  <c r="L969" i="10" l="1"/>
  <c r="O969" i="10"/>
  <c r="K970" i="10" s="1"/>
  <c r="Q968" i="10"/>
  <c r="P969" i="10"/>
  <c r="M970" i="10" s="1"/>
  <c r="N969" i="10" l="1"/>
  <c r="J970" i="10" s="1"/>
  <c r="L970" i="10" l="1"/>
  <c r="O970" i="10"/>
  <c r="K971" i="10" s="1"/>
  <c r="P970" i="10"/>
  <c r="M971" i="10" s="1"/>
  <c r="Q969" i="10"/>
  <c r="N970" i="10" l="1"/>
  <c r="J971" i="10" s="1"/>
  <c r="L971" i="10" l="1"/>
  <c r="O971" i="10"/>
  <c r="K972" i="10" s="1"/>
  <c r="P971" i="10"/>
  <c r="M972" i="10" s="1"/>
  <c r="Q970" i="10"/>
  <c r="N971" i="10" l="1"/>
  <c r="J972" i="10" s="1"/>
  <c r="L972" i="10" l="1"/>
  <c r="O972" i="10"/>
  <c r="K973" i="10" s="1"/>
  <c r="P972" i="10"/>
  <c r="M973" i="10" s="1"/>
  <c r="Q971" i="10"/>
  <c r="N972" i="10" l="1"/>
  <c r="J973" i="10" s="1"/>
  <c r="L973" i="10" l="1"/>
  <c r="O973" i="10"/>
  <c r="K974" i="10" s="1"/>
  <c r="P973" i="10"/>
  <c r="M974" i="10" s="1"/>
  <c r="Q972" i="10"/>
  <c r="N973" i="10" l="1"/>
  <c r="J974" i="10" s="1"/>
  <c r="L974" i="10" l="1"/>
  <c r="O974" i="10"/>
  <c r="K975" i="10" s="1"/>
  <c r="P974" i="10"/>
  <c r="M975" i="10" s="1"/>
  <c r="Q973" i="10"/>
  <c r="N974" i="10" l="1"/>
  <c r="J975" i="10" s="1"/>
  <c r="L975" i="10" l="1"/>
  <c r="O975" i="10"/>
  <c r="K976" i="10" s="1"/>
  <c r="P975" i="10"/>
  <c r="M976" i="10" s="1"/>
  <c r="Q974" i="10"/>
  <c r="N975" i="10" l="1"/>
  <c r="J976" i="10" s="1"/>
  <c r="L976" i="10" l="1"/>
  <c r="O976" i="10"/>
  <c r="K977" i="10" s="1"/>
  <c r="Q975" i="10"/>
  <c r="P976" i="10"/>
  <c r="M977" i="10" s="1"/>
  <c r="N976" i="10" l="1"/>
  <c r="J977" i="10" s="1"/>
  <c r="L977" i="10" l="1"/>
  <c r="O977" i="10"/>
  <c r="K978" i="10" s="1"/>
  <c r="P977" i="10"/>
  <c r="M978" i="10" s="1"/>
  <c r="Q976" i="10"/>
  <c r="N977" i="10" l="1"/>
  <c r="J978" i="10" s="1"/>
  <c r="L978" i="10" l="1"/>
  <c r="O978" i="10"/>
  <c r="K979" i="10" s="1"/>
  <c r="P978" i="10"/>
  <c r="M979" i="10" s="1"/>
  <c r="Q977" i="10"/>
  <c r="N978" i="10" l="1"/>
  <c r="J979" i="10" s="1"/>
  <c r="L979" i="10" l="1"/>
  <c r="P979" i="10"/>
  <c r="M980" i="10" s="1"/>
  <c r="O979" i="10"/>
  <c r="K980" i="10" s="1"/>
  <c r="Q978" i="10"/>
  <c r="N979" i="10" l="1"/>
  <c r="J980" i="10" s="1"/>
  <c r="L980" i="10" l="1"/>
  <c r="O980" i="10"/>
  <c r="K981" i="10" s="1"/>
  <c r="Q979" i="10"/>
  <c r="P980" i="10"/>
  <c r="M981" i="10" s="1"/>
  <c r="N980" i="10" l="1"/>
  <c r="J981" i="10" s="1"/>
  <c r="L981" i="10" l="1"/>
  <c r="P981" i="10" s="1"/>
  <c r="M982" i="10" s="1"/>
  <c r="O981" i="10"/>
  <c r="K982" i="10" s="1"/>
  <c r="Q980" i="10"/>
  <c r="N981" i="10" l="1"/>
  <c r="J982" i="10" s="1"/>
  <c r="L982" i="10" l="1"/>
  <c r="P982" i="10" s="1"/>
  <c r="M983" i="10" s="1"/>
  <c r="O982" i="10"/>
  <c r="K983" i="10" s="1"/>
  <c r="Q981" i="10"/>
  <c r="N982" i="10" l="1"/>
  <c r="J983" i="10" s="1"/>
  <c r="L983" i="10" l="1"/>
  <c r="P983" i="10" s="1"/>
  <c r="M984" i="10" s="1"/>
  <c r="O983" i="10"/>
  <c r="K984" i="10" s="1"/>
  <c r="Q982" i="10"/>
  <c r="N983" i="10" l="1"/>
  <c r="J984" i="10" s="1"/>
  <c r="L984" i="10" l="1"/>
  <c r="O984" i="10"/>
  <c r="K985" i="10" s="1"/>
  <c r="Q983" i="10"/>
  <c r="P984" i="10"/>
  <c r="M985" i="10" s="1"/>
  <c r="N984" i="10" l="1"/>
  <c r="J985" i="10" s="1"/>
  <c r="L985" i="10" l="1"/>
  <c r="O985" i="10"/>
  <c r="K986" i="10" s="1"/>
  <c r="P985" i="10"/>
  <c r="M986" i="10" s="1"/>
  <c r="Q984" i="10"/>
  <c r="N985" i="10" l="1"/>
  <c r="J986" i="10" s="1"/>
  <c r="L986" i="10" l="1"/>
  <c r="O986" i="10"/>
  <c r="K987" i="10" s="1"/>
  <c r="Q985" i="10"/>
  <c r="P986" i="10"/>
  <c r="M987" i="10" s="1"/>
  <c r="N986" i="10" l="1"/>
  <c r="J987" i="10" s="1"/>
  <c r="L987" i="10" l="1"/>
  <c r="O987" i="10"/>
  <c r="K988" i="10" s="1"/>
  <c r="Q986" i="10"/>
  <c r="P987" i="10"/>
  <c r="M988" i="10" s="1"/>
  <c r="N987" i="10" l="1"/>
  <c r="J988" i="10" s="1"/>
  <c r="L988" i="10" l="1"/>
  <c r="O988" i="10"/>
  <c r="K989" i="10" s="1"/>
  <c r="Q987" i="10"/>
  <c r="P988" i="10"/>
  <c r="M989" i="10" s="1"/>
  <c r="N988" i="10" l="1"/>
  <c r="J989" i="10" s="1"/>
  <c r="L989" i="10" l="1"/>
  <c r="O989" i="10"/>
  <c r="K990" i="10" s="1"/>
  <c r="P989" i="10"/>
  <c r="M990" i="10" s="1"/>
  <c r="Q988" i="10"/>
  <c r="N989" i="10" l="1"/>
  <c r="J990" i="10" s="1"/>
  <c r="L990" i="10" l="1"/>
  <c r="O990" i="10"/>
  <c r="K991" i="10" s="1"/>
  <c r="Q989" i="10"/>
  <c r="P990" i="10"/>
  <c r="M991" i="10" s="1"/>
  <c r="N990" i="10" l="1"/>
  <c r="J991" i="10" s="1"/>
  <c r="L991" i="10" l="1"/>
  <c r="O991" i="10"/>
  <c r="K992" i="10" s="1"/>
  <c r="P991" i="10"/>
  <c r="M992" i="10" s="1"/>
  <c r="Q990" i="10"/>
  <c r="N991" i="10" l="1"/>
  <c r="J992" i="10" s="1"/>
  <c r="L992" i="10" l="1"/>
  <c r="O992" i="10"/>
  <c r="K993" i="10" s="1"/>
  <c r="P992" i="10"/>
  <c r="M993" i="10" s="1"/>
  <c r="Q991" i="10"/>
  <c r="N992" i="10" l="1"/>
  <c r="J993" i="10" s="1"/>
  <c r="L993" i="10" l="1"/>
  <c r="O993" i="10"/>
  <c r="K994" i="10" s="1"/>
  <c r="P993" i="10"/>
  <c r="M994" i="10" s="1"/>
  <c r="Q992" i="10"/>
  <c r="N993" i="10" l="1"/>
  <c r="J994" i="10" s="1"/>
  <c r="L994" i="10" l="1"/>
  <c r="P994" i="10" s="1"/>
  <c r="M995" i="10" s="1"/>
  <c r="O994" i="10"/>
  <c r="K995" i="10" s="1"/>
  <c r="Q993" i="10"/>
  <c r="N994" i="10" l="1"/>
  <c r="J995" i="10" s="1"/>
  <c r="L995" i="10" l="1"/>
  <c r="O995" i="10"/>
  <c r="K996" i="10" s="1"/>
  <c r="Q994" i="10"/>
  <c r="P995" i="10"/>
  <c r="M996" i="10" s="1"/>
  <c r="N995" i="10" l="1"/>
  <c r="J996" i="10" s="1"/>
  <c r="L996" i="10" l="1"/>
  <c r="P996" i="10" s="1"/>
  <c r="M997" i="10" s="1"/>
  <c r="Q995" i="10"/>
  <c r="O996" i="10"/>
  <c r="K997" i="10" s="1"/>
  <c r="N996" i="10" l="1"/>
  <c r="J997" i="10" s="1"/>
  <c r="L997" i="10" l="1"/>
  <c r="O997" i="10"/>
  <c r="K998" i="10" s="1"/>
  <c r="Q996" i="10"/>
  <c r="P997" i="10"/>
  <c r="M998" i="10" s="1"/>
  <c r="N997" i="10" l="1"/>
  <c r="J998" i="10" s="1"/>
  <c r="L998" i="10" l="1"/>
  <c r="O998" i="10"/>
  <c r="K999" i="10" s="1"/>
  <c r="Q997" i="10"/>
  <c r="P998" i="10"/>
  <c r="M999" i="10" s="1"/>
  <c r="N998" i="10" l="1"/>
  <c r="J999" i="10" s="1"/>
  <c r="L999" i="10" l="1"/>
  <c r="P999" i="10"/>
  <c r="M1000" i="10" s="1"/>
  <c r="O999" i="10"/>
  <c r="K1000" i="10" s="1"/>
  <c r="Q998" i="10"/>
  <c r="N999" i="10" l="1"/>
  <c r="J1000" i="10" s="1"/>
  <c r="L1000" i="10" l="1"/>
  <c r="P1000" i="10" s="1"/>
  <c r="M1001" i="10" s="1"/>
  <c r="Q999" i="10"/>
  <c r="O1000" i="10"/>
  <c r="K1001" i="10" s="1"/>
  <c r="N1000" i="10" l="1"/>
  <c r="J1001" i="10" s="1"/>
  <c r="L1001" i="10" l="1"/>
  <c r="P1001" i="10" s="1"/>
  <c r="M1002" i="10" s="1"/>
  <c r="O1001" i="10"/>
  <c r="K1002" i="10" s="1"/>
  <c r="Q1000" i="10"/>
  <c r="N1001" i="10" l="1"/>
  <c r="J1002" i="10" s="1"/>
  <c r="L1002" i="10" l="1"/>
  <c r="O1002" i="10"/>
  <c r="K1003" i="10" s="1"/>
  <c r="P1002" i="10"/>
  <c r="M1003" i="10" s="1"/>
  <c r="Q1001" i="10"/>
  <c r="N1002" i="10" l="1"/>
  <c r="J1003" i="10" s="1"/>
  <c r="L1003" i="10" l="1"/>
  <c r="O1003" i="10"/>
  <c r="K1004" i="10" s="1"/>
  <c r="Q1002" i="10"/>
  <c r="P1003" i="10"/>
  <c r="M1004" i="10" s="1"/>
  <c r="N1003" i="10" l="1"/>
  <c r="J1004" i="10" s="1"/>
  <c r="L1004" i="10" l="1"/>
  <c r="O1004" i="10"/>
  <c r="K1005" i="10" s="1"/>
  <c r="P1004" i="10"/>
  <c r="M1005" i="10" s="1"/>
  <c r="Q1003" i="10"/>
  <c r="N1004" i="10" l="1"/>
  <c r="J1005" i="10" s="1"/>
  <c r="L1005" i="10" l="1"/>
  <c r="Q1004" i="10"/>
  <c r="P1005" i="10"/>
  <c r="M1006" i="10" s="1"/>
  <c r="O1005" i="10"/>
  <c r="K1006" i="10" s="1"/>
  <c r="N1005" i="10" l="1"/>
  <c r="J1006" i="10" s="1"/>
  <c r="L1006" i="10" l="1"/>
  <c r="O1006" i="10"/>
  <c r="K1007" i="10" s="1"/>
  <c r="Q1005" i="10"/>
  <c r="P1006" i="10"/>
  <c r="M1007" i="10" s="1"/>
  <c r="N1006" i="10" l="1"/>
  <c r="J1007" i="10" s="1"/>
  <c r="L1007" i="10" l="1"/>
  <c r="P1007" i="10"/>
  <c r="M1008" i="10" s="1"/>
  <c r="Q1006" i="10"/>
  <c r="O1007" i="10"/>
  <c r="K1008" i="10" s="1"/>
  <c r="N1007" i="10" l="1"/>
  <c r="J1008" i="10" s="1"/>
  <c r="L1008" i="10" l="1"/>
  <c r="O1008" i="10"/>
  <c r="K1009" i="10" s="1"/>
  <c r="P1008" i="10"/>
  <c r="M1009" i="10" s="1"/>
  <c r="Q1007" i="10"/>
  <c r="N1008" i="10" l="1"/>
  <c r="J1009" i="10" s="1"/>
  <c r="L1009" i="10" l="1"/>
  <c r="O1009" i="10"/>
  <c r="K1010" i="10" s="1"/>
  <c r="P1009" i="10"/>
  <c r="M1010" i="10" s="1"/>
  <c r="Q1008" i="10"/>
  <c r="N1009" i="10" l="1"/>
  <c r="J1010" i="10" s="1"/>
  <c r="L1010" i="10" l="1"/>
  <c r="O1010" i="10"/>
  <c r="K1011" i="10" s="1"/>
  <c r="P1010" i="10"/>
  <c r="M1011" i="10" s="1"/>
  <c r="Q1009" i="10"/>
  <c r="N1010" i="10" l="1"/>
  <c r="J1011" i="10" s="1"/>
  <c r="L1011" i="10" l="1"/>
  <c r="O1011" i="10"/>
  <c r="K1012" i="10" s="1"/>
  <c r="P1011" i="10"/>
  <c r="M1012" i="10" s="1"/>
  <c r="Q1010" i="10"/>
  <c r="N1011" i="10" l="1"/>
  <c r="J1012" i="10" s="1"/>
  <c r="L1012" i="10" l="1"/>
  <c r="O1012" i="10"/>
  <c r="K1013" i="10" s="1"/>
  <c r="P1012" i="10"/>
  <c r="M1013" i="10" s="1"/>
  <c r="Q1011" i="10"/>
  <c r="N1012" i="10" l="1"/>
  <c r="J1013" i="10" s="1"/>
  <c r="L1013" i="10" l="1"/>
  <c r="P1013" i="10" s="1"/>
  <c r="M1014" i="10" s="1"/>
  <c r="Q1012" i="10"/>
  <c r="O1013" i="10"/>
  <c r="K1014" i="10" s="1"/>
  <c r="N1013" i="10" l="1"/>
  <c r="J1014" i="10" s="1"/>
  <c r="L1014" i="10" l="1"/>
  <c r="O1014" i="10"/>
  <c r="K1015" i="10" s="1"/>
  <c r="Q1013" i="10"/>
  <c r="P1014" i="10"/>
  <c r="M1015" i="10" s="1"/>
  <c r="N1014" i="10" l="1"/>
  <c r="J1015" i="10" s="1"/>
  <c r="L1015" i="10" l="1"/>
  <c r="O1015" i="10"/>
  <c r="K1016" i="10" s="1"/>
  <c r="P1015" i="10"/>
  <c r="M1016" i="10" s="1"/>
  <c r="Q1014" i="10"/>
  <c r="N1015" i="10" l="1"/>
  <c r="J1016" i="10" s="1"/>
  <c r="L1016" i="10" l="1"/>
  <c r="O1016" i="10"/>
  <c r="K1017" i="10" s="1"/>
  <c r="Q1015" i="10"/>
  <c r="P1016" i="10"/>
  <c r="M1017" i="10" s="1"/>
  <c r="N1016" i="10" l="1"/>
  <c r="J1017" i="10" s="1"/>
  <c r="L1017" i="10" l="1"/>
  <c r="O1017" i="10"/>
  <c r="K1018" i="10" s="1"/>
  <c r="P1017" i="10"/>
  <c r="M1018" i="10" s="1"/>
  <c r="Q1016" i="10"/>
  <c r="N1017" i="10" l="1"/>
  <c r="J1018" i="10" s="1"/>
  <c r="L1018" i="10" l="1"/>
  <c r="P1018" i="10" s="1"/>
  <c r="M1019" i="10" s="1"/>
  <c r="O1018" i="10"/>
  <c r="K1019" i="10" s="1"/>
  <c r="Q1017" i="10"/>
  <c r="N1018" i="10" l="1"/>
  <c r="J1019" i="10" s="1"/>
  <c r="L1019" i="10" l="1"/>
  <c r="O1019" i="10"/>
  <c r="K1020" i="10" s="1"/>
  <c r="P1019" i="10"/>
  <c r="M1020" i="10" s="1"/>
  <c r="Q1018" i="10"/>
  <c r="N1019" i="10" l="1"/>
  <c r="J1020" i="10" s="1"/>
  <c r="L1020" i="10" l="1"/>
  <c r="O1020" i="10"/>
  <c r="K1021" i="10" s="1"/>
  <c r="P1020" i="10"/>
  <c r="M1021" i="10" s="1"/>
  <c r="Q1019" i="10"/>
  <c r="N1020" i="10" l="1"/>
  <c r="J1021" i="10" s="1"/>
  <c r="L1021" i="10" l="1"/>
  <c r="O1021" i="10"/>
  <c r="K1022" i="10" s="1"/>
  <c r="P1021" i="10"/>
  <c r="M1022" i="10" s="1"/>
  <c r="Q1020" i="10"/>
  <c r="N1021" i="10" l="1"/>
  <c r="J1022" i="10" s="1"/>
  <c r="L1022" i="10" l="1"/>
  <c r="P1022" i="10" s="1"/>
  <c r="M1023" i="10" s="1"/>
  <c r="O1022" i="10"/>
  <c r="K1023" i="10" s="1"/>
  <c r="Q1021" i="10"/>
  <c r="N1022" i="10" l="1"/>
  <c r="J1023" i="10" s="1"/>
  <c r="L1023" i="10" l="1"/>
  <c r="P1023" i="10"/>
  <c r="M1024" i="10" s="1"/>
  <c r="Q1022" i="10"/>
  <c r="O1023" i="10"/>
  <c r="K1024" i="10" s="1"/>
  <c r="N1023" i="10" l="1"/>
  <c r="J1024" i="10" s="1"/>
  <c r="L1024" i="10" l="1"/>
  <c r="P1024" i="10" s="1"/>
  <c r="M1025" i="10" s="1"/>
  <c r="O1024" i="10"/>
  <c r="K1025" i="10" s="1"/>
  <c r="Q1023" i="10"/>
  <c r="N1024" i="10" l="1"/>
  <c r="J1025" i="10" s="1"/>
  <c r="L1025" i="10" l="1"/>
  <c r="O1025" i="10"/>
  <c r="K1026" i="10" s="1"/>
  <c r="Q1024" i="10"/>
  <c r="P1025" i="10"/>
  <c r="M1026" i="10" s="1"/>
  <c r="N1025" i="10" l="1"/>
  <c r="J1026" i="10" s="1"/>
  <c r="L1026" i="10" l="1"/>
  <c r="P1026" i="10" s="1"/>
  <c r="M1027" i="10" s="1"/>
  <c r="Q1025" i="10"/>
  <c r="O1026" i="10"/>
  <c r="K1027" i="10" s="1"/>
  <c r="N1026" i="10" l="1"/>
  <c r="J1027" i="10" s="1"/>
  <c r="L1027" i="10" l="1"/>
  <c r="P1027" i="10" s="1"/>
  <c r="M1028" i="10" s="1"/>
  <c r="Q1026" i="10"/>
  <c r="O1027" i="10"/>
  <c r="K1028" i="10" s="1"/>
  <c r="N1027" i="10" l="1"/>
  <c r="J1028" i="10" s="1"/>
  <c r="L1028" i="10" l="1"/>
  <c r="P1028" i="10" s="1"/>
  <c r="M1029" i="10" s="1"/>
  <c r="Q1027" i="10"/>
  <c r="O1028" i="10"/>
  <c r="K1029" i="10" s="1"/>
  <c r="N1028" i="10" l="1"/>
  <c r="J1029" i="10" s="1"/>
  <c r="L1029" i="10" l="1"/>
  <c r="O1029" i="10"/>
  <c r="K1030" i="10" s="1"/>
  <c r="Q1028" i="10"/>
  <c r="P1029" i="10"/>
  <c r="M1030" i="10" s="1"/>
  <c r="N1029" i="10" l="1"/>
  <c r="J1030" i="10" s="1"/>
  <c r="L1030" i="10" l="1"/>
  <c r="P1030" i="10" s="1"/>
  <c r="M1031" i="10" s="1"/>
  <c r="O1030" i="10"/>
  <c r="K1031" i="10" s="1"/>
  <c r="Q1029" i="10"/>
  <c r="N1030" i="10" l="1"/>
  <c r="J1031" i="10" s="1"/>
  <c r="L1031" i="10" l="1"/>
  <c r="O1031" i="10"/>
  <c r="K1032" i="10" s="1"/>
  <c r="Q1030" i="10"/>
  <c r="P1031" i="10"/>
  <c r="M1032" i="10" s="1"/>
  <c r="N1031" i="10" l="1"/>
  <c r="J1032" i="10" s="1"/>
  <c r="L1032" i="10" l="1"/>
  <c r="O1032" i="10"/>
  <c r="K1033" i="10" s="1"/>
  <c r="P1032" i="10"/>
  <c r="M1033" i="10" s="1"/>
  <c r="Q1031" i="10"/>
  <c r="N1032" i="10" l="1"/>
  <c r="J1033" i="10" s="1"/>
  <c r="L1033" i="10" l="1"/>
  <c r="O1033" i="10"/>
  <c r="K1034" i="10" s="1"/>
  <c r="Q1032" i="10"/>
  <c r="P1033" i="10"/>
  <c r="M1034" i="10" s="1"/>
  <c r="N1033" i="10" l="1"/>
  <c r="J1034" i="10" s="1"/>
  <c r="L1034" i="10" l="1"/>
  <c r="P1034" i="10"/>
  <c r="M1035" i="10" s="1"/>
  <c r="Q1033" i="10"/>
  <c r="O1034" i="10"/>
  <c r="K1035" i="10" s="1"/>
  <c r="N1034" i="10" l="1"/>
  <c r="J1035" i="10" s="1"/>
  <c r="L1035" i="10" l="1"/>
  <c r="P1035" i="10" s="1"/>
  <c r="M1036" i="10" s="1"/>
  <c r="O1035" i="10"/>
  <c r="K1036" i="10" s="1"/>
  <c r="Q1034" i="10"/>
  <c r="N1035" i="10" l="1"/>
  <c r="J1036" i="10" s="1"/>
  <c r="L1036" i="10" l="1"/>
  <c r="O1036" i="10"/>
  <c r="K1037" i="10" s="1"/>
  <c r="P1036" i="10"/>
  <c r="M1037" i="10" s="1"/>
  <c r="Q1035" i="10"/>
  <c r="N1036" i="10" l="1"/>
  <c r="J1037" i="10" s="1"/>
  <c r="L1037" i="10" l="1"/>
  <c r="P1037" i="10"/>
  <c r="M1038" i="10" s="1"/>
  <c r="Q1036" i="10"/>
  <c r="O1037" i="10"/>
  <c r="K1038" i="10" s="1"/>
  <c r="N1037" i="10" l="1"/>
  <c r="J1038" i="10" s="1"/>
  <c r="L1038" i="10" l="1"/>
  <c r="P1038" i="10" s="1"/>
  <c r="M1039" i="10" s="1"/>
  <c r="O1038" i="10"/>
  <c r="K1039" i="10" s="1"/>
  <c r="Q1037" i="10"/>
  <c r="N1038" i="10" l="1"/>
  <c r="J1039" i="10" s="1"/>
  <c r="L1039" i="10" l="1"/>
  <c r="P1039" i="10"/>
  <c r="M1040" i="10" s="1"/>
  <c r="Q1038" i="10"/>
  <c r="O1039" i="10"/>
  <c r="K1040" i="10" s="1"/>
  <c r="N1039" i="10" l="1"/>
  <c r="J1040" i="10" s="1"/>
  <c r="L1040" i="10" l="1"/>
  <c r="O1040" i="10"/>
  <c r="K1041" i="10" s="1"/>
  <c r="P1040" i="10"/>
  <c r="M1041" i="10" s="1"/>
  <c r="Q1039" i="10"/>
  <c r="N1040" i="10" l="1"/>
  <c r="J1041" i="10" s="1"/>
  <c r="L1041" i="10" l="1"/>
  <c r="O1041" i="10"/>
  <c r="K1042" i="10" s="1"/>
  <c r="Q1040" i="10"/>
  <c r="P1041" i="10"/>
  <c r="M1042" i="10" s="1"/>
  <c r="N1041" i="10" l="1"/>
  <c r="J1042" i="10" s="1"/>
  <c r="L1042" i="10" l="1"/>
  <c r="O1042" i="10"/>
  <c r="K1043" i="10" s="1"/>
  <c r="P1042" i="10"/>
  <c r="M1043" i="10" s="1"/>
  <c r="Q1041" i="10"/>
  <c r="N1042" i="10" l="1"/>
  <c r="J1043" i="10" s="1"/>
  <c r="L1043" i="10" l="1"/>
  <c r="O1043" i="10"/>
  <c r="K1044" i="10" s="1"/>
  <c r="Q1042" i="10"/>
  <c r="P1043" i="10"/>
  <c r="M1044" i="10" s="1"/>
  <c r="N1043" i="10" l="1"/>
  <c r="J1044" i="10" s="1"/>
  <c r="L1044" i="10" l="1"/>
  <c r="O1044" i="10"/>
  <c r="K1045" i="10" s="1"/>
  <c r="Q1043" i="10"/>
  <c r="P1044" i="10"/>
  <c r="M1045" i="10" s="1"/>
  <c r="N1044" i="10" l="1"/>
  <c r="J1045" i="10" s="1"/>
  <c r="L1045" i="10" l="1"/>
  <c r="O1045" i="10"/>
  <c r="K1046" i="10" s="1"/>
  <c r="Q1044" i="10"/>
  <c r="P1045" i="10"/>
  <c r="M1046" i="10" s="1"/>
  <c r="N1045" i="10" l="1"/>
  <c r="J1046" i="10" s="1"/>
  <c r="L1046" i="10" l="1"/>
  <c r="O1046" i="10"/>
  <c r="K1047" i="10" s="1"/>
  <c r="P1046" i="10"/>
  <c r="M1047" i="10" s="1"/>
  <c r="Q1045" i="10"/>
  <c r="N1046" i="10" l="1"/>
  <c r="J1047" i="10" s="1"/>
  <c r="L1047" i="10" l="1"/>
  <c r="P1047" i="10" s="1"/>
  <c r="M1048" i="10" s="1"/>
  <c r="O1047" i="10"/>
  <c r="K1048" i="10" s="1"/>
  <c r="Q1046" i="10"/>
  <c r="N1047" i="10" l="1"/>
  <c r="J1048" i="10" s="1"/>
  <c r="L1048" i="10" l="1"/>
  <c r="P1048" i="10" s="1"/>
  <c r="M1049" i="10" s="1"/>
  <c r="Q1047" i="10"/>
  <c r="O1048" i="10"/>
  <c r="K1049" i="10" s="1"/>
  <c r="N1048" i="10" l="1"/>
  <c r="J1049" i="10" s="1"/>
  <c r="L1049" i="10" l="1"/>
  <c r="O1049" i="10"/>
  <c r="K1050" i="10" s="1"/>
  <c r="Q1048" i="10"/>
  <c r="P1049" i="10"/>
  <c r="M1050" i="10" s="1"/>
  <c r="N1049" i="10" l="1"/>
  <c r="J1050" i="10" s="1"/>
  <c r="L1050" i="10" l="1"/>
  <c r="O1050" i="10"/>
  <c r="K1051" i="10" s="1"/>
  <c r="Q1049" i="10"/>
  <c r="P1050" i="10"/>
  <c r="M1051" i="10" s="1"/>
  <c r="N1050" i="10" l="1"/>
  <c r="J1051" i="10" s="1"/>
  <c r="L1051" i="10" l="1"/>
  <c r="O1051" i="10"/>
  <c r="K1052" i="10" s="1"/>
  <c r="Q1050" i="10"/>
  <c r="P1051" i="10"/>
  <c r="M1052" i="10" s="1"/>
  <c r="N1051" i="10" l="1"/>
  <c r="J1052" i="10" s="1"/>
  <c r="L1052" i="10" l="1"/>
  <c r="P1052" i="10" s="1"/>
  <c r="M1053" i="10" s="1"/>
  <c r="O1052" i="10"/>
  <c r="K1053" i="10" s="1"/>
  <c r="Q1051" i="10"/>
  <c r="N1052" i="10" l="1"/>
  <c r="J1053" i="10" s="1"/>
  <c r="L1053" i="10" l="1"/>
  <c r="O1053" i="10"/>
  <c r="K1054" i="10" s="1"/>
  <c r="P1053" i="10"/>
  <c r="M1054" i="10" s="1"/>
  <c r="Q1052" i="10"/>
  <c r="N1053" i="10" l="1"/>
  <c r="J1054" i="10" s="1"/>
  <c r="L1054" i="10" l="1"/>
  <c r="P1054" i="10" s="1"/>
  <c r="M1055" i="10" s="1"/>
  <c r="Q1053" i="10"/>
  <c r="O1054" i="10"/>
  <c r="K1055" i="10" s="1"/>
  <c r="N1054" i="10" l="1"/>
  <c r="J1055" i="10" s="1"/>
  <c r="L1055" i="10" l="1"/>
  <c r="O1055" i="10"/>
  <c r="K1056" i="10" s="1"/>
  <c r="P1055" i="10"/>
  <c r="M1056" i="10" s="1"/>
  <c r="Q1054" i="10"/>
  <c r="N1055" i="10" l="1"/>
  <c r="J1056" i="10" s="1"/>
  <c r="L1056" i="10" l="1"/>
  <c r="P1056" i="10" s="1"/>
  <c r="M1057" i="10" s="1"/>
  <c r="Q1055" i="10"/>
  <c r="O1056" i="10"/>
  <c r="K1057" i="10" s="1"/>
  <c r="N1056" i="10" l="1"/>
  <c r="J1057" i="10" s="1"/>
  <c r="L1057" i="10" l="1"/>
  <c r="P1057" i="10" s="1"/>
  <c r="M1058" i="10" s="1"/>
  <c r="O1057" i="10"/>
  <c r="K1058" i="10" s="1"/>
  <c r="Q1056" i="10"/>
  <c r="N1057" i="10" l="1"/>
  <c r="J1058" i="10" s="1"/>
  <c r="L1058" i="10" l="1"/>
  <c r="P1058" i="10" s="1"/>
  <c r="M1059" i="10" s="1"/>
  <c r="O1058" i="10"/>
  <c r="K1059" i="10" s="1"/>
  <c r="Q1057" i="10"/>
  <c r="N1058" i="10" l="1"/>
  <c r="J1059" i="10" s="1"/>
  <c r="L1059" i="10" l="1"/>
  <c r="O1059" i="10"/>
  <c r="K1060" i="10" s="1"/>
  <c r="P1059" i="10"/>
  <c r="M1060" i="10" s="1"/>
  <c r="Q1058" i="10"/>
  <c r="N1059" i="10" l="1"/>
  <c r="J1060" i="10" s="1"/>
  <c r="L1060" i="10" l="1"/>
  <c r="O1060" i="10"/>
  <c r="K1061" i="10" s="1"/>
  <c r="P1060" i="10"/>
  <c r="M1061" i="10" s="1"/>
  <c r="Q1059" i="10"/>
  <c r="N1060" i="10" l="1"/>
  <c r="J1061" i="10" s="1"/>
  <c r="L1061" i="10" l="1"/>
  <c r="P1061" i="10" s="1"/>
  <c r="M1062" i="10" s="1"/>
  <c r="Q1060" i="10"/>
  <c r="O1061" i="10"/>
  <c r="K1062" i="10" s="1"/>
  <c r="N1061" i="10" l="1"/>
  <c r="J1062" i="10" s="1"/>
  <c r="L1062" i="10" l="1"/>
  <c r="P1062" i="10"/>
  <c r="M1063" i="10" s="1"/>
  <c r="Q1061" i="10"/>
  <c r="O1062" i="10"/>
  <c r="K1063" i="10" s="1"/>
  <c r="N1062" i="10" l="1"/>
  <c r="J1063" i="10" s="1"/>
  <c r="L1063" i="10" l="1"/>
  <c r="O1063" i="10"/>
  <c r="K1064" i="10" s="1"/>
  <c r="Q1062" i="10"/>
  <c r="P1063" i="10"/>
  <c r="M1064" i="10" s="1"/>
  <c r="N1063" i="10" l="1"/>
  <c r="J1064" i="10" s="1"/>
  <c r="L1064" i="10" l="1"/>
  <c r="O1064" i="10"/>
  <c r="K1065" i="10" s="1"/>
  <c r="P1064" i="10"/>
  <c r="M1065" i="10" s="1"/>
  <c r="Q1063" i="10"/>
  <c r="N1064" i="10" l="1"/>
  <c r="J1065" i="10" s="1"/>
  <c r="L1065" i="10" l="1"/>
  <c r="P1065" i="10"/>
  <c r="M1066" i="10" s="1"/>
  <c r="Q1064" i="10"/>
  <c r="O1065" i="10"/>
  <c r="K1066" i="10" s="1"/>
  <c r="N1065" i="10" l="1"/>
  <c r="J1066" i="10" s="1"/>
  <c r="L1066" i="10" l="1"/>
  <c r="O1066" i="10"/>
  <c r="K1067" i="10" s="1"/>
  <c r="Q1065" i="10"/>
  <c r="P1066" i="10"/>
  <c r="M1067" i="10" s="1"/>
  <c r="N1066" i="10" l="1"/>
  <c r="J1067" i="10" s="1"/>
  <c r="L1067" i="10" l="1"/>
  <c r="P1067" i="10" s="1"/>
  <c r="M1068" i="10" s="1"/>
  <c r="Q1066" i="10"/>
  <c r="O1067" i="10"/>
  <c r="K1068" i="10" s="1"/>
  <c r="N1067" i="10" l="1"/>
  <c r="J1068" i="10" s="1"/>
  <c r="L1068" i="10" l="1"/>
  <c r="P1068" i="10" s="1"/>
  <c r="M1069" i="10" s="1"/>
  <c r="O1068" i="10"/>
  <c r="K1069" i="10" s="1"/>
  <c r="Q1067" i="10"/>
  <c r="N1068" i="10" l="1"/>
  <c r="J1069" i="10" s="1"/>
  <c r="L1069" i="10" l="1"/>
  <c r="P1069" i="10" s="1"/>
  <c r="M1070" i="10" s="1"/>
  <c r="Q1068" i="10"/>
  <c r="O1069" i="10"/>
  <c r="K1070" i="10" s="1"/>
  <c r="N1069" i="10" l="1"/>
  <c r="J1070" i="10" s="1"/>
  <c r="L1070" i="10" l="1"/>
  <c r="O1070" i="10"/>
  <c r="K1071" i="10" s="1"/>
  <c r="Q1069" i="10"/>
  <c r="P1070" i="10"/>
  <c r="M1071" i="10" s="1"/>
  <c r="N1070" i="10" l="1"/>
  <c r="J1071" i="10" s="1"/>
  <c r="L1071" i="10" l="1"/>
  <c r="O1071" i="10"/>
  <c r="K1072" i="10" s="1"/>
  <c r="Q1070" i="10"/>
  <c r="P1071" i="10"/>
  <c r="M1072" i="10" s="1"/>
  <c r="N1071" i="10" l="1"/>
  <c r="J1072" i="10" s="1"/>
  <c r="L1072" i="10" l="1"/>
  <c r="P1072" i="10" s="1"/>
  <c r="M1073" i="10" s="1"/>
  <c r="Q1071" i="10"/>
  <c r="O1072" i="10"/>
  <c r="K1073" i="10" s="1"/>
  <c r="N1072" i="10" l="1"/>
  <c r="J1073" i="10" s="1"/>
  <c r="L1073" i="10" l="1"/>
  <c r="P1073" i="10" s="1"/>
  <c r="M1074" i="10" s="1"/>
  <c r="O1073" i="10"/>
  <c r="K1074" i="10" s="1"/>
  <c r="Q1072" i="10"/>
  <c r="N1073" i="10" l="1"/>
  <c r="J1074" i="10" s="1"/>
  <c r="L1074" i="10" l="1"/>
  <c r="P1074" i="10" s="1"/>
  <c r="M1075" i="10" s="1"/>
  <c r="O1074" i="10"/>
  <c r="K1075" i="10" s="1"/>
  <c r="Q1073" i="10"/>
  <c r="N1074" i="10" l="1"/>
  <c r="J1075" i="10" s="1"/>
  <c r="L1075" i="10" l="1"/>
  <c r="P1075" i="10" s="1"/>
  <c r="M1076" i="10" s="1"/>
  <c r="O1075" i="10"/>
  <c r="K1076" i="10" s="1"/>
  <c r="Q1074" i="10"/>
  <c r="N1075" i="10" l="1"/>
  <c r="J1076" i="10" s="1"/>
  <c r="L1076" i="10" l="1"/>
  <c r="P1076" i="10" s="1"/>
  <c r="M1077" i="10" s="1"/>
  <c r="O1076" i="10"/>
  <c r="K1077" i="10" s="1"/>
  <c r="Q1075" i="10"/>
  <c r="N1076" i="10" l="1"/>
  <c r="J1077" i="10" s="1"/>
  <c r="L1077" i="10" l="1"/>
  <c r="O1077" i="10"/>
  <c r="K1078" i="10" s="1"/>
  <c r="Q1076" i="10"/>
  <c r="P1077" i="10"/>
  <c r="M1078" i="10" s="1"/>
  <c r="N1077" i="10" l="1"/>
  <c r="J1078" i="10" s="1"/>
  <c r="L1078" i="10" l="1"/>
  <c r="P1078" i="10" s="1"/>
  <c r="M1079" i="10" s="1"/>
  <c r="O1078" i="10"/>
  <c r="K1079" i="10" s="1"/>
  <c r="Q1077" i="10"/>
  <c r="N1078" i="10" l="1"/>
  <c r="J1079" i="10" s="1"/>
  <c r="L1079" i="10" l="1"/>
  <c r="O1079" i="10"/>
  <c r="K1080" i="10" s="1"/>
  <c r="P1079" i="10"/>
  <c r="M1080" i="10" s="1"/>
  <c r="Q1078" i="10"/>
  <c r="N1079" i="10" l="1"/>
  <c r="J1080" i="10" s="1"/>
  <c r="L1080" i="10" l="1"/>
  <c r="P1080" i="10" s="1"/>
  <c r="M1081" i="10" s="1"/>
  <c r="O1080" i="10"/>
  <c r="K1081" i="10" s="1"/>
  <c r="Q1079" i="10"/>
  <c r="N1080" i="10" l="1"/>
  <c r="J1081" i="10" s="1"/>
  <c r="L1081" i="10" l="1"/>
  <c r="O1081" i="10"/>
  <c r="K1082" i="10" s="1"/>
  <c r="P1081" i="10"/>
  <c r="M1082" i="10" s="1"/>
  <c r="Q1080" i="10"/>
  <c r="N1081" i="10" l="1"/>
  <c r="J1082" i="10" s="1"/>
  <c r="L1082" i="10" l="1"/>
  <c r="P1082" i="10" s="1"/>
  <c r="M1083" i="10" s="1"/>
  <c r="O1082" i="10"/>
  <c r="K1083" i="10" s="1"/>
  <c r="Q1081" i="10"/>
  <c r="N1082" i="10" l="1"/>
  <c r="J1083" i="10" s="1"/>
  <c r="L1083" i="10" l="1"/>
  <c r="O1083" i="10"/>
  <c r="K1084" i="10" s="1"/>
  <c r="P1083" i="10"/>
  <c r="M1084" i="10" s="1"/>
  <c r="Q1082" i="10"/>
  <c r="N1083" i="10" l="1"/>
  <c r="J1084" i="10" s="1"/>
  <c r="L1084" i="10" l="1"/>
  <c r="P1084" i="10" s="1"/>
  <c r="M1085" i="10" s="1"/>
  <c r="O1084" i="10"/>
  <c r="K1085" i="10" s="1"/>
  <c r="Q1083" i="10"/>
  <c r="N1084" i="10" l="1"/>
  <c r="J1085" i="10" s="1"/>
  <c r="L1085" i="10" l="1"/>
  <c r="P1085" i="10" s="1"/>
  <c r="M1086" i="10" s="1"/>
  <c r="O1085" i="10"/>
  <c r="K1086" i="10" s="1"/>
  <c r="Q1084" i="10"/>
  <c r="N1085" i="10" l="1"/>
  <c r="J1086" i="10" s="1"/>
  <c r="L1086" i="10" l="1"/>
  <c r="O1086" i="10"/>
  <c r="K1087" i="10" s="1"/>
  <c r="Q1085" i="10"/>
  <c r="P1086" i="10"/>
  <c r="M1087" i="10" s="1"/>
  <c r="N1086" i="10" l="1"/>
  <c r="J1087" i="10" s="1"/>
  <c r="L1087" i="10" l="1"/>
  <c r="P1087" i="10" s="1"/>
  <c r="M1088" i="10" s="1"/>
  <c r="O1087" i="10"/>
  <c r="K1088" i="10" s="1"/>
  <c r="Q1086" i="10"/>
  <c r="N1087" i="10" l="1"/>
  <c r="J1088" i="10" s="1"/>
  <c r="L1088" i="10" l="1"/>
  <c r="P1088" i="10" s="1"/>
  <c r="M1089" i="10" s="1"/>
  <c r="O1088" i="10"/>
  <c r="K1089" i="10" s="1"/>
  <c r="Q1087" i="10"/>
  <c r="N1088" i="10" l="1"/>
  <c r="J1089" i="10" s="1"/>
  <c r="L1089" i="10" l="1"/>
  <c r="O1089" i="10"/>
  <c r="K1090" i="10" s="1"/>
  <c r="Q1088" i="10"/>
  <c r="P1089" i="10"/>
  <c r="M1090" i="10" s="1"/>
  <c r="N1089" i="10" l="1"/>
  <c r="J1090" i="10" s="1"/>
  <c r="L1090" i="10" l="1"/>
  <c r="P1090" i="10" s="1"/>
  <c r="M1091" i="10" s="1"/>
  <c r="O1090" i="10"/>
  <c r="K1091" i="10" s="1"/>
  <c r="Q1089" i="10"/>
  <c r="N1090" i="10" l="1"/>
  <c r="J1091" i="10" s="1"/>
  <c r="L1091" i="10" l="1"/>
  <c r="O1091" i="10"/>
  <c r="K1092" i="10" s="1"/>
  <c r="Q1090" i="10"/>
  <c r="P1091" i="10"/>
  <c r="M1092" i="10" s="1"/>
  <c r="N1091" i="10" l="1"/>
  <c r="J1092" i="10" s="1"/>
  <c r="L1092" i="10" l="1"/>
  <c r="O1092" i="10"/>
  <c r="K1093" i="10" s="1"/>
  <c r="P1092" i="10"/>
  <c r="M1093" i="10" s="1"/>
  <c r="Q1091" i="10"/>
  <c r="N1092" i="10" l="1"/>
  <c r="J1093" i="10" s="1"/>
  <c r="L1093" i="10" l="1"/>
  <c r="P1093" i="10" s="1"/>
  <c r="M1094" i="10" s="1"/>
  <c r="O1093" i="10"/>
  <c r="K1094" i="10" s="1"/>
  <c r="Q1092" i="10"/>
  <c r="N1093" i="10" l="1"/>
  <c r="J1094" i="10" s="1"/>
  <c r="L1094" i="10" l="1"/>
  <c r="P1094" i="10" s="1"/>
  <c r="M1095" i="10" s="1"/>
  <c r="O1094" i="10"/>
  <c r="K1095" i="10" s="1"/>
  <c r="Q1093" i="10"/>
  <c r="N1094" i="10" l="1"/>
  <c r="J1095" i="10" s="1"/>
  <c r="L1095" i="10" l="1"/>
  <c r="P1095" i="10" s="1"/>
  <c r="M1096" i="10" s="1"/>
  <c r="O1095" i="10"/>
  <c r="K1096" i="10" s="1"/>
  <c r="Q1094" i="10"/>
  <c r="N1095" i="10" l="1"/>
  <c r="J1096" i="10" s="1"/>
  <c r="L1096" i="10" l="1"/>
  <c r="P1096" i="10" s="1"/>
  <c r="M1097" i="10" s="1"/>
  <c r="O1096" i="10"/>
  <c r="K1097" i="10" s="1"/>
  <c r="Q1095" i="10"/>
  <c r="N1096" i="10" l="1"/>
  <c r="J1097" i="10" s="1"/>
  <c r="L1097" i="10" l="1"/>
  <c r="P1097" i="10" s="1"/>
  <c r="M1098" i="10" s="1"/>
  <c r="O1097" i="10"/>
  <c r="K1098" i="10" s="1"/>
  <c r="Q1096" i="10"/>
  <c r="N1097" i="10" l="1"/>
  <c r="J1098" i="10" s="1"/>
  <c r="L1098" i="10" l="1"/>
  <c r="P1098" i="10" s="1"/>
  <c r="M1099" i="10" s="1"/>
  <c r="O1098" i="10"/>
  <c r="K1099" i="10" s="1"/>
  <c r="Q1097" i="10"/>
  <c r="N1098" i="10" l="1"/>
  <c r="J1099" i="10" s="1"/>
  <c r="L1099" i="10" l="1"/>
  <c r="P1099" i="10" s="1"/>
  <c r="M1100" i="10" s="1"/>
  <c r="O1099" i="10"/>
  <c r="K1100" i="10" s="1"/>
  <c r="Q1098" i="10"/>
  <c r="N1099" i="10" l="1"/>
  <c r="J1100" i="10" s="1"/>
  <c r="L1100" i="10" l="1"/>
  <c r="P1100" i="10" s="1"/>
  <c r="M1101" i="10" s="1"/>
  <c r="O1100" i="10"/>
  <c r="K1101" i="10" s="1"/>
  <c r="Q1099" i="10"/>
  <c r="N1100" i="10" l="1"/>
  <c r="J1101" i="10" s="1"/>
  <c r="L1101" i="10" l="1"/>
  <c r="P1101" i="10" s="1"/>
  <c r="M1102" i="10" s="1"/>
  <c r="O1101" i="10"/>
  <c r="K1102" i="10" s="1"/>
  <c r="Q1100" i="10"/>
  <c r="N1101" i="10" l="1"/>
  <c r="J1102" i="10" s="1"/>
  <c r="L1102" i="10" l="1"/>
  <c r="O1102" i="10"/>
  <c r="K1103" i="10" s="1"/>
  <c r="Q1101" i="10"/>
  <c r="P1102" i="10"/>
  <c r="M1103" i="10" s="1"/>
  <c r="N1102" i="10" l="1"/>
  <c r="J1103" i="10" s="1"/>
  <c r="L1103" i="10" l="1"/>
  <c r="P1103" i="10" s="1"/>
  <c r="M1104" i="10" s="1"/>
  <c r="O1103" i="10"/>
  <c r="K1104" i="10" s="1"/>
  <c r="Q1102" i="10"/>
  <c r="N1103" i="10" l="1"/>
  <c r="J1104" i="10" s="1"/>
  <c r="L1104" i="10" l="1"/>
  <c r="P1104" i="10" s="1"/>
  <c r="M1105" i="10" s="1"/>
  <c r="O1104" i="10"/>
  <c r="K1105" i="10" s="1"/>
  <c r="Q1103" i="10"/>
  <c r="N1104" i="10" l="1"/>
  <c r="J1105" i="10" s="1"/>
  <c r="L1105" i="10" l="1"/>
  <c r="P1105" i="10" s="1"/>
  <c r="M1106" i="10" s="1"/>
  <c r="O1105" i="10"/>
  <c r="K1106" i="10" s="1"/>
  <c r="Q1104" i="10"/>
  <c r="N1105" i="10" l="1"/>
  <c r="J1106" i="10" s="1"/>
  <c r="L1106" i="10" l="1"/>
  <c r="P1106" i="10" s="1"/>
  <c r="M1107" i="10" s="1"/>
  <c r="O1106" i="10"/>
  <c r="K1107" i="10" s="1"/>
  <c r="Q1105" i="10"/>
  <c r="N1106" i="10" l="1"/>
  <c r="J1107" i="10" s="1"/>
  <c r="L1107" i="10" l="1"/>
  <c r="P1107" i="10" s="1"/>
  <c r="M1108" i="10" s="1"/>
  <c r="O1107" i="10"/>
  <c r="K1108" i="10" s="1"/>
  <c r="Q1106" i="10"/>
  <c r="N1107" i="10" l="1"/>
  <c r="J1108" i="10" s="1"/>
  <c r="L1108" i="10" l="1"/>
  <c r="P1108" i="10" s="1"/>
  <c r="M1109" i="10" s="1"/>
  <c r="O1108" i="10"/>
  <c r="K1109" i="10" s="1"/>
  <c r="Q1107" i="10"/>
  <c r="N1108" i="10" l="1"/>
  <c r="J1109" i="10" s="1"/>
  <c r="L1109" i="10" l="1"/>
  <c r="O1109" i="10"/>
  <c r="K1110" i="10" s="1"/>
  <c r="Q1108" i="10"/>
  <c r="P1109" i="10"/>
  <c r="M1110" i="10" s="1"/>
  <c r="N1109" i="10" l="1"/>
  <c r="J1110" i="10" s="1"/>
  <c r="L1110" i="10" l="1"/>
  <c r="P1110" i="10" s="1"/>
  <c r="M1111" i="10" s="1"/>
  <c r="O1110" i="10"/>
  <c r="K1111" i="10" s="1"/>
  <c r="Q1109" i="10"/>
  <c r="N1110" i="10" l="1"/>
  <c r="J1111" i="10" s="1"/>
  <c r="L1111" i="10" l="1"/>
  <c r="P1111" i="10" s="1"/>
  <c r="M1112" i="10" s="1"/>
  <c r="Q1110" i="10"/>
  <c r="O1111" i="10"/>
  <c r="K1112" i="10" s="1"/>
  <c r="N1111" i="10" l="1"/>
  <c r="J1112" i="10" s="1"/>
  <c r="L1112" i="10" l="1"/>
  <c r="Q1111" i="10"/>
  <c r="O1112" i="10"/>
  <c r="K1113" i="10" s="1"/>
  <c r="P1112" i="10"/>
  <c r="M1113" i="10" s="1"/>
  <c r="N1112" i="10" l="1"/>
  <c r="J1113" i="10" s="1"/>
  <c r="L1113" i="10" l="1"/>
  <c r="O1113" i="10"/>
  <c r="K1114" i="10" s="1"/>
  <c r="P1113" i="10"/>
  <c r="M1114" i="10" s="1"/>
  <c r="Q1112" i="10"/>
  <c r="N1113" i="10" l="1"/>
  <c r="J1114" i="10" s="1"/>
  <c r="L1114" i="10" l="1"/>
  <c r="P1114" i="10" s="1"/>
  <c r="M1115" i="10" s="1"/>
  <c r="O1114" i="10"/>
  <c r="K1115" i="10" s="1"/>
  <c r="Q1113" i="10"/>
  <c r="N1114" i="10" l="1"/>
  <c r="J1115" i="10" s="1"/>
  <c r="L1115" i="10" l="1"/>
  <c r="P1115" i="10" s="1"/>
  <c r="M1116" i="10" s="1"/>
  <c r="O1115" i="10"/>
  <c r="K1116" i="10" s="1"/>
  <c r="Q1114" i="10"/>
  <c r="N1115" i="10" l="1"/>
  <c r="J1116" i="10" s="1"/>
  <c r="L1116" i="10" l="1"/>
  <c r="P1116" i="10" s="1"/>
  <c r="M1117" i="10" s="1"/>
  <c r="O1116" i="10"/>
  <c r="K1117" i="10" s="1"/>
  <c r="Q1115" i="10"/>
  <c r="N1116" i="10" l="1"/>
  <c r="J1117" i="10" s="1"/>
  <c r="L1117" i="10" l="1"/>
  <c r="P1117" i="10" s="1"/>
  <c r="M1118" i="10" s="1"/>
  <c r="O1117" i="10"/>
  <c r="K1118" i="10" s="1"/>
  <c r="Q1116" i="10"/>
  <c r="N1117" i="10" l="1"/>
  <c r="J1118" i="10" s="1"/>
  <c r="L1118" i="10" l="1"/>
  <c r="O1118" i="10"/>
  <c r="K1119" i="10" s="1"/>
  <c r="Q1117" i="10"/>
  <c r="P1118" i="10"/>
  <c r="M1119" i="10" s="1"/>
  <c r="N1118" i="10" l="1"/>
  <c r="J1119" i="10" s="1"/>
  <c r="L1119" i="10" l="1"/>
  <c r="P1119" i="10" s="1"/>
  <c r="M1120" i="10" s="1"/>
  <c r="O1119" i="10"/>
  <c r="K1120" i="10" s="1"/>
  <c r="Q1118" i="10"/>
  <c r="N1119" i="10" l="1"/>
  <c r="J1120" i="10" s="1"/>
  <c r="L1120" i="10" l="1"/>
  <c r="O1120" i="10"/>
  <c r="K1121" i="10" s="1"/>
  <c r="Q1119" i="10"/>
  <c r="P1120" i="10"/>
  <c r="M1121" i="10" s="1"/>
  <c r="N1120" i="10" l="1"/>
  <c r="J1121" i="10" s="1"/>
  <c r="L1121" i="10" l="1"/>
  <c r="P1121" i="10" s="1"/>
  <c r="M1122" i="10" s="1"/>
  <c r="O1121" i="10"/>
  <c r="K1122" i="10" s="1"/>
  <c r="Q1120" i="10"/>
  <c r="N1121" i="10" l="1"/>
  <c r="J1122" i="10" s="1"/>
  <c r="L1122" i="10" l="1"/>
  <c r="P1122" i="10" s="1"/>
  <c r="M1123" i="10" s="1"/>
  <c r="O1122" i="10"/>
  <c r="K1123" i="10" s="1"/>
  <c r="Q1121" i="10"/>
  <c r="N1122" i="10" l="1"/>
  <c r="J1123" i="10" s="1"/>
  <c r="L1123" i="10" l="1"/>
  <c r="P1123" i="10" s="1"/>
  <c r="M1124" i="10" s="1"/>
  <c r="O1123" i="10"/>
  <c r="K1124" i="10" s="1"/>
  <c r="Q1122" i="10"/>
  <c r="N1123" i="10" l="1"/>
  <c r="J1124" i="10" s="1"/>
  <c r="L1124" i="10" l="1"/>
  <c r="O1124" i="10"/>
  <c r="K1125" i="10" s="1"/>
  <c r="Q1123" i="10"/>
  <c r="P1124" i="10"/>
  <c r="M1125" i="10" s="1"/>
  <c r="N1124" i="10" l="1"/>
  <c r="J1125" i="10" s="1"/>
  <c r="L1125" i="10" l="1"/>
  <c r="P1125" i="10" s="1"/>
  <c r="M1126" i="10" s="1"/>
  <c r="O1125" i="10"/>
  <c r="K1126" i="10" s="1"/>
  <c r="Q1124" i="10"/>
  <c r="N1125" i="10" l="1"/>
  <c r="J1126" i="10" s="1"/>
  <c r="L1126" i="10" l="1"/>
  <c r="O1126" i="10"/>
  <c r="K1127" i="10" s="1"/>
  <c r="Q1125" i="10"/>
  <c r="P1126" i="10"/>
  <c r="M1127" i="10" s="1"/>
  <c r="N1126" i="10" l="1"/>
  <c r="J1127" i="10" s="1"/>
  <c r="L1127" i="10" l="1"/>
  <c r="P1127" i="10" s="1"/>
  <c r="M1128" i="10" s="1"/>
  <c r="O1127" i="10"/>
  <c r="K1128" i="10" s="1"/>
  <c r="Q1126" i="10"/>
  <c r="N1127" i="10" l="1"/>
  <c r="J1128" i="10" s="1"/>
  <c r="L1128" i="10" l="1"/>
  <c r="P1128" i="10" s="1"/>
  <c r="M1129" i="10" s="1"/>
  <c r="O1128" i="10"/>
  <c r="K1129" i="10" s="1"/>
  <c r="Q1127" i="10"/>
  <c r="N1128" i="10" l="1"/>
  <c r="J1129" i="10" s="1"/>
  <c r="L1129" i="10" l="1"/>
  <c r="O1129" i="10"/>
  <c r="K1130" i="10" s="1"/>
  <c r="P1129" i="10"/>
  <c r="M1130" i="10" s="1"/>
  <c r="Q1128" i="10"/>
  <c r="N1129" i="10" l="1"/>
  <c r="J1130" i="10" s="1"/>
  <c r="L1130" i="10" l="1"/>
  <c r="P1130" i="10" s="1"/>
  <c r="M1131" i="10" s="1"/>
  <c r="O1130" i="10"/>
  <c r="K1131" i="10" s="1"/>
  <c r="Q1129" i="10"/>
  <c r="N1130" i="10" l="1"/>
  <c r="J1131" i="10" s="1"/>
  <c r="L1131" i="10" l="1"/>
  <c r="O1131" i="10"/>
  <c r="K1132" i="10" s="1"/>
  <c r="Q1130" i="10"/>
  <c r="P1131" i="10"/>
  <c r="M1132" i="10" s="1"/>
  <c r="N1131" i="10" l="1"/>
  <c r="J1132" i="10" s="1"/>
  <c r="L1132" i="10" l="1"/>
  <c r="P1132" i="10" s="1"/>
  <c r="M1133" i="10" s="1"/>
  <c r="O1132" i="10"/>
  <c r="K1133" i="10" s="1"/>
  <c r="Q1131" i="10"/>
  <c r="N1132" i="10" l="1"/>
  <c r="J1133" i="10" s="1"/>
  <c r="L1133" i="10" l="1"/>
  <c r="P1133" i="10" s="1"/>
  <c r="M1134" i="10" s="1"/>
  <c r="O1133" i="10"/>
  <c r="K1134" i="10" s="1"/>
  <c r="Q1132" i="10"/>
  <c r="N1133" i="10" l="1"/>
  <c r="J1134" i="10" s="1"/>
  <c r="L1134" i="10" l="1"/>
  <c r="O1134" i="10"/>
  <c r="K1135" i="10" s="1"/>
  <c r="Q1133" i="10"/>
  <c r="P1134" i="10"/>
  <c r="M1135" i="10" s="1"/>
  <c r="N1134" i="10" l="1"/>
  <c r="J1135" i="10" s="1"/>
  <c r="L1135" i="10" l="1"/>
  <c r="P1135" i="10" s="1"/>
  <c r="M1136" i="10" s="1"/>
  <c r="O1135" i="10"/>
  <c r="K1136" i="10" s="1"/>
  <c r="Q1134" i="10"/>
  <c r="N1135" i="10" l="1"/>
  <c r="J1136" i="10" s="1"/>
  <c r="L1136" i="10" l="1"/>
  <c r="O1136" i="10"/>
  <c r="K1137" i="10" s="1"/>
  <c r="P1136" i="10"/>
  <c r="M1137" i="10" s="1"/>
  <c r="Q1135" i="10"/>
  <c r="N1136" i="10" l="1"/>
  <c r="J1137" i="10" s="1"/>
  <c r="L1137" i="10" l="1"/>
  <c r="P1137" i="10" s="1"/>
  <c r="M1138" i="10" s="1"/>
  <c r="O1137" i="10"/>
  <c r="K1138" i="10" s="1"/>
  <c r="Q1136" i="10"/>
  <c r="N1137" i="10" l="1"/>
  <c r="J1138" i="10" s="1"/>
  <c r="L1138" i="10" l="1"/>
  <c r="P1138" i="10" s="1"/>
  <c r="M1139" i="10" s="1"/>
  <c r="O1138" i="10"/>
  <c r="K1139" i="10" s="1"/>
  <c r="Q1137" i="10"/>
  <c r="N1138" i="10" l="1"/>
  <c r="J1139" i="10" s="1"/>
  <c r="L1139" i="10" l="1"/>
  <c r="P1139" i="10" s="1"/>
  <c r="M1140" i="10" s="1"/>
  <c r="O1139" i="10"/>
  <c r="K1140" i="10" s="1"/>
  <c r="Q1138" i="10"/>
  <c r="N1139" i="10" l="1"/>
  <c r="J1140" i="10" s="1"/>
  <c r="L1140" i="10" l="1"/>
  <c r="P1140" i="10" s="1"/>
  <c r="M1141" i="10" s="1"/>
  <c r="O1140" i="10"/>
  <c r="K1141" i="10" s="1"/>
  <c r="Q1139" i="10"/>
  <c r="N1140" i="10" l="1"/>
  <c r="J1141" i="10" s="1"/>
  <c r="L1141" i="10" l="1"/>
  <c r="P1141" i="10" s="1"/>
  <c r="M1142" i="10" s="1"/>
  <c r="Q1140" i="10"/>
  <c r="O1141" i="10"/>
  <c r="K1142" i="10" s="1"/>
  <c r="N1141" i="10" l="1"/>
  <c r="J1142" i="10" s="1"/>
  <c r="L1142" i="10" l="1"/>
  <c r="P1142" i="10" s="1"/>
  <c r="M1143" i="10" s="1"/>
  <c r="Q1141" i="10"/>
  <c r="O1142" i="10"/>
  <c r="K1143" i="10" s="1"/>
  <c r="N1142" i="10" l="1"/>
  <c r="J1143" i="10" s="1"/>
  <c r="L1143" i="10" l="1"/>
  <c r="O1143" i="10"/>
  <c r="K1144" i="10" s="1"/>
  <c r="P1143" i="10"/>
  <c r="M1144" i="10" s="1"/>
  <c r="Q1142" i="10"/>
  <c r="N1143" i="10" l="1"/>
  <c r="J1144" i="10" s="1"/>
  <c r="L1144" i="10" l="1"/>
  <c r="P1144" i="10" s="1"/>
  <c r="M1145" i="10" s="1"/>
  <c r="Q1143" i="10"/>
  <c r="O1144" i="10"/>
  <c r="K1145" i="10" s="1"/>
  <c r="N1144" i="10" l="1"/>
  <c r="J1145" i="10" s="1"/>
  <c r="L1145" i="10" l="1"/>
  <c r="P1145" i="10" s="1"/>
  <c r="M1146" i="10" s="1"/>
  <c r="O1145" i="10"/>
  <c r="K1146" i="10" s="1"/>
  <c r="Q1144" i="10"/>
  <c r="N1145" i="10" l="1"/>
  <c r="J1146" i="10" s="1"/>
  <c r="L1146" i="10" l="1"/>
  <c r="O1146" i="10"/>
  <c r="K1147" i="10" s="1"/>
  <c r="P1146" i="10"/>
  <c r="M1147" i="10" s="1"/>
  <c r="Q1145" i="10"/>
  <c r="N1146" i="10" l="1"/>
  <c r="J1147" i="10" s="1"/>
  <c r="L1147" i="10" l="1"/>
  <c r="P1147" i="10"/>
  <c r="M1148" i="10" s="1"/>
  <c r="O1147" i="10"/>
  <c r="K1148" i="10" s="1"/>
  <c r="Q1146" i="10"/>
  <c r="N1147" i="10" l="1"/>
  <c r="J1148" i="10" s="1"/>
  <c r="L1148" i="10" l="1"/>
  <c r="O1148" i="10"/>
  <c r="K1149" i="10" s="1"/>
  <c r="P1148" i="10"/>
  <c r="M1149" i="10" s="1"/>
  <c r="Q1147" i="10"/>
  <c r="N1148" i="10" l="1"/>
  <c r="J1149" i="10" s="1"/>
  <c r="L1149" i="10" l="1"/>
  <c r="Q1148" i="10"/>
  <c r="O1149" i="10"/>
  <c r="K1150" i="10" s="1"/>
  <c r="P1149" i="10"/>
  <c r="M1150" i="10" s="1"/>
  <c r="N1149" i="10" l="1"/>
  <c r="J1150" i="10" s="1"/>
  <c r="L1150" i="10" l="1"/>
  <c r="P1150" i="10" s="1"/>
  <c r="M1151" i="10" s="1"/>
  <c r="O1150" i="10"/>
  <c r="K1151" i="10" s="1"/>
  <c r="Q1149" i="10"/>
  <c r="N1150" i="10" l="1"/>
  <c r="J1151" i="10" s="1"/>
  <c r="L1151" i="10" l="1"/>
  <c r="P1151" i="10"/>
  <c r="M1152" i="10" s="1"/>
  <c r="Q1150" i="10"/>
  <c r="O1151" i="10"/>
  <c r="K1152" i="10" s="1"/>
  <c r="N1151" i="10" l="1"/>
  <c r="J1152" i="10" s="1"/>
  <c r="L1152" i="10" l="1"/>
  <c r="O1152" i="10"/>
  <c r="K1153" i="10" s="1"/>
  <c r="P1152" i="10"/>
  <c r="M1153" i="10" s="1"/>
  <c r="Q1151" i="10"/>
  <c r="N1152" i="10" l="1"/>
  <c r="J1153" i="10" s="1"/>
  <c r="L1153" i="10" l="1"/>
  <c r="O1153" i="10"/>
  <c r="K1154" i="10" s="1"/>
  <c r="Q1152" i="10"/>
  <c r="P1153" i="10"/>
  <c r="M1154" i="10" s="1"/>
  <c r="N1153" i="10" l="1"/>
  <c r="J1154" i="10" s="1"/>
  <c r="L1154" i="10" l="1"/>
  <c r="O1154" i="10"/>
  <c r="K1155" i="10" s="1"/>
  <c r="P1154" i="10"/>
  <c r="M1155" i="10" s="1"/>
  <c r="Q1153" i="10"/>
  <c r="N1154" i="10" l="1"/>
  <c r="J1155" i="10" s="1"/>
  <c r="L1155" i="10" l="1"/>
  <c r="O1155" i="10"/>
  <c r="K1156" i="10" s="1"/>
  <c r="P1155" i="10"/>
  <c r="M1156" i="10" s="1"/>
  <c r="Q1154" i="10"/>
  <c r="N1155" i="10" l="1"/>
  <c r="J1156" i="10" s="1"/>
  <c r="L1156" i="10" l="1"/>
  <c r="O1156" i="10"/>
  <c r="K1157" i="10" s="1"/>
  <c r="Q1155" i="10"/>
  <c r="P1156" i="10"/>
  <c r="M1157" i="10" s="1"/>
  <c r="N1156" i="10" l="1"/>
  <c r="J1157" i="10" s="1"/>
  <c r="L1157" i="10" l="1"/>
  <c r="O1157" i="10"/>
  <c r="K1158" i="10" s="1"/>
  <c r="P1157" i="10"/>
  <c r="M1158" i="10" s="1"/>
  <c r="Q1156" i="10"/>
  <c r="N1157" i="10" l="1"/>
  <c r="J1158" i="10" s="1"/>
  <c r="L1158" i="10" l="1"/>
  <c r="O1158" i="10"/>
  <c r="K1159" i="10" s="1"/>
  <c r="Q1157" i="10"/>
  <c r="P1158" i="10"/>
  <c r="M1159" i="10" s="1"/>
  <c r="N1158" i="10" l="1"/>
  <c r="J1159" i="10" s="1"/>
  <c r="L1159" i="10" l="1"/>
  <c r="O1159" i="10"/>
  <c r="K1160" i="10" s="1"/>
  <c r="Q1158" i="10"/>
  <c r="P1159" i="10"/>
  <c r="M1160" i="10" s="1"/>
  <c r="N1159" i="10" l="1"/>
  <c r="J1160" i="10" s="1"/>
  <c r="L1160" i="10" l="1"/>
  <c r="O1160" i="10"/>
  <c r="K1161" i="10" s="1"/>
  <c r="P1160" i="10"/>
  <c r="M1161" i="10" s="1"/>
  <c r="Q1159" i="10"/>
  <c r="N1160" i="10" l="1"/>
  <c r="J1161" i="10" s="1"/>
  <c r="L1161" i="10" l="1"/>
  <c r="O1161" i="10"/>
  <c r="K1162" i="10" s="1"/>
  <c r="Q1160" i="10"/>
  <c r="P1161" i="10"/>
  <c r="M1162" i="10" s="1"/>
  <c r="N1161" i="10" l="1"/>
  <c r="J1162" i="10" s="1"/>
  <c r="L1162" i="10" l="1"/>
  <c r="O1162" i="10"/>
  <c r="K1163" i="10" s="1"/>
  <c r="Q1161" i="10"/>
  <c r="P1162" i="10"/>
  <c r="M1163" i="10" s="1"/>
  <c r="N1162" i="10" l="1"/>
  <c r="J1163" i="10" s="1"/>
  <c r="L1163" i="10" l="1"/>
  <c r="O1163" i="10"/>
  <c r="K1164" i="10" s="1"/>
  <c r="P1163" i="10"/>
  <c r="M1164" i="10" s="1"/>
  <c r="Q1162" i="10"/>
  <c r="N1163" i="10" l="1"/>
  <c r="J1164" i="10" s="1"/>
  <c r="L1164" i="10" l="1"/>
  <c r="O1164" i="10"/>
  <c r="K1165" i="10" s="1"/>
  <c r="Q1163" i="10"/>
  <c r="P1164" i="10"/>
  <c r="M1165" i="10" s="1"/>
  <c r="N1164" i="10" l="1"/>
  <c r="J1165" i="10" s="1"/>
  <c r="L1165" i="10" l="1"/>
  <c r="P1165" i="10" s="1"/>
  <c r="M1166" i="10" s="1"/>
  <c r="O1165" i="10"/>
  <c r="K1166" i="10" s="1"/>
  <c r="Q1164" i="10"/>
  <c r="N1165" i="10" l="1"/>
  <c r="J1166" i="10" s="1"/>
  <c r="L1166" i="10" l="1"/>
  <c r="O1166" i="10"/>
  <c r="K1167" i="10" s="1"/>
  <c r="Q1165" i="10"/>
  <c r="P1166" i="10"/>
  <c r="M1167" i="10" s="1"/>
  <c r="N1166" i="10" l="1"/>
  <c r="J1167" i="10" s="1"/>
  <c r="L1167" i="10" l="1"/>
  <c r="P1167" i="10" s="1"/>
  <c r="M1168" i="10" s="1"/>
  <c r="O1167" i="10"/>
  <c r="K1168" i="10" s="1"/>
  <c r="Q1166" i="10"/>
  <c r="N1167" i="10" l="1"/>
  <c r="J1168" i="10" s="1"/>
  <c r="L1168" i="10" l="1"/>
  <c r="P1168" i="10" s="1"/>
  <c r="M1169" i="10" s="1"/>
  <c r="O1168" i="10"/>
  <c r="K1169" i="10" s="1"/>
  <c r="Q1167" i="10"/>
  <c r="N1168" i="10" l="1"/>
  <c r="J1169" i="10" s="1"/>
  <c r="L1169" i="10" l="1"/>
  <c r="O1169" i="10"/>
  <c r="K1170" i="10" s="1"/>
  <c r="Q1168" i="10"/>
  <c r="P1169" i="10"/>
  <c r="M1170" i="10" s="1"/>
  <c r="N1169" i="10" l="1"/>
  <c r="J1170" i="10" s="1"/>
  <c r="L1170" i="10" l="1"/>
  <c r="O1170" i="10"/>
  <c r="K1171" i="10" s="1"/>
  <c r="P1170" i="10"/>
  <c r="M1171" i="10" s="1"/>
  <c r="Q1169" i="10"/>
  <c r="N1170" i="10" l="1"/>
  <c r="J1171" i="10" s="1"/>
  <c r="L1171" i="10" l="1"/>
  <c r="O1171" i="10"/>
  <c r="K1172" i="10" s="1"/>
  <c r="P1171" i="10"/>
  <c r="M1172" i="10" s="1"/>
  <c r="Q1170" i="10"/>
  <c r="N1171" i="10" l="1"/>
  <c r="J1172" i="10" s="1"/>
  <c r="L1172" i="10" l="1"/>
  <c r="O1172" i="10"/>
  <c r="K1173" i="10" s="1"/>
  <c r="Q1171" i="10"/>
  <c r="P1172" i="10"/>
  <c r="M1173" i="10" s="1"/>
  <c r="N1172" i="10" l="1"/>
  <c r="J1173" i="10" s="1"/>
  <c r="L1173" i="10" l="1"/>
  <c r="P1173" i="10" s="1"/>
  <c r="M1174" i="10" s="1"/>
  <c r="O1173" i="10"/>
  <c r="K1174" i="10" s="1"/>
  <c r="Q1172" i="10"/>
  <c r="N1173" i="10" l="1"/>
  <c r="J1174" i="10" s="1"/>
  <c r="L1174" i="10" l="1"/>
  <c r="P1174" i="10" s="1"/>
  <c r="M1175" i="10" s="1"/>
  <c r="O1174" i="10"/>
  <c r="K1175" i="10" s="1"/>
  <c r="Q1173" i="10"/>
  <c r="N1174" i="10" l="1"/>
  <c r="J1175" i="10" s="1"/>
  <c r="L1175" i="10" l="1"/>
  <c r="P1175" i="10" s="1"/>
  <c r="M1176" i="10" s="1"/>
  <c r="O1175" i="10"/>
  <c r="K1176" i="10" s="1"/>
  <c r="Q1174" i="10"/>
  <c r="N1175" i="10" l="1"/>
  <c r="J1176" i="10" s="1"/>
  <c r="L1176" i="10" l="1"/>
  <c r="P1176" i="10" s="1"/>
  <c r="M1177" i="10" s="1"/>
  <c r="O1176" i="10"/>
  <c r="K1177" i="10" s="1"/>
  <c r="Q1175" i="10"/>
  <c r="N1176" i="10" l="1"/>
  <c r="J1177" i="10" s="1"/>
  <c r="L1177" i="10" l="1"/>
  <c r="P1177" i="10" s="1"/>
  <c r="M1178" i="10" s="1"/>
  <c r="O1177" i="10"/>
  <c r="K1178" i="10" s="1"/>
  <c r="Q1176" i="10"/>
  <c r="N1177" i="10" l="1"/>
  <c r="J1178" i="10" s="1"/>
  <c r="L1178" i="10" l="1"/>
  <c r="P1178" i="10" s="1"/>
  <c r="M1179" i="10" s="1"/>
  <c r="O1178" i="10"/>
  <c r="K1179" i="10" s="1"/>
  <c r="Q1177" i="10"/>
  <c r="N1178" i="10" l="1"/>
  <c r="J1179" i="10" s="1"/>
  <c r="L1179" i="10" l="1"/>
  <c r="P1179" i="10" s="1"/>
  <c r="M1180" i="10" s="1"/>
  <c r="O1179" i="10"/>
  <c r="K1180" i="10" s="1"/>
  <c r="Q1178" i="10"/>
  <c r="N1179" i="10" l="1"/>
  <c r="J1180" i="10" s="1"/>
  <c r="L1180" i="10" l="1"/>
  <c r="O1180" i="10"/>
  <c r="K1181" i="10" s="1"/>
  <c r="Q1179" i="10"/>
  <c r="P1180" i="10"/>
  <c r="M1181" i="10" s="1"/>
  <c r="N1180" i="10" l="1"/>
  <c r="J1181" i="10" s="1"/>
  <c r="L1181" i="10" l="1"/>
  <c r="O1181" i="10"/>
  <c r="K1182" i="10" s="1"/>
  <c r="P1181" i="10"/>
  <c r="M1182" i="10" s="1"/>
  <c r="Q1180" i="10"/>
  <c r="N1181" i="10" l="1"/>
  <c r="J1182" i="10" s="1"/>
  <c r="L1182" i="10" l="1"/>
  <c r="P1182" i="10"/>
  <c r="M1183" i="10" s="1"/>
  <c r="Q1181" i="10"/>
  <c r="O1182" i="10"/>
  <c r="K1183" i="10" s="1"/>
  <c r="N1182" i="10" l="1"/>
  <c r="J1183" i="10" s="1"/>
  <c r="L1183" i="10" l="1"/>
  <c r="O1183" i="10"/>
  <c r="K1184" i="10" s="1"/>
  <c r="P1183" i="10"/>
  <c r="M1184" i="10" s="1"/>
  <c r="Q1182" i="10"/>
  <c r="N1183" i="10" l="1"/>
  <c r="J1184" i="10" s="1"/>
  <c r="L1184" i="10" l="1"/>
  <c r="O1184" i="10"/>
  <c r="K1185" i="10" s="1"/>
  <c r="P1184" i="10"/>
  <c r="M1185" i="10" s="1"/>
  <c r="Q1183" i="10"/>
  <c r="N1184" i="10" l="1"/>
  <c r="J1185" i="10" s="1"/>
  <c r="L1185" i="10" l="1"/>
  <c r="P1185" i="10" s="1"/>
  <c r="M1186" i="10" s="1"/>
  <c r="O1185" i="10"/>
  <c r="K1186" i="10" s="1"/>
  <c r="Q1184" i="10"/>
  <c r="N1185" i="10" l="1"/>
  <c r="J1186" i="10" s="1"/>
  <c r="L1186" i="10" l="1"/>
  <c r="O1186" i="10"/>
  <c r="K1187" i="10" s="1"/>
  <c r="P1186" i="10"/>
  <c r="M1187" i="10" s="1"/>
  <c r="Q1185" i="10"/>
  <c r="N1186" i="10" l="1"/>
  <c r="J1187" i="10" s="1"/>
  <c r="L1187" i="10" l="1"/>
  <c r="P1187" i="10" s="1"/>
  <c r="M1188" i="10" s="1"/>
  <c r="Q1186" i="10"/>
  <c r="O1187" i="10"/>
  <c r="K1188" i="10" s="1"/>
  <c r="N1187" i="10" l="1"/>
  <c r="J1188" i="10" s="1"/>
  <c r="L1188" i="10" l="1"/>
  <c r="P1188" i="10" s="1"/>
  <c r="M1189" i="10" s="1"/>
  <c r="Q1187" i="10"/>
  <c r="O1188" i="10"/>
  <c r="K1189" i="10" s="1"/>
  <c r="N1188" i="10" l="1"/>
  <c r="J1189" i="10" s="1"/>
  <c r="L1189" i="10" l="1"/>
  <c r="P1189" i="10" s="1"/>
  <c r="M1190" i="10" s="1"/>
  <c r="O1189" i="10"/>
  <c r="K1190" i="10" s="1"/>
  <c r="Q1188" i="10"/>
  <c r="N1189" i="10" l="1"/>
  <c r="J1190" i="10" s="1"/>
  <c r="L1190" i="10" l="1"/>
  <c r="O1190" i="10"/>
  <c r="K1191" i="10" s="1"/>
  <c r="P1190" i="10"/>
  <c r="M1191" i="10" s="1"/>
  <c r="Q1189" i="10"/>
  <c r="N1190" i="10" l="1"/>
  <c r="J1191" i="10" s="1"/>
  <c r="L1191" i="10" l="1"/>
  <c r="O1191" i="10"/>
  <c r="K1192" i="10" s="1"/>
  <c r="P1191" i="10"/>
  <c r="M1192" i="10" s="1"/>
  <c r="Q1190" i="10"/>
  <c r="N1191" i="10" l="1"/>
  <c r="J1192" i="10" s="1"/>
  <c r="L1192" i="10" l="1"/>
  <c r="O1192" i="10"/>
  <c r="K1193" i="10" s="1"/>
  <c r="P1192" i="10"/>
  <c r="M1193" i="10" s="1"/>
  <c r="Q1191" i="10"/>
  <c r="N1192" i="10" l="1"/>
  <c r="J1193" i="10" s="1"/>
  <c r="L1193" i="10" l="1"/>
  <c r="Q1192" i="10"/>
  <c r="O1193" i="10"/>
  <c r="K1194" i="10" s="1"/>
  <c r="P1193" i="10"/>
  <c r="M1194" i="10" s="1"/>
  <c r="N1193" i="10" l="1"/>
  <c r="J1194" i="10" s="1"/>
  <c r="L1194" i="10" l="1"/>
  <c r="P1194" i="10"/>
  <c r="M1195" i="10" s="1"/>
  <c r="O1194" i="10"/>
  <c r="K1195" i="10" s="1"/>
  <c r="Q1193" i="10"/>
  <c r="N1194" i="10" l="1"/>
  <c r="J1195" i="10" s="1"/>
  <c r="L1195" i="10" l="1"/>
  <c r="P1195" i="10"/>
  <c r="M1196" i="10" s="1"/>
  <c r="Q1194" i="10"/>
  <c r="O1195" i="10"/>
  <c r="K1196" i="10" s="1"/>
  <c r="N1195" i="10" l="1"/>
  <c r="J1196" i="10" s="1"/>
  <c r="L1196" i="10" l="1"/>
  <c r="O1196" i="10"/>
  <c r="K1197" i="10" s="1"/>
  <c r="P1196" i="10"/>
  <c r="M1197" i="10" s="1"/>
  <c r="Q1195" i="10"/>
  <c r="N1196" i="10" l="1"/>
  <c r="J1197" i="10" s="1"/>
  <c r="L1197" i="10" l="1"/>
  <c r="O1197" i="10"/>
  <c r="K1198" i="10" s="1"/>
  <c r="Q1196" i="10"/>
  <c r="P1197" i="10"/>
  <c r="M1198" i="10" s="1"/>
  <c r="N1197" i="10" l="1"/>
  <c r="J1198" i="10" s="1"/>
  <c r="L1198" i="10" l="1"/>
  <c r="P1198" i="10" s="1"/>
  <c r="M1199" i="10" s="1"/>
  <c r="O1198" i="10"/>
  <c r="K1199" i="10" s="1"/>
  <c r="Q1197" i="10"/>
  <c r="N1198" i="10" l="1"/>
  <c r="J1199" i="10" s="1"/>
  <c r="L1199" i="10" l="1"/>
  <c r="P1199" i="10" s="1"/>
  <c r="M1200" i="10" s="1"/>
  <c r="Q1198" i="10"/>
  <c r="O1199" i="10"/>
  <c r="K1200" i="10" s="1"/>
  <c r="N1199" i="10" l="1"/>
  <c r="J1200" i="10" s="1"/>
  <c r="L1200" i="10" l="1"/>
  <c r="P1200" i="10"/>
  <c r="M1201" i="10" s="1"/>
  <c r="Q1199" i="10"/>
  <c r="O1200" i="10"/>
  <c r="K1201" i="10" s="1"/>
  <c r="N1200" i="10" l="1"/>
  <c r="J1201" i="10" s="1"/>
  <c r="L1201" i="10" l="1"/>
  <c r="P1201" i="10"/>
  <c r="M1202" i="10" s="1"/>
  <c r="Q1200" i="10"/>
  <c r="O1201" i="10"/>
  <c r="K1202" i="10" s="1"/>
  <c r="N1201" i="10" l="1"/>
  <c r="J1202" i="10" s="1"/>
  <c r="L1202" i="10" l="1"/>
  <c r="O1202" i="10"/>
  <c r="K1203" i="10" s="1"/>
  <c r="P1202" i="10"/>
  <c r="M1203" i="10" s="1"/>
  <c r="Q1201" i="10"/>
  <c r="N1202" i="10" l="1"/>
  <c r="J1203" i="10" s="1"/>
  <c r="L1203" i="10" l="1"/>
  <c r="O1203" i="10"/>
  <c r="K1204" i="10" s="1"/>
  <c r="Q1202" i="10"/>
  <c r="P1203" i="10"/>
  <c r="M1204" i="10" s="1"/>
  <c r="N1203" i="10" l="1"/>
  <c r="J1204" i="10" s="1"/>
  <c r="L1204" i="10" l="1"/>
  <c r="P1204" i="10"/>
  <c r="M1205" i="10" s="1"/>
  <c r="Q1203" i="10"/>
  <c r="O1204" i="10"/>
  <c r="K1205" i="10" s="1"/>
  <c r="N1204" i="10" l="1"/>
  <c r="J1205" i="10" s="1"/>
  <c r="L1205" i="10" l="1"/>
  <c r="O1205" i="10"/>
  <c r="K1206" i="10" s="1"/>
  <c r="Q1204" i="10"/>
  <c r="P1205" i="10"/>
  <c r="M1206" i="10" s="1"/>
  <c r="N1205" i="10" l="1"/>
  <c r="J1206" i="10" s="1"/>
  <c r="L1206" i="10" l="1"/>
  <c r="Q1205" i="10"/>
  <c r="O1206" i="10"/>
  <c r="K1207" i="10" s="1"/>
  <c r="P1206" i="10"/>
  <c r="M1207" i="10" s="1"/>
  <c r="N1206" i="10" l="1"/>
  <c r="J1207" i="10" s="1"/>
  <c r="L1207" i="10" l="1"/>
  <c r="P1207" i="10" s="1"/>
  <c r="M1208" i="10" s="1"/>
  <c r="Q1206" i="10"/>
  <c r="O1207" i="10"/>
  <c r="K1208" i="10" s="1"/>
  <c r="N1207" i="10" l="1"/>
  <c r="J1208" i="10" s="1"/>
  <c r="L1208" i="10" l="1"/>
  <c r="O1208" i="10"/>
  <c r="K1209" i="10" s="1"/>
  <c r="P1208" i="10"/>
  <c r="M1209" i="10" s="1"/>
  <c r="Q1207" i="10"/>
  <c r="N1208" i="10" l="1"/>
  <c r="J1209" i="10" s="1"/>
  <c r="L1209" i="10" l="1"/>
  <c r="O1209" i="10"/>
  <c r="K1210" i="10" s="1"/>
  <c r="P1209" i="10"/>
  <c r="M1210" i="10" s="1"/>
  <c r="Q1208" i="10"/>
  <c r="N1209" i="10" l="1"/>
  <c r="J1210" i="10" s="1"/>
  <c r="L1210" i="10" l="1"/>
  <c r="O1210" i="10"/>
  <c r="K1211" i="10" s="1"/>
  <c r="Q1209" i="10"/>
  <c r="P1210" i="10"/>
  <c r="M1211" i="10" s="1"/>
  <c r="N1210" i="10" l="1"/>
  <c r="J1211" i="10" s="1"/>
  <c r="L1211" i="10" l="1"/>
  <c r="O1211" i="10"/>
  <c r="K1212" i="10" s="1"/>
  <c r="Q1210" i="10"/>
  <c r="P1211" i="10"/>
  <c r="M1212" i="10" s="1"/>
  <c r="N1211" i="10" l="1"/>
  <c r="J1212" i="10" s="1"/>
  <c r="L1212" i="10" l="1"/>
  <c r="O1212" i="10"/>
  <c r="K1213" i="10" s="1"/>
  <c r="Q1211" i="10"/>
  <c r="P1212" i="10"/>
  <c r="M1213" i="10" s="1"/>
  <c r="N1212" i="10" l="1"/>
  <c r="J1213" i="10" s="1"/>
  <c r="L1213" i="10" l="1"/>
  <c r="Q1212" i="10"/>
  <c r="O1213" i="10"/>
  <c r="K1214" i="10" s="1"/>
  <c r="P1213" i="10"/>
  <c r="M1214" i="10" s="1"/>
  <c r="N1213" i="10" l="1"/>
  <c r="J1214" i="10" s="1"/>
  <c r="L1214" i="10" l="1"/>
  <c r="Q1213" i="10"/>
  <c r="O1214" i="10"/>
  <c r="K1215" i="10" s="1"/>
  <c r="P1214" i="10"/>
  <c r="M1215" i="10" s="1"/>
  <c r="N1214" i="10" l="1"/>
  <c r="J1215" i="10" s="1"/>
  <c r="L1215" i="10" l="1"/>
  <c r="O1215" i="10"/>
  <c r="K1216" i="10" s="1"/>
  <c r="Q1214" i="10"/>
  <c r="P1215" i="10"/>
  <c r="M1216" i="10" s="1"/>
  <c r="N1215" i="10" l="1"/>
  <c r="J1216" i="10" s="1"/>
  <c r="L1216" i="10" l="1"/>
  <c r="O1216" i="10"/>
  <c r="K1217" i="10" s="1"/>
  <c r="Q1215" i="10"/>
  <c r="P1216" i="10"/>
  <c r="M1217" i="10" s="1"/>
  <c r="N1216" i="10" l="1"/>
  <c r="J1217" i="10" s="1"/>
  <c r="L1217" i="10" l="1"/>
  <c r="O1217" i="10"/>
  <c r="K1218" i="10" s="1"/>
  <c r="P1217" i="10"/>
  <c r="M1218" i="10" s="1"/>
  <c r="Q1216" i="10"/>
  <c r="N1217" i="10" l="1"/>
  <c r="J1218" i="10" s="1"/>
  <c r="L1218" i="10" l="1"/>
  <c r="Q1217" i="10"/>
  <c r="O1218" i="10"/>
  <c r="K1219" i="10" s="1"/>
  <c r="P1218" i="10"/>
  <c r="M1219" i="10" s="1"/>
  <c r="N1218" i="10" l="1"/>
  <c r="J1219" i="10" s="1"/>
  <c r="L1219" i="10" l="1"/>
  <c r="P1219" i="10" s="1"/>
  <c r="M1220" i="10" s="1"/>
  <c r="O1219" i="10"/>
  <c r="K1220" i="10" s="1"/>
  <c r="Q1218" i="10"/>
  <c r="N1219" i="10" l="1"/>
  <c r="J1220" i="10" s="1"/>
  <c r="L1220" i="10" l="1"/>
  <c r="O1220" i="10"/>
  <c r="K1221" i="10" s="1"/>
  <c r="Q1219" i="10"/>
  <c r="P1220" i="10"/>
  <c r="M1221" i="10" s="1"/>
  <c r="N1220" i="10" l="1"/>
  <c r="J1221" i="10" s="1"/>
  <c r="L1221" i="10" l="1"/>
  <c r="O1221" i="10"/>
  <c r="K1222" i="10" s="1"/>
  <c r="P1221" i="10"/>
  <c r="M1222" i="10" s="1"/>
  <c r="Q1220" i="10"/>
  <c r="N1221" i="10" l="1"/>
  <c r="J1222" i="10" s="1"/>
  <c r="L1222" i="10" l="1"/>
  <c r="O1222" i="10"/>
  <c r="K1223" i="10" s="1"/>
  <c r="P1222" i="10"/>
  <c r="M1223" i="10" s="1"/>
  <c r="Q1221" i="10"/>
  <c r="N1222" i="10" l="1"/>
  <c r="J1223" i="10" s="1"/>
  <c r="L1223" i="10" l="1"/>
  <c r="O1223" i="10"/>
  <c r="K1224" i="10" s="1"/>
  <c r="Q1222" i="10"/>
  <c r="P1223" i="10"/>
  <c r="M1224" i="10" s="1"/>
  <c r="N1223" i="10" l="1"/>
  <c r="J1224" i="10" s="1"/>
  <c r="L1224" i="10" l="1"/>
  <c r="O1224" i="10"/>
  <c r="K1225" i="10" s="1"/>
  <c r="Q1223" i="10"/>
  <c r="P1224" i="10"/>
  <c r="M1225" i="10" s="1"/>
  <c r="N1224" i="10" l="1"/>
  <c r="J1225" i="10" s="1"/>
  <c r="L1225" i="10" l="1"/>
  <c r="O1225" i="10"/>
  <c r="K1226" i="10" s="1"/>
  <c r="Q1224" i="10"/>
  <c r="P1225" i="10"/>
  <c r="M1226" i="10" s="1"/>
  <c r="N1225" i="10" l="1"/>
  <c r="J1226" i="10" s="1"/>
  <c r="L1226" i="10" l="1"/>
  <c r="O1226" i="10"/>
  <c r="K1227" i="10" s="1"/>
  <c r="P1226" i="10"/>
  <c r="M1227" i="10" s="1"/>
  <c r="Q1225" i="10"/>
  <c r="N1226" i="10" l="1"/>
  <c r="J1227" i="10" s="1"/>
  <c r="L1227" i="10" l="1"/>
  <c r="Q1226" i="10"/>
  <c r="O1227" i="10"/>
  <c r="K1228" i="10" s="1"/>
  <c r="P1227" i="10"/>
  <c r="M1228" i="10" s="1"/>
  <c r="N1227" i="10" l="1"/>
  <c r="J1228" i="10" s="1"/>
  <c r="L1228" i="10" l="1"/>
  <c r="O1228" i="10"/>
  <c r="K1229" i="10" s="1"/>
  <c r="P1228" i="10"/>
  <c r="M1229" i="10" s="1"/>
  <c r="Q1227" i="10"/>
  <c r="N1228" i="10" l="1"/>
  <c r="J1229" i="10" s="1"/>
  <c r="L1229" i="10" l="1"/>
  <c r="O1229" i="10"/>
  <c r="K1230" i="10" s="1"/>
  <c r="Q1228" i="10"/>
  <c r="P1229" i="10"/>
  <c r="M1230" i="10" s="1"/>
  <c r="N1229" i="10" l="1"/>
  <c r="J1230" i="10" s="1"/>
  <c r="L1230" i="10" l="1"/>
  <c r="P1230" i="10" s="1"/>
  <c r="M1231" i="10" s="1"/>
  <c r="O1230" i="10"/>
  <c r="K1231" i="10" s="1"/>
  <c r="Q1229" i="10"/>
  <c r="N1230" i="10" l="1"/>
  <c r="J1231" i="10" s="1"/>
  <c r="L1231" i="10" l="1"/>
  <c r="O1231" i="10"/>
  <c r="K1232" i="10" s="1"/>
  <c r="P1231" i="10"/>
  <c r="M1232" i="10" s="1"/>
  <c r="Q1230" i="10"/>
  <c r="N1231" i="10" l="1"/>
  <c r="J1232" i="10" s="1"/>
  <c r="L1232" i="10" l="1"/>
  <c r="O1232" i="10"/>
  <c r="K1233" i="10" s="1"/>
  <c r="P1232" i="10"/>
  <c r="M1233" i="10" s="1"/>
  <c r="Q1231" i="10"/>
  <c r="N1232" i="10" l="1"/>
  <c r="J1233" i="10" s="1"/>
  <c r="L1233" i="10" l="1"/>
  <c r="P1233" i="10" s="1"/>
  <c r="M1234" i="10" s="1"/>
  <c r="O1233" i="10"/>
  <c r="K1234" i="10" s="1"/>
  <c r="Q1232" i="10"/>
  <c r="N1233" i="10" l="1"/>
  <c r="J1234" i="10" s="1"/>
  <c r="L1234" i="10" l="1"/>
  <c r="Q1233" i="10"/>
  <c r="O1234" i="10"/>
  <c r="K1235" i="10" s="1"/>
  <c r="P1234" i="10"/>
  <c r="M1235" i="10" s="1"/>
  <c r="N1234" i="10" l="1"/>
  <c r="J1235" i="10" s="1"/>
  <c r="L1235" i="10" l="1"/>
  <c r="O1235" i="10"/>
  <c r="K1236" i="10" s="1"/>
  <c r="P1235" i="10"/>
  <c r="M1236" i="10" s="1"/>
  <c r="Q1234" i="10"/>
  <c r="N1235" i="10" l="1"/>
  <c r="J1236" i="10" s="1"/>
  <c r="L1236" i="10" l="1"/>
  <c r="O1236" i="10"/>
  <c r="K1237" i="10" s="1"/>
  <c r="P1236" i="10"/>
  <c r="M1237" i="10" s="1"/>
  <c r="Q1235" i="10"/>
  <c r="N1236" i="10" l="1"/>
  <c r="J1237" i="10" s="1"/>
  <c r="L1237" i="10" l="1"/>
  <c r="P1237" i="10" s="1"/>
  <c r="M1238" i="10" s="1"/>
  <c r="Q1236" i="10"/>
  <c r="O1237" i="10"/>
  <c r="K1238" i="10" s="1"/>
  <c r="N1237" i="10" l="1"/>
  <c r="J1238" i="10" s="1"/>
  <c r="L1238" i="10" l="1"/>
  <c r="O1238" i="10"/>
  <c r="K1239" i="10" s="1"/>
  <c r="P1238" i="10"/>
  <c r="M1239" i="10" s="1"/>
  <c r="Q1237" i="10"/>
  <c r="N1238" i="10" l="1"/>
  <c r="J1239" i="10" s="1"/>
  <c r="L1239" i="10" l="1"/>
  <c r="O1239" i="10"/>
  <c r="K1240" i="10" s="1"/>
  <c r="P1239" i="10"/>
  <c r="M1240" i="10" s="1"/>
  <c r="Q1238" i="10"/>
  <c r="N1239" i="10" l="1"/>
  <c r="J1240" i="10" s="1"/>
  <c r="L1240" i="10" l="1"/>
  <c r="P1240" i="10" s="1"/>
  <c r="M1241" i="10" s="1"/>
  <c r="O1240" i="10"/>
  <c r="K1241" i="10" s="1"/>
  <c r="Q1239" i="10"/>
  <c r="N1240" i="10" l="1"/>
  <c r="J1241" i="10" s="1"/>
  <c r="L1241" i="10" l="1"/>
  <c r="O1241" i="10"/>
  <c r="K1242" i="10" s="1"/>
  <c r="Q1240" i="10"/>
  <c r="P1241" i="10"/>
  <c r="M1242" i="10" s="1"/>
  <c r="N1241" i="10" l="1"/>
  <c r="J1242" i="10" s="1"/>
  <c r="L1242" i="10" l="1"/>
  <c r="O1242" i="10"/>
  <c r="K1243" i="10" s="1"/>
  <c r="Q1241" i="10"/>
  <c r="P1242" i="10"/>
  <c r="M1243" i="10" s="1"/>
  <c r="N1242" i="10" l="1"/>
  <c r="J1243" i="10" s="1"/>
  <c r="L1243" i="10" l="1"/>
  <c r="P1243" i="10" s="1"/>
  <c r="M1244" i="10" s="1"/>
  <c r="O1243" i="10"/>
  <c r="K1244" i="10" s="1"/>
  <c r="Q1242" i="10"/>
  <c r="N1243" i="10" l="1"/>
  <c r="J1244" i="10" s="1"/>
  <c r="L1244" i="10" l="1"/>
  <c r="P1244" i="10" s="1"/>
  <c r="M1245" i="10" s="1"/>
  <c r="O1244" i="10"/>
  <c r="K1245" i="10" s="1"/>
  <c r="Q1243" i="10"/>
  <c r="N1244" i="10" l="1"/>
  <c r="J1245" i="10" s="1"/>
  <c r="L1245" i="10" l="1"/>
  <c r="O1245" i="10"/>
  <c r="K1246" i="10" s="1"/>
  <c r="P1245" i="10"/>
  <c r="M1246" i="10" s="1"/>
  <c r="Q1244" i="10"/>
  <c r="N1245" i="10" l="1"/>
  <c r="J1246" i="10" s="1"/>
  <c r="L1246" i="10" l="1"/>
  <c r="O1246" i="10"/>
  <c r="K1247" i="10" s="1"/>
  <c r="P1246" i="10"/>
  <c r="M1247" i="10" s="1"/>
  <c r="Q1245" i="10"/>
  <c r="N1246" i="10" l="1"/>
  <c r="J1247" i="10" s="1"/>
  <c r="L1247" i="10" l="1"/>
  <c r="P1247" i="10" s="1"/>
  <c r="M1248" i="10" s="1"/>
  <c r="O1247" i="10"/>
  <c r="K1248" i="10" s="1"/>
  <c r="Q1246" i="10"/>
  <c r="N1247" i="10" l="1"/>
  <c r="J1248" i="10" s="1"/>
  <c r="L1248" i="10" l="1"/>
  <c r="Q1247" i="10"/>
  <c r="O1248" i="10"/>
  <c r="K1249" i="10" s="1"/>
  <c r="P1248" i="10"/>
  <c r="M1249" i="10" s="1"/>
  <c r="N1248" i="10" l="1"/>
  <c r="J1249" i="10" s="1"/>
  <c r="L1249" i="10" l="1"/>
  <c r="P1249" i="10" s="1"/>
  <c r="M1250" i="10" s="1"/>
  <c r="O1249" i="10"/>
  <c r="K1250" i="10" s="1"/>
  <c r="Q1248" i="10"/>
  <c r="N1249" i="10" l="1"/>
  <c r="J1250" i="10" s="1"/>
  <c r="L1250" i="10" l="1"/>
  <c r="P1250" i="10" s="1"/>
  <c r="M1251" i="10" s="1"/>
  <c r="Q1249" i="10"/>
  <c r="O1250" i="10"/>
  <c r="K1251" i="10" s="1"/>
  <c r="N1250" i="10" l="1"/>
  <c r="J1251" i="10" s="1"/>
  <c r="L1251" i="10" l="1"/>
  <c r="P1251" i="10" s="1"/>
  <c r="M1252" i="10" s="1"/>
  <c r="O1251" i="10"/>
  <c r="K1252" i="10" s="1"/>
  <c r="Q1250" i="10"/>
  <c r="N1251" i="10" l="1"/>
  <c r="J1252" i="10" s="1"/>
  <c r="L1252" i="10" l="1"/>
  <c r="O1252" i="10"/>
  <c r="K1253" i="10" s="1"/>
  <c r="P1252" i="10"/>
  <c r="M1253" i="10" s="1"/>
  <c r="Q1251" i="10"/>
  <c r="N1252" i="10" l="1"/>
  <c r="J1253" i="10" s="1"/>
  <c r="L1253" i="10" l="1"/>
  <c r="O1253" i="10"/>
  <c r="K1254" i="10" s="1"/>
  <c r="Q1252" i="10"/>
  <c r="P1253" i="10"/>
  <c r="M1254" i="10" s="1"/>
  <c r="N1253" i="10" l="1"/>
  <c r="J1254" i="10" s="1"/>
  <c r="L1254" i="10" l="1"/>
  <c r="P1254" i="10" s="1"/>
  <c r="M1255" i="10" s="1"/>
  <c r="Q1253" i="10"/>
  <c r="O1254" i="10"/>
  <c r="K1255" i="10" s="1"/>
  <c r="N1254" i="10" l="1"/>
  <c r="J1255" i="10" s="1"/>
  <c r="L1255" i="10" l="1"/>
  <c r="P1255" i="10" s="1"/>
  <c r="M1256" i="10" s="1"/>
  <c r="O1255" i="10"/>
  <c r="K1256" i="10" s="1"/>
  <c r="Q1254" i="10"/>
  <c r="N1255" i="10" l="1"/>
  <c r="J1256" i="10" s="1"/>
  <c r="L1256" i="10" l="1"/>
  <c r="O1256" i="10"/>
  <c r="K1257" i="10" s="1"/>
  <c r="Q1255" i="10"/>
  <c r="P1256" i="10"/>
  <c r="M1257" i="10" s="1"/>
  <c r="N1256" i="10" l="1"/>
  <c r="J1257" i="10" s="1"/>
  <c r="L1257" i="10" l="1"/>
  <c r="P1257" i="10" s="1"/>
  <c r="M1258" i="10" s="1"/>
  <c r="O1257" i="10"/>
  <c r="K1258" i="10" s="1"/>
  <c r="Q1256" i="10"/>
  <c r="N1257" i="10" l="1"/>
  <c r="J1258" i="10" s="1"/>
  <c r="L1258" i="10" l="1"/>
  <c r="O1258" i="10"/>
  <c r="K1259" i="10" s="1"/>
  <c r="Q1257" i="10"/>
  <c r="P1258" i="10"/>
  <c r="M1259" i="10" s="1"/>
  <c r="N1258" i="10" l="1"/>
  <c r="J1259" i="10" s="1"/>
  <c r="L1259" i="10" l="1"/>
  <c r="O1259" i="10"/>
  <c r="K1260" i="10" s="1"/>
  <c r="P1259" i="10"/>
  <c r="M1260" i="10" s="1"/>
  <c r="Q1258" i="10"/>
  <c r="N1259" i="10" l="1"/>
  <c r="J1260" i="10" s="1"/>
  <c r="L1260" i="10" l="1"/>
  <c r="O1260" i="10"/>
  <c r="K1261" i="10" s="1"/>
  <c r="P1260" i="10"/>
  <c r="M1261" i="10" s="1"/>
  <c r="Q1259" i="10"/>
  <c r="N1260" i="10" l="1"/>
  <c r="J1261" i="10" s="1"/>
  <c r="L1261" i="10" l="1"/>
  <c r="O1261" i="10"/>
  <c r="K1262" i="10" s="1"/>
  <c r="P1261" i="10"/>
  <c r="M1262" i="10" s="1"/>
  <c r="Q1260" i="10"/>
  <c r="N1261" i="10" l="1"/>
  <c r="J1262" i="10" s="1"/>
  <c r="L1262" i="10" l="1"/>
  <c r="Q1261" i="10"/>
  <c r="O1262" i="10"/>
  <c r="K1263" i="10" s="1"/>
  <c r="P1262" i="10"/>
  <c r="M1263" i="10" s="1"/>
  <c r="N1262" i="10" l="1"/>
  <c r="J1263" i="10" s="1"/>
  <c r="L1263" i="10" l="1"/>
  <c r="P1263" i="10" s="1"/>
  <c r="M1264" i="10" s="1"/>
  <c r="Q1262" i="10"/>
  <c r="O1263" i="10"/>
  <c r="K1264" i="10" s="1"/>
  <c r="N1263" i="10" l="1"/>
  <c r="J1264" i="10" s="1"/>
  <c r="L1264" i="10" l="1"/>
  <c r="O1264" i="10"/>
  <c r="K1265" i="10" s="1"/>
  <c r="Q1263" i="10"/>
  <c r="P1264" i="10"/>
  <c r="M1265" i="10" s="1"/>
  <c r="N1264" i="10" l="1"/>
  <c r="J1265" i="10" s="1"/>
  <c r="L1265" i="10" l="1"/>
  <c r="P1265" i="10" s="1"/>
  <c r="M1266" i="10" s="1"/>
  <c r="Q1264" i="10"/>
  <c r="O1265" i="10"/>
  <c r="K1266" i="10" s="1"/>
  <c r="N1265" i="10" l="1"/>
  <c r="J1266" i="10" s="1"/>
  <c r="L1266" i="10" l="1"/>
  <c r="O1266" i="10"/>
  <c r="K1267" i="10" s="1"/>
  <c r="P1266" i="10"/>
  <c r="M1267" i="10" s="1"/>
  <c r="Q1265" i="10"/>
  <c r="N1266" i="10" l="1"/>
  <c r="J1267" i="10" s="1"/>
  <c r="L1267" i="10" l="1"/>
  <c r="O1267" i="10"/>
  <c r="K1268" i="10" s="1"/>
  <c r="P1267" i="10"/>
  <c r="M1268" i="10" s="1"/>
  <c r="Q1266" i="10"/>
  <c r="N1267" i="10" l="1"/>
  <c r="J1268" i="10" s="1"/>
  <c r="L1268" i="10" l="1"/>
  <c r="P1268" i="10"/>
  <c r="M1269" i="10" s="1"/>
  <c r="Q1267" i="10"/>
  <c r="O1268" i="10"/>
  <c r="K1269" i="10" s="1"/>
  <c r="N1268" i="10" l="1"/>
  <c r="J1269" i="10" s="1"/>
  <c r="L1269" i="10" l="1"/>
  <c r="O1269" i="10"/>
  <c r="K1270" i="10" s="1"/>
  <c r="P1269" i="10"/>
  <c r="M1270" i="10" s="1"/>
  <c r="Q1268" i="10"/>
  <c r="N1269" i="10" l="1"/>
  <c r="J1270" i="10" s="1"/>
  <c r="L1270" i="10" l="1"/>
  <c r="O1270" i="10"/>
  <c r="K1271" i="10" s="1"/>
  <c r="P1270" i="10"/>
  <c r="M1271" i="10" s="1"/>
  <c r="Q1269" i="10"/>
  <c r="N1270" i="10" l="1"/>
  <c r="J1271" i="10" s="1"/>
  <c r="L1271" i="10" l="1"/>
  <c r="P1271" i="10" s="1"/>
  <c r="M1272" i="10" s="1"/>
  <c r="O1271" i="10"/>
  <c r="K1272" i="10" s="1"/>
  <c r="Q1270" i="10"/>
  <c r="N1271" i="10" l="1"/>
  <c r="J1272" i="10" s="1"/>
  <c r="L1272" i="10" l="1"/>
  <c r="P1272" i="10" s="1"/>
  <c r="M1273" i="10" s="1"/>
  <c r="O1272" i="10"/>
  <c r="K1273" i="10" s="1"/>
  <c r="Q1271" i="10"/>
  <c r="N1272" i="10" l="1"/>
  <c r="J1273" i="10" s="1"/>
  <c r="L1273" i="10" l="1"/>
  <c r="P1273" i="10" s="1"/>
  <c r="M1274" i="10" s="1"/>
  <c r="O1273" i="10"/>
  <c r="K1274" i="10" s="1"/>
  <c r="Q1272" i="10"/>
  <c r="N1273" i="10" l="1"/>
  <c r="J1274" i="10" s="1"/>
  <c r="L1274" i="10" l="1"/>
  <c r="O1274" i="10"/>
  <c r="K1275" i="10" s="1"/>
  <c r="Q1273" i="10"/>
  <c r="P1274" i="10"/>
  <c r="M1275" i="10" s="1"/>
  <c r="N1274" i="10" l="1"/>
  <c r="J1275" i="10" s="1"/>
  <c r="L1275" i="10" l="1"/>
  <c r="P1275" i="10" s="1"/>
  <c r="M1276" i="10" s="1"/>
  <c r="O1275" i="10"/>
  <c r="K1276" i="10" s="1"/>
  <c r="Q1274" i="10"/>
  <c r="N1275" i="10" l="1"/>
  <c r="J1276" i="10" s="1"/>
  <c r="L1276" i="10" l="1"/>
  <c r="P1276" i="10" s="1"/>
  <c r="M1277" i="10" s="1"/>
  <c r="O1276" i="10"/>
  <c r="K1277" i="10" s="1"/>
  <c r="Q1275" i="10"/>
  <c r="N1276" i="10" l="1"/>
  <c r="J1277" i="10" s="1"/>
  <c r="L1277" i="10" l="1"/>
  <c r="O1277" i="10"/>
  <c r="K1278" i="10" s="1"/>
  <c r="P1277" i="10"/>
  <c r="M1278" i="10" s="1"/>
  <c r="Q1276" i="10"/>
  <c r="N1277" i="10" l="1"/>
  <c r="J1278" i="10" s="1"/>
  <c r="L1278" i="10" l="1"/>
  <c r="O1278" i="10"/>
  <c r="K1279" i="10" s="1"/>
  <c r="Q1277" i="10"/>
  <c r="P1278" i="10"/>
  <c r="M1279" i="10" s="1"/>
  <c r="N1278" i="10" l="1"/>
  <c r="J1279" i="10" s="1"/>
  <c r="L1279" i="10" l="1"/>
  <c r="P1279" i="10" s="1"/>
  <c r="M1280" i="10" s="1"/>
  <c r="Q1278" i="10"/>
  <c r="O1279" i="10"/>
  <c r="K1280" i="10" s="1"/>
  <c r="N1279" i="10" l="1"/>
  <c r="J1280" i="10" s="1"/>
  <c r="L1280" i="10" l="1"/>
  <c r="O1280" i="10"/>
  <c r="K1281" i="10" s="1"/>
  <c r="Q1279" i="10"/>
  <c r="P1280" i="10"/>
  <c r="M1281" i="10" s="1"/>
  <c r="N1280" i="10" l="1"/>
  <c r="J1281" i="10" s="1"/>
  <c r="L1281" i="10" l="1"/>
  <c r="P1281" i="10" s="1"/>
  <c r="M1282" i="10" s="1"/>
  <c r="Q1280" i="10"/>
  <c r="O1281" i="10"/>
  <c r="K1282" i="10" s="1"/>
  <c r="N1281" i="10" l="1"/>
  <c r="J1282" i="10" s="1"/>
  <c r="L1282" i="10" l="1"/>
  <c r="P1282" i="10" s="1"/>
  <c r="M1283" i="10" s="1"/>
  <c r="Q1281" i="10"/>
  <c r="O1282" i="10"/>
  <c r="K1283" i="10" s="1"/>
  <c r="N1282" i="10" l="1"/>
  <c r="J1283" i="10" s="1"/>
  <c r="L1283" i="10" l="1"/>
  <c r="O1283" i="10"/>
  <c r="K1284" i="10" s="1"/>
  <c r="Q1282" i="10"/>
  <c r="P1283" i="10"/>
  <c r="M1284" i="10" s="1"/>
  <c r="N1283" i="10" l="1"/>
  <c r="J1284" i="10" s="1"/>
  <c r="L1284" i="10" l="1"/>
  <c r="P1284" i="10"/>
  <c r="M1285" i="10" s="1"/>
  <c r="O1284" i="10"/>
  <c r="K1285" i="10" s="1"/>
  <c r="Q1283" i="10"/>
  <c r="N1284" i="10" l="1"/>
  <c r="J1285" i="10" s="1"/>
  <c r="L1285" i="10" l="1"/>
  <c r="O1285" i="10"/>
  <c r="K1286" i="10" s="1"/>
  <c r="P1285" i="10"/>
  <c r="M1286" i="10" s="1"/>
  <c r="Q1284" i="10"/>
  <c r="N1285" i="10" l="1"/>
  <c r="J1286" i="10" s="1"/>
  <c r="L1286" i="10" l="1"/>
  <c r="O1286" i="10"/>
  <c r="K1287" i="10" s="1"/>
  <c r="Q1285" i="10"/>
  <c r="P1286" i="10"/>
  <c r="M1287" i="10" s="1"/>
  <c r="N1286" i="10" l="1"/>
  <c r="J1287" i="10" s="1"/>
  <c r="L1287" i="10" l="1"/>
  <c r="O1287" i="10"/>
  <c r="K1288" i="10" s="1"/>
  <c r="P1287" i="10"/>
  <c r="M1288" i="10" s="1"/>
  <c r="Q1286" i="10"/>
  <c r="N1287" i="10" l="1"/>
  <c r="J1288" i="10" s="1"/>
  <c r="L1288" i="10" l="1"/>
  <c r="O1288" i="10"/>
  <c r="K1289" i="10" s="1"/>
  <c r="P1288" i="10"/>
  <c r="M1289" i="10" s="1"/>
  <c r="Q1287" i="10"/>
  <c r="N1288" i="10" l="1"/>
  <c r="J1289" i="10" s="1"/>
  <c r="L1289" i="10" l="1"/>
  <c r="O1289" i="10"/>
  <c r="K1290" i="10" s="1"/>
  <c r="P1289" i="10"/>
  <c r="M1290" i="10" s="1"/>
  <c r="Q1288" i="10"/>
  <c r="N1289" i="10" l="1"/>
  <c r="J1290" i="10" s="1"/>
  <c r="L1290" i="10" l="1"/>
  <c r="O1290" i="10"/>
  <c r="K1291" i="10" s="1"/>
  <c r="P1290" i="10"/>
  <c r="M1291" i="10" s="1"/>
  <c r="Q1289" i="10"/>
  <c r="N1290" i="10" l="1"/>
  <c r="J1291" i="10" s="1"/>
  <c r="L1291" i="10" l="1"/>
  <c r="O1291" i="10"/>
  <c r="K1292" i="10" s="1"/>
  <c r="P1291" i="10"/>
  <c r="M1292" i="10" s="1"/>
  <c r="Q1290" i="10"/>
  <c r="N1291" i="10" l="1"/>
  <c r="J1292" i="10" s="1"/>
  <c r="L1292" i="10" l="1"/>
  <c r="O1292" i="10"/>
  <c r="K1293" i="10" s="1"/>
  <c r="P1292" i="10"/>
  <c r="M1293" i="10" s="1"/>
  <c r="Q1291" i="10"/>
  <c r="N1292" i="10" l="1"/>
  <c r="J1293" i="10" s="1"/>
  <c r="L1293" i="10" l="1"/>
  <c r="O1293" i="10"/>
  <c r="K1294" i="10" s="1"/>
  <c r="P1293" i="10"/>
  <c r="M1294" i="10" s="1"/>
  <c r="Q1292" i="10"/>
  <c r="N1293" i="10" l="1"/>
  <c r="J1294" i="10" s="1"/>
  <c r="L1294" i="10" l="1"/>
  <c r="O1294" i="10"/>
  <c r="K1295" i="10" s="1"/>
  <c r="Q1293" i="10"/>
  <c r="P1294" i="10"/>
  <c r="M1295" i="10" s="1"/>
  <c r="N1294" i="10" l="1"/>
  <c r="J1295" i="10" s="1"/>
  <c r="L1295" i="10" l="1"/>
  <c r="O1295" i="10"/>
  <c r="K1296" i="10" s="1"/>
  <c r="P1295" i="10"/>
  <c r="M1296" i="10" s="1"/>
  <c r="Q1294" i="10"/>
  <c r="N1295" i="10" l="1"/>
  <c r="J1296" i="10" s="1"/>
  <c r="L1296" i="10" l="1"/>
  <c r="O1296" i="10"/>
  <c r="K1297" i="10" s="1"/>
  <c r="Q1295" i="10"/>
  <c r="P1296" i="10"/>
  <c r="M1297" i="10" s="1"/>
  <c r="N1296" i="10" l="1"/>
  <c r="J1297" i="10" s="1"/>
  <c r="L1297" i="10" l="1"/>
  <c r="O1297" i="10"/>
  <c r="K1298" i="10" s="1"/>
  <c r="P1297" i="10"/>
  <c r="M1298" i="10" s="1"/>
  <c r="Q1296" i="10"/>
  <c r="N1297" i="10" l="1"/>
  <c r="J1298" i="10" s="1"/>
  <c r="L1298" i="10" l="1"/>
  <c r="P1298" i="10" s="1"/>
  <c r="M1299" i="10" s="1"/>
  <c r="O1298" i="10"/>
  <c r="K1299" i="10" s="1"/>
  <c r="Q1297" i="10"/>
  <c r="N1298" i="10" l="1"/>
  <c r="J1299" i="10" s="1"/>
  <c r="L1299" i="10" l="1"/>
  <c r="O1299" i="10"/>
  <c r="K1300" i="10" s="1"/>
  <c r="Q1298" i="10"/>
  <c r="P1299" i="10"/>
  <c r="M1300" i="10" s="1"/>
  <c r="N1299" i="10" l="1"/>
  <c r="J1300" i="10" s="1"/>
  <c r="L1300" i="10" l="1"/>
  <c r="O1300" i="10"/>
  <c r="K1301" i="10" s="1"/>
  <c r="P1300" i="10"/>
  <c r="M1301" i="10" s="1"/>
  <c r="Q1299" i="10"/>
  <c r="N1300" i="10" l="1"/>
  <c r="J1301" i="10" s="1"/>
  <c r="L1301" i="10" l="1"/>
  <c r="O1301" i="10"/>
  <c r="K1302" i="10" s="1"/>
  <c r="P1301" i="10"/>
  <c r="M1302" i="10" s="1"/>
  <c r="Q1300" i="10"/>
  <c r="N1301" i="10" l="1"/>
  <c r="J1302" i="10" s="1"/>
  <c r="L1302" i="10" l="1"/>
  <c r="O1302" i="10"/>
  <c r="K1303" i="10" s="1"/>
  <c r="P1302" i="10"/>
  <c r="M1303" i="10" s="1"/>
  <c r="Q1301" i="10"/>
  <c r="N1302" i="10" l="1"/>
  <c r="J1303" i="10" s="1"/>
  <c r="L1303" i="10" l="1"/>
  <c r="P1303" i="10" s="1"/>
  <c r="M1304" i="10" s="1"/>
  <c r="Q1302" i="10"/>
  <c r="O1303" i="10"/>
  <c r="K1304" i="10" s="1"/>
  <c r="N1303" i="10" l="1"/>
  <c r="J1304" i="10" s="1"/>
  <c r="L1304" i="10" l="1"/>
  <c r="P1304" i="10" s="1"/>
  <c r="M1305" i="10" s="1"/>
  <c r="O1304" i="10"/>
  <c r="K1305" i="10" s="1"/>
  <c r="Q1303" i="10"/>
  <c r="N1304" i="10" l="1"/>
  <c r="J1305" i="10" s="1"/>
  <c r="L1305" i="10" l="1"/>
  <c r="O1305" i="10"/>
  <c r="K1306" i="10" s="1"/>
  <c r="Q1304" i="10"/>
  <c r="P1305" i="10"/>
  <c r="M1306" i="10" s="1"/>
  <c r="N1305" i="10" l="1"/>
  <c r="J1306" i="10" s="1"/>
  <c r="L1306" i="10" l="1"/>
  <c r="O1306" i="10"/>
  <c r="K1307" i="10" s="1"/>
  <c r="Q1305" i="10"/>
  <c r="P1306" i="10"/>
  <c r="M1307" i="10" s="1"/>
  <c r="N1306" i="10" l="1"/>
  <c r="J1307" i="10" s="1"/>
  <c r="L1307" i="10" l="1"/>
  <c r="O1307" i="10"/>
  <c r="K1308" i="10" s="1"/>
  <c r="P1307" i="10"/>
  <c r="M1308" i="10" s="1"/>
  <c r="Q1306" i="10"/>
  <c r="N1307" i="10" l="1"/>
  <c r="J1308" i="10" s="1"/>
  <c r="L1308" i="10" l="1"/>
  <c r="Q1307" i="10"/>
  <c r="P1308" i="10"/>
  <c r="M1309" i="10" s="1"/>
  <c r="O1308" i="10"/>
  <c r="K1309" i="10" s="1"/>
  <c r="N1308" i="10" l="1"/>
  <c r="J1309" i="10" s="1"/>
  <c r="L1309" i="10" l="1"/>
  <c r="Q1308" i="10"/>
  <c r="P1309" i="10"/>
  <c r="M1310" i="10" s="1"/>
  <c r="O1309" i="10"/>
  <c r="K1310" i="10" s="1"/>
  <c r="N1309" i="10" l="1"/>
  <c r="J1310" i="10" s="1"/>
  <c r="L1310" i="10" l="1"/>
  <c r="O1310" i="10"/>
  <c r="K1311" i="10" s="1"/>
  <c r="Q1309" i="10"/>
  <c r="P1310" i="10"/>
  <c r="M1311" i="10" s="1"/>
  <c r="N1310" i="10" l="1"/>
  <c r="J1311" i="10" s="1"/>
  <c r="L1311" i="10" l="1"/>
  <c r="O1311" i="10"/>
  <c r="K1312" i="10" s="1"/>
  <c r="Q1310" i="10"/>
  <c r="P1311" i="10"/>
  <c r="M1312" i="10" s="1"/>
  <c r="N1311" i="10" l="1"/>
  <c r="J1312" i="10" s="1"/>
  <c r="L1312" i="10" l="1"/>
  <c r="P1312" i="10" s="1"/>
  <c r="M1313" i="10" s="1"/>
  <c r="O1312" i="10"/>
  <c r="K1313" i="10" s="1"/>
  <c r="Q1311" i="10"/>
  <c r="N1312" i="10" l="1"/>
  <c r="J1313" i="10" s="1"/>
  <c r="L1313" i="10" l="1"/>
  <c r="O1313" i="10"/>
  <c r="K1314" i="10" s="1"/>
  <c r="P1313" i="10"/>
  <c r="M1314" i="10" s="1"/>
  <c r="Q1312" i="10"/>
  <c r="N1313" i="10" l="1"/>
  <c r="J1314" i="10" s="1"/>
  <c r="L1314" i="10" l="1"/>
  <c r="O1314" i="10"/>
  <c r="K1315" i="10" s="1"/>
  <c r="P1314" i="10"/>
  <c r="M1315" i="10" s="1"/>
  <c r="Q1313" i="10"/>
  <c r="N1314" i="10" l="1"/>
  <c r="J1315" i="10" s="1"/>
  <c r="L1315" i="10" l="1"/>
  <c r="O1315" i="10"/>
  <c r="K1316" i="10" s="1"/>
  <c r="P1315" i="10"/>
  <c r="M1316" i="10" s="1"/>
  <c r="Q1314" i="10"/>
  <c r="N1315" i="10" l="1"/>
  <c r="J1316" i="10" s="1"/>
  <c r="L1316" i="10" l="1"/>
  <c r="O1316" i="10"/>
  <c r="K1317" i="10" s="1"/>
  <c r="P1316" i="10"/>
  <c r="M1317" i="10" s="1"/>
  <c r="Q1315" i="10"/>
  <c r="N1316" i="10" l="1"/>
  <c r="J1317" i="10" s="1"/>
  <c r="L1317" i="10" l="1"/>
  <c r="O1317" i="10"/>
  <c r="K1318" i="10" s="1"/>
  <c r="P1317" i="10"/>
  <c r="M1318" i="10" s="1"/>
  <c r="Q1316" i="10"/>
  <c r="N1317" i="10" l="1"/>
  <c r="J1318" i="10" s="1"/>
  <c r="L1318" i="10" l="1"/>
  <c r="P1318" i="10" s="1"/>
  <c r="M1319" i="10" s="1"/>
  <c r="O1318" i="10"/>
  <c r="K1319" i="10" s="1"/>
  <c r="Q1317" i="10"/>
  <c r="N1318" i="10" l="1"/>
  <c r="J1319" i="10" s="1"/>
  <c r="L1319" i="10" l="1"/>
  <c r="O1319" i="10"/>
  <c r="K1320" i="10" s="1"/>
  <c r="Q1318" i="10"/>
  <c r="P1319" i="10"/>
  <c r="M1320" i="10" s="1"/>
  <c r="N1319" i="10" l="1"/>
  <c r="J1320" i="10" s="1"/>
  <c r="L1320" i="10" l="1"/>
  <c r="O1320" i="10"/>
  <c r="K1321" i="10" s="1"/>
  <c r="P1320" i="10"/>
  <c r="M1321" i="10" s="1"/>
  <c r="Q1319" i="10"/>
  <c r="N1320" i="10" l="1"/>
  <c r="J1321" i="10" s="1"/>
  <c r="L1321" i="10" l="1"/>
  <c r="O1321" i="10"/>
  <c r="K1322" i="10" s="1"/>
  <c r="P1321" i="10"/>
  <c r="M1322" i="10" s="1"/>
  <c r="Q1320" i="10"/>
  <c r="N1321" i="10" l="1"/>
  <c r="J1322" i="10" s="1"/>
  <c r="L1322" i="10" l="1"/>
  <c r="O1322" i="10"/>
  <c r="K1323" i="10" s="1"/>
  <c r="P1322" i="10"/>
  <c r="M1323" i="10" s="1"/>
  <c r="Q1321" i="10"/>
  <c r="N1322" i="10" l="1"/>
  <c r="J1323" i="10" s="1"/>
  <c r="L1323" i="10" l="1"/>
  <c r="P1323" i="10"/>
  <c r="M1324" i="10" s="1"/>
  <c r="Q1322" i="10"/>
  <c r="O1323" i="10"/>
  <c r="K1324" i="10" s="1"/>
  <c r="N1323" i="10" l="1"/>
  <c r="J1324" i="10" s="1"/>
  <c r="L1324" i="10" l="1"/>
  <c r="P1324" i="10" s="1"/>
  <c r="M1325" i="10" s="1"/>
  <c r="O1324" i="10"/>
  <c r="K1325" i="10" s="1"/>
  <c r="Q1323" i="10"/>
  <c r="N1324" i="10" l="1"/>
  <c r="J1325" i="10" s="1"/>
  <c r="L1325" i="10" l="1"/>
  <c r="P1325" i="10"/>
  <c r="M1326" i="10" s="1"/>
  <c r="O1325" i="10"/>
  <c r="K1326" i="10" s="1"/>
  <c r="Q1324" i="10"/>
  <c r="N1325" i="10" l="1"/>
  <c r="J1326" i="10" s="1"/>
  <c r="L1326" i="10" l="1"/>
  <c r="P1326" i="10" s="1"/>
  <c r="M1327" i="10" s="1"/>
  <c r="Q1325" i="10"/>
  <c r="O1326" i="10"/>
  <c r="K1327" i="10" s="1"/>
  <c r="N1326" i="10" l="1"/>
  <c r="J1327" i="10" s="1"/>
  <c r="L1327" i="10" l="1"/>
  <c r="O1327" i="10"/>
  <c r="K1328" i="10" s="1"/>
  <c r="P1327" i="10"/>
  <c r="M1328" i="10" s="1"/>
  <c r="Q1326" i="10"/>
  <c r="N1327" i="10" l="1"/>
  <c r="J1328" i="10" s="1"/>
  <c r="L1328" i="10" l="1"/>
  <c r="O1328" i="10"/>
  <c r="K1329" i="10" s="1"/>
  <c r="P1328" i="10"/>
  <c r="M1329" i="10" s="1"/>
  <c r="Q1327" i="10"/>
  <c r="N1328" i="10" l="1"/>
  <c r="J1329" i="10" s="1"/>
  <c r="L1329" i="10" l="1"/>
  <c r="P1329" i="10" s="1"/>
  <c r="M1330" i="10" s="1"/>
  <c r="O1329" i="10"/>
  <c r="K1330" i="10" s="1"/>
  <c r="Q1328" i="10"/>
  <c r="N1329" i="10" l="1"/>
  <c r="J1330" i="10" s="1"/>
  <c r="L1330" i="10" l="1"/>
  <c r="P1330" i="10"/>
  <c r="M1331" i="10" s="1"/>
  <c r="Q1329" i="10"/>
  <c r="O1330" i="10"/>
  <c r="K1331" i="10" s="1"/>
  <c r="N1330" i="10" l="1"/>
  <c r="J1331" i="10" s="1"/>
  <c r="L1331" i="10" l="1"/>
  <c r="O1331" i="10"/>
  <c r="K1332" i="10" s="1"/>
  <c r="P1331" i="10"/>
  <c r="M1332" i="10" s="1"/>
  <c r="Q1330" i="10"/>
  <c r="N1331" i="10" l="1"/>
  <c r="J1332" i="10" s="1"/>
  <c r="L1332" i="10" l="1"/>
  <c r="O1332" i="10"/>
  <c r="K1333" i="10" s="1"/>
  <c r="P1332" i="10"/>
  <c r="M1333" i="10" s="1"/>
  <c r="Q1331" i="10"/>
  <c r="N1332" i="10" l="1"/>
  <c r="J1333" i="10" s="1"/>
  <c r="L1333" i="10" l="1"/>
  <c r="O1333" i="10"/>
  <c r="K1334" i="10" s="1"/>
  <c r="P1333" i="10"/>
  <c r="M1334" i="10" s="1"/>
  <c r="Q1332" i="10"/>
  <c r="N1333" i="10" l="1"/>
  <c r="J1334" i="10" s="1"/>
  <c r="L1334" i="10" l="1"/>
  <c r="P1334" i="10" s="1"/>
  <c r="M1335" i="10" s="1"/>
  <c r="O1334" i="10"/>
  <c r="K1335" i="10" s="1"/>
  <c r="Q1333" i="10"/>
  <c r="N1334" i="10" l="1"/>
  <c r="J1335" i="10" s="1"/>
  <c r="L1335" i="10" l="1"/>
  <c r="P1335" i="10" s="1"/>
  <c r="M1336" i="10" s="1"/>
  <c r="O1335" i="10"/>
  <c r="K1336" i="10" s="1"/>
  <c r="Q1334" i="10"/>
  <c r="N1335" i="10" l="1"/>
  <c r="J1336" i="10" s="1"/>
  <c r="L1336" i="10" l="1"/>
  <c r="P1336" i="10"/>
  <c r="M1337" i="10" s="1"/>
  <c r="O1336" i="10"/>
  <c r="K1337" i="10" s="1"/>
  <c r="Q1335" i="10"/>
  <c r="N1336" i="10" l="1"/>
  <c r="J1337" i="10" s="1"/>
  <c r="L1337" i="10" l="1"/>
  <c r="O1337" i="10"/>
  <c r="K1338" i="10" s="1"/>
  <c r="P1337" i="10"/>
  <c r="M1338" i="10" s="1"/>
  <c r="Q1336" i="10"/>
  <c r="N1337" i="10" l="1"/>
  <c r="J1338" i="10" s="1"/>
  <c r="L1338" i="10" l="1"/>
  <c r="P1338" i="10" s="1"/>
  <c r="M1339" i="10" s="1"/>
  <c r="Q1337" i="10"/>
  <c r="O1338" i="10"/>
  <c r="K1339" i="10" s="1"/>
  <c r="N1338" i="10" l="1"/>
  <c r="J1339" i="10" s="1"/>
  <c r="L1339" i="10" l="1"/>
  <c r="Q1338" i="10"/>
  <c r="O1339" i="10"/>
  <c r="K1340" i="10" s="1"/>
  <c r="P1339" i="10"/>
  <c r="M1340" i="10" s="1"/>
  <c r="N1339" i="10" l="1"/>
  <c r="J1340" i="10" s="1"/>
  <c r="L1340" i="10" l="1"/>
  <c r="O1340" i="10"/>
  <c r="K1341" i="10" s="1"/>
  <c r="P1340" i="10"/>
  <c r="M1341" i="10" s="1"/>
  <c r="Q1339" i="10"/>
  <c r="N1340" i="10" l="1"/>
  <c r="J1341" i="10" s="1"/>
  <c r="L1341" i="10" l="1"/>
  <c r="O1341" i="10"/>
  <c r="K1342" i="10" s="1"/>
  <c r="P1341" i="10"/>
  <c r="M1342" i="10" s="1"/>
  <c r="Q1340" i="10"/>
  <c r="N1341" i="10" l="1"/>
  <c r="J1342" i="10" s="1"/>
  <c r="L1342" i="10" l="1"/>
  <c r="O1342" i="10"/>
  <c r="K1343" i="10" s="1"/>
  <c r="Q1341" i="10"/>
  <c r="P1342" i="10"/>
  <c r="M1343" i="10" s="1"/>
  <c r="N1342" i="10" l="1"/>
  <c r="J1343" i="10" s="1"/>
  <c r="L1343" i="10" l="1"/>
  <c r="O1343" i="10"/>
  <c r="K1344" i="10" s="1"/>
  <c r="Q1342" i="10"/>
  <c r="P1343" i="10"/>
  <c r="M1344" i="10" s="1"/>
  <c r="N1343" i="10" l="1"/>
  <c r="J1344" i="10" s="1"/>
  <c r="L1344" i="10" l="1"/>
  <c r="P1344" i="10" s="1"/>
  <c r="M1345" i="10" s="1"/>
  <c r="Q1343" i="10"/>
  <c r="O1344" i="10"/>
  <c r="K1345" i="10" s="1"/>
  <c r="N1344" i="10" l="1"/>
  <c r="J1345" i="10" s="1"/>
  <c r="L1345" i="10" l="1"/>
  <c r="O1345" i="10"/>
  <c r="K1346" i="10" s="1"/>
  <c r="P1345" i="10"/>
  <c r="M1346" i="10" s="1"/>
  <c r="Q1344" i="10"/>
  <c r="N1345" i="10" l="1"/>
  <c r="J1346" i="10" s="1"/>
  <c r="L1346" i="10" l="1"/>
  <c r="O1346" i="10"/>
  <c r="K1347" i="10" s="1"/>
  <c r="P1346" i="10"/>
  <c r="M1347" i="10" s="1"/>
  <c r="Q1345" i="10"/>
  <c r="N1346" i="10" l="1"/>
  <c r="J1347" i="10" s="1"/>
  <c r="L1347" i="10" l="1"/>
  <c r="P1347" i="10" s="1"/>
  <c r="M1348" i="10" s="1"/>
  <c r="O1347" i="10"/>
  <c r="K1348" i="10" s="1"/>
  <c r="Q1346" i="10"/>
  <c r="N1347" i="10" l="1"/>
  <c r="J1348" i="10" s="1"/>
  <c r="L1348" i="10" l="1"/>
  <c r="P1348" i="10"/>
  <c r="M1349" i="10" s="1"/>
  <c r="Q1347" i="10"/>
  <c r="O1348" i="10"/>
  <c r="K1349" i="10" s="1"/>
  <c r="N1348" i="10" l="1"/>
  <c r="J1349" i="10" s="1"/>
  <c r="L1349" i="10" l="1"/>
  <c r="O1349" i="10"/>
  <c r="K1350" i="10" s="1"/>
  <c r="Q1348" i="10"/>
  <c r="P1349" i="10"/>
  <c r="M1350" i="10" s="1"/>
  <c r="N1349" i="10" l="1"/>
  <c r="J1350" i="10" s="1"/>
  <c r="L1350" i="10" l="1"/>
  <c r="P1350" i="10" s="1"/>
  <c r="M1351" i="10" s="1"/>
  <c r="O1350" i="10"/>
  <c r="K1351" i="10" s="1"/>
  <c r="Q1349" i="10"/>
  <c r="N1350" i="10" l="1"/>
  <c r="J1351" i="10" s="1"/>
  <c r="L1351" i="10" l="1"/>
  <c r="O1351" i="10"/>
  <c r="K1352" i="10" s="1"/>
  <c r="P1351" i="10"/>
  <c r="M1352" i="10" s="1"/>
  <c r="Q1350" i="10"/>
  <c r="N1351" i="10" l="1"/>
  <c r="J1352" i="10" s="1"/>
  <c r="L1352" i="10" l="1"/>
  <c r="Q1351" i="10"/>
  <c r="O1352" i="10"/>
  <c r="K1353" i="10" s="1"/>
  <c r="P1352" i="10"/>
  <c r="M1353" i="10" s="1"/>
  <c r="N1352" i="10" l="1"/>
  <c r="J1353" i="10" s="1"/>
  <c r="L1353" i="10" l="1"/>
  <c r="O1353" i="10"/>
  <c r="K1354" i="10" s="1"/>
  <c r="P1353" i="10"/>
  <c r="M1354" i="10" s="1"/>
  <c r="Q1352" i="10"/>
  <c r="N1353" i="10" l="1"/>
  <c r="J1354" i="10" s="1"/>
  <c r="L1354" i="10" l="1"/>
  <c r="O1354" i="10"/>
  <c r="K1355" i="10" s="1"/>
  <c r="P1354" i="10"/>
  <c r="M1355" i="10" s="1"/>
  <c r="Q1353" i="10"/>
  <c r="N1354" i="10" l="1"/>
  <c r="J1355" i="10" s="1"/>
  <c r="L1355" i="10" l="1"/>
  <c r="O1355" i="10"/>
  <c r="K1356" i="10" s="1"/>
  <c r="P1355" i="10"/>
  <c r="M1356" i="10" s="1"/>
  <c r="Q1354" i="10"/>
  <c r="N1355" i="10" l="1"/>
  <c r="J1356" i="10" s="1"/>
  <c r="L1356" i="10" l="1"/>
  <c r="P1356" i="10" s="1"/>
  <c r="M1357" i="10" s="1"/>
  <c r="O1356" i="10"/>
  <c r="K1357" i="10" s="1"/>
  <c r="Q1355" i="10"/>
  <c r="N1356" i="10" l="1"/>
  <c r="J1357" i="10" s="1"/>
  <c r="L1357" i="10" l="1"/>
  <c r="O1357" i="10"/>
  <c r="K1358" i="10" s="1"/>
  <c r="P1357" i="10"/>
  <c r="M1358" i="10" s="1"/>
  <c r="Q1356" i="10"/>
  <c r="N1357" i="10" l="1"/>
  <c r="J1358" i="10" s="1"/>
  <c r="L1358" i="10" l="1"/>
  <c r="O1358" i="10"/>
  <c r="K1359" i="10" s="1"/>
  <c r="Q1357" i="10"/>
  <c r="P1358" i="10"/>
  <c r="M1359" i="10" s="1"/>
  <c r="N1358" i="10" l="1"/>
  <c r="J1359" i="10" s="1"/>
  <c r="L1359" i="10" l="1"/>
  <c r="P1359" i="10" s="1"/>
  <c r="M1360" i="10" s="1"/>
  <c r="O1359" i="10"/>
  <c r="K1360" i="10" s="1"/>
  <c r="Q1358" i="10"/>
  <c r="N1359" i="10" l="1"/>
  <c r="J1360" i="10" s="1"/>
  <c r="L1360" i="10" l="1"/>
  <c r="O1360" i="10"/>
  <c r="K1361" i="10" s="1"/>
  <c r="P1360" i="10"/>
  <c r="M1361" i="10" s="1"/>
  <c r="Q1359" i="10"/>
  <c r="N1360" i="10" l="1"/>
  <c r="J1361" i="10" s="1"/>
  <c r="L1361" i="10" l="1"/>
  <c r="O1361" i="10"/>
  <c r="K1362" i="10" s="1"/>
  <c r="P1361" i="10"/>
  <c r="M1362" i="10" s="1"/>
  <c r="Q1360" i="10"/>
  <c r="N1361" i="10" l="1"/>
  <c r="J1362" i="10" s="1"/>
  <c r="L1362" i="10" l="1"/>
  <c r="O1362" i="10"/>
  <c r="K1363" i="10" s="1"/>
  <c r="P1362" i="10"/>
  <c r="M1363" i="10" s="1"/>
  <c r="Q1361" i="10"/>
  <c r="N1362" i="10" l="1"/>
  <c r="J1363" i="10" s="1"/>
  <c r="L1363" i="10" l="1"/>
  <c r="O1363" i="10"/>
  <c r="K1364" i="10" s="1"/>
  <c r="Q1362" i="10"/>
  <c r="P1363" i="10"/>
  <c r="M1364" i="10" s="1"/>
  <c r="N1363" i="10" l="1"/>
  <c r="J1364" i="10" s="1"/>
  <c r="L1364" i="10" l="1"/>
  <c r="P1364" i="10" s="1"/>
  <c r="M1365" i="10" s="1"/>
  <c r="O1364" i="10"/>
  <c r="K1365" i="10" s="1"/>
  <c r="Q1363" i="10"/>
  <c r="N1364" i="10" l="1"/>
  <c r="J1365" i="10" s="1"/>
  <c r="L1365" i="10" l="1"/>
  <c r="O1365" i="10"/>
  <c r="K1366" i="10" s="1"/>
  <c r="P1365" i="10"/>
  <c r="M1366" i="10" s="1"/>
  <c r="Q1364" i="10"/>
  <c r="N1365" i="10" l="1"/>
  <c r="J1366" i="10" s="1"/>
  <c r="Q1365" i="10" l="1"/>
  <c r="L1366" i="10"/>
  <c r="P1366" i="10" s="1"/>
  <c r="M1367" i="10" s="1"/>
  <c r="N1366" i="10"/>
  <c r="J1367" i="10" s="1"/>
  <c r="L1367" i="10" l="1"/>
  <c r="O1366" i="10"/>
  <c r="K1367" i="10" s="1"/>
  <c r="P1367" i="10"/>
  <c r="M1368" i="10" s="1"/>
  <c r="Q1366" i="10"/>
  <c r="O1367" i="10" l="1"/>
  <c r="K1368" i="10" s="1"/>
  <c r="N1367" i="10"/>
  <c r="Q1367" i="10" l="1"/>
  <c r="J1368" i="10"/>
  <c r="O1368" i="10" s="1"/>
  <c r="K1369" i="10" s="1"/>
  <c r="L1368" i="10"/>
  <c r="P1368" i="10" s="1"/>
  <c r="M1369" i="10" s="1"/>
  <c r="N1368" i="10" l="1"/>
  <c r="J1369" i="10" s="1"/>
  <c r="L1369" i="10"/>
  <c r="P1369" i="10" s="1"/>
  <c r="M1370" i="10" s="1"/>
  <c r="Q1368" i="10"/>
  <c r="O1369" i="10"/>
  <c r="K1370" i="10" s="1"/>
  <c r="N1369" i="10" l="1"/>
  <c r="J1370" i="10" s="1"/>
  <c r="L1370" i="10" l="1"/>
  <c r="O1370" i="10"/>
  <c r="K1371" i="10" s="1"/>
  <c r="P1370" i="10"/>
  <c r="M1371" i="10" s="1"/>
  <c r="Q1369" i="10"/>
  <c r="N1370" i="10" l="1"/>
  <c r="J1371" i="10" s="1"/>
  <c r="L1371" i="10" l="1"/>
  <c r="O1371" i="10"/>
  <c r="K1372" i="10" s="1"/>
  <c r="P1371" i="10"/>
  <c r="M1372" i="10" s="1"/>
  <c r="Q1370" i="10"/>
  <c r="N1371" i="10" l="1"/>
  <c r="J1372" i="10" s="1"/>
  <c r="L1372" i="10" l="1"/>
  <c r="P1372" i="10" s="1"/>
  <c r="M1373" i="10" s="1"/>
  <c r="Q1371" i="10"/>
  <c r="O1372" i="10"/>
  <c r="K1373" i="10" s="1"/>
  <c r="N1372" i="10" l="1"/>
  <c r="J1373" i="10" s="1"/>
  <c r="L1373" i="10" l="1"/>
  <c r="O1373" i="10"/>
  <c r="K1374" i="10" s="1"/>
  <c r="P1373" i="10"/>
  <c r="M1374" i="10" s="1"/>
  <c r="Q1372" i="10"/>
  <c r="N1373" i="10" l="1"/>
  <c r="J1374" i="10" s="1"/>
  <c r="L1374" i="10" l="1"/>
  <c r="O1374" i="10"/>
  <c r="K1375" i="10" s="1"/>
  <c r="P1374" i="10"/>
  <c r="M1375" i="10" s="1"/>
  <c r="Q1373" i="10"/>
  <c r="N1374" i="10" l="1"/>
  <c r="J1375" i="10" s="1"/>
  <c r="L1375" i="10" l="1"/>
  <c r="O1375" i="10"/>
  <c r="K1376" i="10" s="1"/>
  <c r="P1375" i="10"/>
  <c r="M1376" i="10" s="1"/>
  <c r="Q1374" i="10"/>
  <c r="N1375" i="10" l="1"/>
  <c r="J1376" i="10" s="1"/>
  <c r="L1376" i="10" l="1"/>
  <c r="O1376" i="10"/>
  <c r="K1377" i="10" s="1"/>
  <c r="P1376" i="10"/>
  <c r="M1377" i="10" s="1"/>
  <c r="Q1375" i="10"/>
  <c r="N1376" i="10" l="1"/>
  <c r="J1377" i="10" s="1"/>
  <c r="L1377" i="10" l="1"/>
  <c r="P1377" i="10" s="1"/>
  <c r="M1378" i="10" s="1"/>
  <c r="O1377" i="10"/>
  <c r="K1378" i="10" s="1"/>
  <c r="Q1376" i="10"/>
  <c r="N1377" i="10" l="1"/>
  <c r="J1378" i="10" s="1"/>
  <c r="L1378" i="10" l="1"/>
  <c r="P1378" i="10" s="1"/>
  <c r="M1379" i="10" s="1"/>
  <c r="O1378" i="10"/>
  <c r="K1379" i="10" s="1"/>
  <c r="Q1377" i="10"/>
  <c r="N1378" i="10" l="1"/>
  <c r="J1379" i="10" s="1"/>
  <c r="L1379" i="10" l="1"/>
  <c r="P1379" i="10" s="1"/>
  <c r="M1380" i="10" s="1"/>
  <c r="O1379" i="10"/>
  <c r="K1380" i="10" s="1"/>
  <c r="Q1378" i="10"/>
  <c r="N1379" i="10" l="1"/>
  <c r="J1380" i="10" s="1"/>
  <c r="L1380" i="10" l="1"/>
  <c r="P1380" i="10" s="1"/>
  <c r="M1381" i="10" s="1"/>
  <c r="Q1379" i="10"/>
  <c r="O1380" i="10"/>
  <c r="K1381" i="10" s="1"/>
  <c r="N1380" i="10" l="1"/>
  <c r="J1381" i="10" s="1"/>
  <c r="L1381" i="10" l="1"/>
  <c r="O1381" i="10"/>
  <c r="K1382" i="10" s="1"/>
  <c r="P1381" i="10"/>
  <c r="M1382" i="10" s="1"/>
  <c r="Q1380" i="10"/>
  <c r="N1381" i="10" l="1"/>
  <c r="J1382" i="10" s="1"/>
  <c r="L1382" i="10" l="1"/>
  <c r="O1382" i="10"/>
  <c r="K1383" i="10" s="1"/>
  <c r="P1382" i="10"/>
  <c r="M1383" i="10" s="1"/>
  <c r="Q1381" i="10"/>
  <c r="N1382" i="10" l="1"/>
  <c r="J1383" i="10" s="1"/>
  <c r="L1383" i="10" l="1"/>
  <c r="O1383" i="10"/>
  <c r="K1384" i="10" s="1"/>
  <c r="P1383" i="10"/>
  <c r="M1384" i="10" s="1"/>
  <c r="Q1382" i="10"/>
  <c r="N1383" i="10" l="1"/>
  <c r="J1384" i="10" s="1"/>
  <c r="L1384" i="10" l="1"/>
  <c r="O1384" i="10"/>
  <c r="K1385" i="10" s="1"/>
  <c r="P1384" i="10"/>
  <c r="M1385" i="10" s="1"/>
  <c r="Q1383" i="10"/>
  <c r="N1384" i="10" l="1"/>
  <c r="J1385" i="10" s="1"/>
  <c r="L1385" i="10" l="1"/>
  <c r="P1385" i="10" s="1"/>
  <c r="M1386" i="10" s="1"/>
  <c r="O1385" i="10"/>
  <c r="K1386" i="10" s="1"/>
  <c r="Q1384" i="10"/>
  <c r="N1385" i="10" l="1"/>
  <c r="J1386" i="10" s="1"/>
  <c r="L1386" i="10" l="1"/>
  <c r="O1386" i="10"/>
  <c r="K1387" i="10" s="1"/>
  <c r="Q1385" i="10"/>
  <c r="P1386" i="10"/>
  <c r="M1387" i="10" s="1"/>
  <c r="N1386" i="10" l="1"/>
  <c r="J1387" i="10" s="1"/>
  <c r="L1387" i="10" l="1"/>
  <c r="O1387" i="10"/>
  <c r="K1388" i="10" s="1"/>
  <c r="P1387" i="10"/>
  <c r="M1388" i="10" s="1"/>
  <c r="Q1386" i="10"/>
  <c r="N1387" i="10" l="1"/>
  <c r="J1388" i="10" s="1"/>
  <c r="L1388" i="10" l="1"/>
  <c r="P1388" i="10" s="1"/>
  <c r="M1389" i="10" s="1"/>
  <c r="O1388" i="10"/>
  <c r="K1389" i="10" s="1"/>
  <c r="Q1387" i="10"/>
  <c r="N1388" i="10" l="1"/>
  <c r="J1389" i="10" s="1"/>
  <c r="L1389" i="10" l="1"/>
  <c r="O1389" i="10"/>
  <c r="K1390" i="10" s="1"/>
  <c r="Q1388" i="10"/>
  <c r="P1389" i="10"/>
  <c r="M1390" i="10" s="1"/>
  <c r="N1389" i="10" l="1"/>
  <c r="J1390" i="10" s="1"/>
  <c r="L1390" i="10" l="1"/>
  <c r="P1390" i="10" s="1"/>
  <c r="M1391" i="10" s="1"/>
  <c r="O1390" i="10"/>
  <c r="K1391" i="10" s="1"/>
  <c r="Q1389" i="10"/>
  <c r="N1390" i="10" l="1"/>
  <c r="J1391" i="10" s="1"/>
  <c r="L1391" i="10" l="1"/>
  <c r="O1391" i="10"/>
  <c r="K1392" i="10" s="1"/>
  <c r="Q1390" i="10"/>
  <c r="P1391" i="10"/>
  <c r="M1392" i="10" s="1"/>
  <c r="N1391" i="10" l="1"/>
  <c r="J1392" i="10" s="1"/>
  <c r="L1392" i="10" l="1"/>
  <c r="O1392" i="10"/>
  <c r="K1393" i="10" s="1"/>
  <c r="Q1391" i="10"/>
  <c r="P1392" i="10"/>
  <c r="M1393" i="10" s="1"/>
  <c r="N1392" i="10" l="1"/>
  <c r="J1393" i="10" s="1"/>
  <c r="L1393" i="10" l="1"/>
  <c r="O1393" i="10"/>
  <c r="K1394" i="10" s="1"/>
  <c r="P1393" i="10"/>
  <c r="M1394" i="10" s="1"/>
  <c r="Q1392" i="10"/>
  <c r="N1393" i="10" l="1"/>
  <c r="J1394" i="10" s="1"/>
  <c r="L1394" i="10" l="1"/>
  <c r="O1394" i="10"/>
  <c r="K1395" i="10" s="1"/>
  <c r="Q1393" i="10"/>
  <c r="P1394" i="10"/>
  <c r="M1395" i="10" s="1"/>
  <c r="N1394" i="10" l="1"/>
  <c r="J1395" i="10" s="1"/>
  <c r="L1395" i="10" l="1"/>
  <c r="Q1394" i="10"/>
  <c r="O1395" i="10"/>
  <c r="K1396" i="10" s="1"/>
  <c r="P1395" i="10"/>
  <c r="M1396" i="10" s="1"/>
  <c r="N1395" i="10" l="1"/>
  <c r="J1396" i="10" s="1"/>
  <c r="L1396" i="10" l="1"/>
  <c r="P1396" i="10" s="1"/>
  <c r="M1397" i="10" s="1"/>
  <c r="O1396" i="10"/>
  <c r="K1397" i="10" s="1"/>
  <c r="Q1395" i="10"/>
  <c r="N1396" i="10" l="1"/>
  <c r="J1397" i="10" s="1"/>
  <c r="L1397" i="10" l="1"/>
  <c r="O1397" i="10"/>
  <c r="K1398" i="10" s="1"/>
  <c r="Q1396" i="10"/>
  <c r="P1397" i="10"/>
  <c r="M1398" i="10" s="1"/>
  <c r="N1397" i="10" l="1"/>
  <c r="J1398" i="10" s="1"/>
  <c r="L1398" i="10" l="1"/>
  <c r="O1398" i="10"/>
  <c r="K1399" i="10" s="1"/>
  <c r="P1398" i="10"/>
  <c r="M1399" i="10" s="1"/>
  <c r="Q1397" i="10"/>
  <c r="N1398" i="10" l="1"/>
  <c r="J1399" i="10" s="1"/>
  <c r="L1399" i="10" l="1"/>
  <c r="Q1398" i="10"/>
  <c r="O1399" i="10"/>
  <c r="K1400" i="10" s="1"/>
  <c r="P1399" i="10"/>
  <c r="M1400" i="10" s="1"/>
  <c r="N1399" i="10" l="1"/>
  <c r="J1400" i="10" s="1"/>
  <c r="L1400" i="10" l="1"/>
  <c r="P1400" i="10" s="1"/>
  <c r="M1401" i="10" s="1"/>
  <c r="O1400" i="10"/>
  <c r="K1401" i="10" s="1"/>
  <c r="Q1399" i="10"/>
  <c r="N1400" i="10" l="1"/>
  <c r="J1401" i="10" s="1"/>
  <c r="L1401" i="10" l="1"/>
  <c r="P1401" i="10" s="1"/>
  <c r="M1402" i="10" s="1"/>
  <c r="Q1400" i="10"/>
  <c r="O1401" i="10"/>
  <c r="K1402" i="10" s="1"/>
  <c r="N1401" i="10" l="1"/>
  <c r="J1402" i="10" s="1"/>
  <c r="L1402" i="10" l="1"/>
  <c r="Q1401" i="10"/>
  <c r="O1402" i="10"/>
  <c r="K1403" i="10" s="1"/>
  <c r="P1402" i="10"/>
  <c r="M1403" i="10" s="1"/>
  <c r="N1402" i="10" l="1"/>
  <c r="J1403" i="10" s="1"/>
  <c r="L1403" i="10" l="1"/>
  <c r="P1403" i="10" s="1"/>
  <c r="M1404" i="10" s="1"/>
  <c r="O1403" i="10"/>
  <c r="K1404" i="10" s="1"/>
  <c r="Q1402" i="10"/>
  <c r="N1403" i="10" l="1"/>
  <c r="J1404" i="10" s="1"/>
  <c r="L1404" i="10" l="1"/>
  <c r="O1404" i="10"/>
  <c r="K1405" i="10" s="1"/>
  <c r="P1404" i="10"/>
  <c r="M1405" i="10" s="1"/>
  <c r="Q1403" i="10"/>
  <c r="N1404" i="10" l="1"/>
  <c r="J1405" i="10" s="1"/>
  <c r="L1405" i="10" l="1"/>
  <c r="O1405" i="10"/>
  <c r="K1406" i="10" s="1"/>
  <c r="P1405" i="10"/>
  <c r="M1406" i="10" s="1"/>
  <c r="Q1404" i="10"/>
  <c r="N1405" i="10" l="1"/>
  <c r="J1406" i="10" s="1"/>
  <c r="L1406" i="10" l="1"/>
  <c r="P1406" i="10"/>
  <c r="M1407" i="10" s="1"/>
  <c r="O1406" i="10"/>
  <c r="K1407" i="10" s="1"/>
  <c r="Q1405" i="10"/>
  <c r="N1406" i="10" l="1"/>
  <c r="J1407" i="10" s="1"/>
  <c r="L1407" i="10" l="1"/>
  <c r="P1407" i="10"/>
  <c r="M1408" i="10" s="1"/>
  <c r="O1407" i="10"/>
  <c r="K1408" i="10" s="1"/>
  <c r="Q1406" i="10"/>
  <c r="N1407" i="10" l="1"/>
  <c r="J1408" i="10" s="1"/>
  <c r="L1408" i="10" l="1"/>
  <c r="P1408" i="10" s="1"/>
  <c r="M1409" i="10" s="1"/>
  <c r="O1408" i="10"/>
  <c r="K1409" i="10" s="1"/>
  <c r="Q1407" i="10"/>
  <c r="N1408" i="10" l="1"/>
  <c r="J1409" i="10" s="1"/>
  <c r="L1409" i="10" l="1"/>
  <c r="P1409" i="10" s="1"/>
  <c r="M1410" i="10" s="1"/>
  <c r="O1409" i="10"/>
  <c r="K1410" i="10" s="1"/>
  <c r="Q1408" i="10"/>
  <c r="N1409" i="10" l="1"/>
  <c r="J1410" i="10" s="1"/>
  <c r="L1410" i="10" l="1"/>
  <c r="P1410" i="10" s="1"/>
  <c r="M1411" i="10" s="1"/>
  <c r="O1410" i="10"/>
  <c r="K1411" i="10" s="1"/>
  <c r="Q1409" i="10"/>
  <c r="N1410" i="10" l="1"/>
  <c r="J1411" i="10" s="1"/>
  <c r="L1411" i="10" l="1"/>
  <c r="O1411" i="10"/>
  <c r="K1412" i="10" s="1"/>
  <c r="Q1410" i="10"/>
  <c r="P1411" i="10"/>
  <c r="M1412" i="10" s="1"/>
  <c r="N1411" i="10" l="1"/>
  <c r="J1412" i="10" s="1"/>
  <c r="L1412" i="10" l="1"/>
  <c r="O1412" i="10"/>
  <c r="K1413" i="10" s="1"/>
  <c r="P1412" i="10"/>
  <c r="M1413" i="10" s="1"/>
  <c r="Q1411" i="10"/>
  <c r="N1412" i="10" l="1"/>
  <c r="J1413" i="10" s="1"/>
  <c r="L1413" i="10" l="1"/>
  <c r="Q1412" i="10"/>
  <c r="P1413" i="10"/>
  <c r="M1414" i="10" s="1"/>
  <c r="O1413" i="10"/>
  <c r="K1414" i="10" s="1"/>
  <c r="N1413" i="10" l="1"/>
  <c r="J1414" i="10" s="1"/>
  <c r="L1414" i="10" l="1"/>
  <c r="O1414" i="10"/>
  <c r="K1415" i="10" s="1"/>
  <c r="P1414" i="10"/>
  <c r="M1415" i="10" s="1"/>
  <c r="Q1413" i="10"/>
  <c r="N1414" i="10" l="1"/>
  <c r="J1415" i="10" s="1"/>
  <c r="L1415" i="10" l="1"/>
  <c r="O1415" i="10"/>
  <c r="K1416" i="10" s="1"/>
  <c r="P1415" i="10"/>
  <c r="M1416" i="10" s="1"/>
  <c r="Q1414" i="10"/>
  <c r="N1415" i="10" l="1"/>
  <c r="J1416" i="10" s="1"/>
  <c r="L1416" i="10" l="1"/>
  <c r="O1416" i="10"/>
  <c r="K1417" i="10" s="1"/>
  <c r="P1416" i="10"/>
  <c r="M1417" i="10" s="1"/>
  <c r="Q1415" i="10"/>
  <c r="N1416" i="10" l="1"/>
  <c r="J1417" i="10" s="1"/>
  <c r="L1417" i="10" l="1"/>
  <c r="P1417" i="10"/>
  <c r="M1418" i="10" s="1"/>
  <c r="O1417" i="10"/>
  <c r="K1418" i="10" s="1"/>
  <c r="Q1416" i="10"/>
  <c r="N1417" i="10" l="1"/>
  <c r="J1418" i="10" s="1"/>
  <c r="L1418" i="10" l="1"/>
  <c r="P1418" i="10" s="1"/>
  <c r="M1419" i="10" s="1"/>
  <c r="Q1417" i="10"/>
  <c r="O1418" i="10"/>
  <c r="K1419" i="10" s="1"/>
  <c r="N1418" i="10" l="1"/>
  <c r="J1419" i="10" s="1"/>
  <c r="L1419" i="10" l="1"/>
  <c r="O1419" i="10"/>
  <c r="K1420" i="10" s="1"/>
  <c r="P1419" i="10"/>
  <c r="M1420" i="10" s="1"/>
  <c r="Q1418" i="10"/>
  <c r="N1419" i="10" l="1"/>
  <c r="J1420" i="10" s="1"/>
  <c r="L1420" i="10" l="1"/>
  <c r="O1420" i="10"/>
  <c r="K1421" i="10" s="1"/>
  <c r="Q1419" i="10"/>
  <c r="P1420" i="10"/>
  <c r="M1421" i="10" s="1"/>
  <c r="N1420" i="10" l="1"/>
  <c r="J1421" i="10" s="1"/>
  <c r="L1421" i="10" l="1"/>
  <c r="P1421" i="10" s="1"/>
  <c r="M1422" i="10" s="1"/>
  <c r="O1421" i="10"/>
  <c r="K1422" i="10" s="1"/>
  <c r="Q1420" i="10"/>
  <c r="N1421" i="10" l="1"/>
  <c r="J1422" i="10" s="1"/>
  <c r="L1422" i="10" l="1"/>
  <c r="O1422" i="10"/>
  <c r="K1423" i="10" s="1"/>
  <c r="P1422" i="10"/>
  <c r="M1423" i="10" s="1"/>
  <c r="Q1421" i="10"/>
  <c r="N1422" i="10" l="1"/>
  <c r="J1423" i="10" s="1"/>
  <c r="L1423" i="10" l="1"/>
  <c r="O1423" i="10"/>
  <c r="K1424" i="10" s="1"/>
  <c r="P1423" i="10"/>
  <c r="M1424" i="10" s="1"/>
  <c r="Q1422" i="10"/>
  <c r="N1423" i="10" l="1"/>
  <c r="J1424" i="10" s="1"/>
  <c r="L1424" i="10" l="1"/>
  <c r="O1424" i="10"/>
  <c r="K1425" i="10" s="1"/>
  <c r="Q1423" i="10"/>
  <c r="P1424" i="10"/>
  <c r="M1425" i="10" s="1"/>
  <c r="N1424" i="10" l="1"/>
  <c r="J1425" i="10" s="1"/>
  <c r="L1425" i="10" l="1"/>
  <c r="O1425" i="10"/>
  <c r="K1426" i="10" s="1"/>
  <c r="P1425" i="10"/>
  <c r="M1426" i="10" s="1"/>
  <c r="Q1424" i="10"/>
  <c r="N1425" i="10" l="1"/>
  <c r="J1426" i="10" s="1"/>
  <c r="L1426" i="10" l="1"/>
  <c r="O1426" i="10"/>
  <c r="K1427" i="10" s="1"/>
  <c r="P1426" i="10"/>
  <c r="M1427" i="10" s="1"/>
  <c r="Q1425" i="10"/>
  <c r="N1426" i="10" l="1"/>
  <c r="J1427" i="10" s="1"/>
  <c r="L1427" i="10" l="1"/>
  <c r="P1427" i="10" s="1"/>
  <c r="M1428" i="10" s="1"/>
  <c r="Q1426" i="10"/>
  <c r="O1427" i="10"/>
  <c r="K1428" i="10" s="1"/>
  <c r="N1427" i="10" l="1"/>
  <c r="J1428" i="10" s="1"/>
  <c r="L1428" i="10" l="1"/>
  <c r="O1428" i="10"/>
  <c r="K1429" i="10" s="1"/>
  <c r="P1428" i="10"/>
  <c r="M1429" i="10" s="1"/>
  <c r="Q1427" i="10"/>
  <c r="N1428" i="10" l="1"/>
  <c r="J1429" i="10" s="1"/>
  <c r="L1429" i="10" l="1"/>
  <c r="O1429" i="10"/>
  <c r="K1430" i="10" s="1"/>
  <c r="P1429" i="10"/>
  <c r="M1430" i="10" s="1"/>
  <c r="Q1428" i="10"/>
  <c r="N1429" i="10" l="1"/>
  <c r="J1430" i="10" s="1"/>
  <c r="L1430" i="10" l="1"/>
  <c r="O1430" i="10"/>
  <c r="K1431" i="10" s="1"/>
  <c r="P1430" i="10"/>
  <c r="M1431" i="10" s="1"/>
  <c r="Q1429" i="10"/>
  <c r="N1430" i="10" l="1"/>
  <c r="J1431" i="10" s="1"/>
  <c r="L1431" i="10" l="1"/>
  <c r="O1431" i="10"/>
  <c r="K1432" i="10" s="1"/>
  <c r="P1431" i="10"/>
  <c r="M1432" i="10" s="1"/>
  <c r="Q1430" i="10"/>
  <c r="N1431" i="10" l="1"/>
  <c r="J1432" i="10" s="1"/>
  <c r="L1432" i="10" l="1"/>
  <c r="O1432" i="10"/>
  <c r="K1433" i="10" s="1"/>
  <c r="P1432" i="10"/>
  <c r="M1433" i="10" s="1"/>
  <c r="Q1431" i="10"/>
  <c r="N1432" i="10" l="1"/>
  <c r="J1433" i="10" s="1"/>
  <c r="L1433" i="10" l="1"/>
  <c r="O1433" i="10"/>
  <c r="K1434" i="10" s="1"/>
  <c r="P1433" i="10"/>
  <c r="M1434" i="10" s="1"/>
  <c r="Q1432" i="10"/>
  <c r="N1433" i="10" l="1"/>
  <c r="J1434" i="10" s="1"/>
  <c r="L1434" i="10" l="1"/>
  <c r="O1434" i="10"/>
  <c r="K1435" i="10" s="1"/>
  <c r="P1434" i="10"/>
  <c r="M1435" i="10" s="1"/>
  <c r="Q1433" i="10"/>
  <c r="N1434" i="10" l="1"/>
  <c r="J1435" i="10" s="1"/>
  <c r="L1435" i="10" l="1"/>
  <c r="O1435" i="10"/>
  <c r="K1436" i="10" s="1"/>
  <c r="P1435" i="10"/>
  <c r="M1436" i="10" s="1"/>
  <c r="Q1434" i="10"/>
  <c r="N1435" i="10" l="1"/>
  <c r="J1436" i="10" s="1"/>
  <c r="L1436" i="10" l="1"/>
  <c r="O1436" i="10"/>
  <c r="K1437" i="10" s="1"/>
  <c r="P1436" i="10"/>
  <c r="M1437" i="10" s="1"/>
  <c r="Q1435" i="10"/>
  <c r="N1436" i="10" l="1"/>
  <c r="J1437" i="10" s="1"/>
  <c r="L1437" i="10" l="1"/>
  <c r="O1437" i="10"/>
  <c r="K1438" i="10" s="1"/>
  <c r="P1437" i="10"/>
  <c r="M1438" i="10" s="1"/>
  <c r="Q1436" i="10"/>
  <c r="N1437" i="10" l="1"/>
  <c r="J1438" i="10" s="1"/>
  <c r="L1438" i="10" l="1"/>
  <c r="O1438" i="10"/>
  <c r="K1439" i="10" s="1"/>
  <c r="Q1437" i="10"/>
  <c r="P1438" i="10"/>
  <c r="M1439" i="10" s="1"/>
  <c r="N1438" i="10" l="1"/>
  <c r="J1439" i="10" s="1"/>
  <c r="L1439" i="10" l="1"/>
  <c r="P1439" i="10" s="1"/>
  <c r="M1440" i="10" s="1"/>
  <c r="O1439" i="10"/>
  <c r="K1440" i="10" s="1"/>
  <c r="Q1438" i="10"/>
  <c r="N1439" i="10" l="1"/>
  <c r="J1440" i="10" s="1"/>
  <c r="L1440" i="10" l="1"/>
  <c r="O1440" i="10"/>
  <c r="K1441" i="10" s="1"/>
  <c r="Q1439" i="10"/>
  <c r="P1440" i="10"/>
  <c r="M1441" i="10" s="1"/>
  <c r="N1440" i="10" l="1"/>
  <c r="J1441" i="10" s="1"/>
  <c r="L1441" i="10" l="1"/>
  <c r="O1441" i="10"/>
  <c r="K1442" i="10" s="1"/>
  <c r="P1441" i="10"/>
  <c r="M1442" i="10" s="1"/>
  <c r="Q1440" i="10"/>
  <c r="N1441" i="10" l="1"/>
  <c r="J1442" i="10" s="1"/>
  <c r="L1442" i="10" l="1"/>
  <c r="O1442" i="10"/>
  <c r="K1443" i="10" s="1"/>
  <c r="P1442" i="10"/>
  <c r="M1443" i="10" s="1"/>
  <c r="Q1441" i="10"/>
  <c r="N1442" i="10" l="1"/>
  <c r="J1443" i="10" s="1"/>
  <c r="L1443" i="10" l="1"/>
  <c r="Q1442" i="10"/>
  <c r="O1443" i="10"/>
  <c r="K1444" i="10" s="1"/>
  <c r="P1443" i="10"/>
  <c r="M1444" i="10" s="1"/>
  <c r="N1443" i="10" l="1"/>
  <c r="J1444" i="10" s="1"/>
  <c r="L1444" i="10" l="1"/>
  <c r="O1444" i="10"/>
  <c r="K1445" i="10" s="1"/>
  <c r="P1444" i="10"/>
  <c r="M1445" i="10" s="1"/>
  <c r="Q1443" i="10"/>
  <c r="N1444" i="10" l="1"/>
  <c r="J1445" i="10" s="1"/>
  <c r="L1445" i="10" l="1"/>
  <c r="O1445" i="10"/>
  <c r="K1446" i="10" s="1"/>
  <c r="Q1444" i="10"/>
  <c r="P1445" i="10"/>
  <c r="M1446" i="10" s="1"/>
  <c r="N1445" i="10" l="1"/>
  <c r="J1446" i="10" s="1"/>
  <c r="L1446" i="10" l="1"/>
  <c r="O1446" i="10"/>
  <c r="K1447" i="10" s="1"/>
  <c r="P1446" i="10"/>
  <c r="M1447" i="10" s="1"/>
  <c r="Q1445" i="10"/>
  <c r="N1446" i="10" l="1"/>
  <c r="J1447" i="10" s="1"/>
  <c r="L1447" i="10" l="1"/>
  <c r="O1447" i="10"/>
  <c r="K1448" i="10" s="1"/>
  <c r="P1447" i="10"/>
  <c r="M1448" i="10" s="1"/>
  <c r="Q1446" i="10"/>
  <c r="N1447" i="10" l="1"/>
  <c r="J1448" i="10" s="1"/>
  <c r="L1448" i="10" l="1"/>
  <c r="O1448" i="10"/>
  <c r="K1449" i="10" s="1"/>
  <c r="P1448" i="10"/>
  <c r="M1449" i="10" s="1"/>
  <c r="Q1447" i="10"/>
  <c r="N1448" i="10" l="1"/>
  <c r="J1449" i="10" s="1"/>
  <c r="L1449" i="10" l="1"/>
  <c r="O1449" i="10"/>
  <c r="K1450" i="10" s="1"/>
  <c r="P1449" i="10"/>
  <c r="M1450" i="10" s="1"/>
  <c r="Q1448" i="10"/>
  <c r="N1449" i="10" l="1"/>
  <c r="J1450" i="10" s="1"/>
  <c r="L1450" i="10" l="1"/>
  <c r="O1450" i="10"/>
  <c r="K1451" i="10" s="1"/>
  <c r="P1450" i="10"/>
  <c r="M1451" i="10" s="1"/>
  <c r="Q1449" i="10"/>
  <c r="N1450" i="10" l="1"/>
  <c r="J1451" i="10" s="1"/>
  <c r="L1451" i="10" l="1"/>
  <c r="O1451" i="10"/>
  <c r="K1452" i="10" s="1"/>
  <c r="P1451" i="10"/>
  <c r="M1452" i="10" s="1"/>
  <c r="Q1450" i="10"/>
  <c r="N1451" i="10" l="1"/>
  <c r="J1452" i="10" s="1"/>
  <c r="L1452" i="10" l="1"/>
  <c r="O1452" i="10"/>
  <c r="K1453" i="10" s="1"/>
  <c r="P1452" i="10"/>
  <c r="M1453" i="10" s="1"/>
  <c r="Q1451" i="10"/>
  <c r="N1452" i="10" l="1"/>
  <c r="J1453" i="10" s="1"/>
  <c r="L1453" i="10" l="1"/>
  <c r="O1453" i="10"/>
  <c r="K1454" i="10" s="1"/>
  <c r="P1453" i="10"/>
  <c r="M1454" i="10" s="1"/>
  <c r="Q1452" i="10"/>
  <c r="N1453" i="10" l="1"/>
  <c r="J1454" i="10" s="1"/>
  <c r="L1454" i="10" l="1"/>
  <c r="O1454" i="10"/>
  <c r="K1455" i="10" s="1"/>
  <c r="P1454" i="10"/>
  <c r="M1455" i="10" s="1"/>
  <c r="Q1453" i="10"/>
  <c r="N1454" i="10" l="1"/>
  <c r="J1455" i="10" s="1"/>
  <c r="L1455" i="10" l="1"/>
  <c r="O1455" i="10"/>
  <c r="K1456" i="10" s="1"/>
  <c r="P1455" i="10"/>
  <c r="M1456" i="10" s="1"/>
  <c r="Q1454" i="10"/>
  <c r="N1455" i="10" l="1"/>
  <c r="J1456" i="10" s="1"/>
  <c r="L1456" i="10" l="1"/>
  <c r="O1456" i="10"/>
  <c r="K1457" i="10" s="1"/>
  <c r="P1456" i="10"/>
  <c r="M1457" i="10" s="1"/>
  <c r="Q1455" i="10"/>
  <c r="N1456" i="10" l="1"/>
  <c r="J1457" i="10" s="1"/>
  <c r="L1457" i="10" l="1"/>
  <c r="O1457" i="10"/>
  <c r="K1458" i="10" s="1"/>
  <c r="P1457" i="10"/>
  <c r="M1458" i="10" s="1"/>
  <c r="Q1456" i="10"/>
  <c r="N1457" i="10" l="1"/>
  <c r="J1458" i="10" s="1"/>
  <c r="L1458" i="10" l="1"/>
  <c r="O1458" i="10"/>
  <c r="K1459" i="10" s="1"/>
  <c r="P1458" i="10"/>
  <c r="M1459" i="10" s="1"/>
  <c r="Q1457" i="10"/>
  <c r="N1458" i="10" l="1"/>
  <c r="J1459" i="10" s="1"/>
  <c r="L1459" i="10" l="1"/>
  <c r="O1459" i="10"/>
  <c r="K1460" i="10" s="1"/>
  <c r="P1459" i="10"/>
  <c r="M1460" i="10" s="1"/>
  <c r="Q1458" i="10"/>
  <c r="N1459" i="10" l="1"/>
  <c r="J1460" i="10" s="1"/>
  <c r="L1460" i="10" l="1"/>
  <c r="O1460" i="10"/>
  <c r="K1461" i="10" s="1"/>
  <c r="P1460" i="10"/>
  <c r="M1461" i="10" s="1"/>
  <c r="Q1459" i="10"/>
  <c r="N1460" i="10" l="1"/>
  <c r="J1461" i="10" s="1"/>
  <c r="L1461" i="10" l="1"/>
  <c r="O1461" i="10"/>
  <c r="K1462" i="10" s="1"/>
  <c r="P1461" i="10"/>
  <c r="M1462" i="10" s="1"/>
  <c r="Q1460" i="10"/>
  <c r="N1461" i="10" l="1"/>
  <c r="J1462" i="10" s="1"/>
  <c r="L1462" i="10" l="1"/>
  <c r="O1462" i="10"/>
  <c r="K1463" i="10" s="1"/>
  <c r="P1462" i="10"/>
  <c r="M1463" i="10" s="1"/>
  <c r="Q1461" i="10"/>
  <c r="N1462" i="10" l="1"/>
  <c r="J1463" i="10" s="1"/>
  <c r="L1463" i="10" l="1"/>
  <c r="O1463" i="10"/>
  <c r="K1464" i="10" s="1"/>
  <c r="P1463" i="10"/>
  <c r="M1464" i="10" s="1"/>
  <c r="Q1462" i="10"/>
  <c r="N1463" i="10" l="1"/>
  <c r="J1464" i="10" s="1"/>
  <c r="L1464" i="10" l="1"/>
  <c r="O1464" i="10"/>
  <c r="K1465" i="10" s="1"/>
  <c r="P1464" i="10"/>
  <c r="M1465" i="10" s="1"/>
  <c r="Q1463" i="10"/>
  <c r="N1464" i="10" l="1"/>
  <c r="J1465" i="10" s="1"/>
  <c r="L1465" i="10" l="1"/>
  <c r="O1465" i="10"/>
  <c r="K1466" i="10" s="1"/>
  <c r="P1465" i="10"/>
  <c r="M1466" i="10" s="1"/>
  <c r="Q1464" i="10"/>
  <c r="N1465" i="10" l="1"/>
  <c r="J1466" i="10" s="1"/>
  <c r="L1466" i="10" l="1"/>
  <c r="O1466" i="10"/>
  <c r="K1467" i="10" s="1"/>
  <c r="P1466" i="10"/>
  <c r="M1467" i="10" s="1"/>
  <c r="Q1465" i="10"/>
  <c r="N1466" i="10" l="1"/>
  <c r="J1467" i="10" s="1"/>
  <c r="L1467" i="10" l="1"/>
  <c r="O1467" i="10"/>
  <c r="K1468" i="10" s="1"/>
  <c r="P1467" i="10"/>
  <c r="M1468" i="10" s="1"/>
  <c r="Q1466" i="10"/>
  <c r="N1467" i="10" l="1"/>
  <c r="J1468" i="10" s="1"/>
  <c r="L1468" i="10" l="1"/>
  <c r="O1468" i="10"/>
  <c r="K1469" i="10" s="1"/>
  <c r="P1468" i="10"/>
  <c r="M1469" i="10" s="1"/>
  <c r="Q1467" i="10"/>
  <c r="N1468" i="10" l="1"/>
  <c r="J1469" i="10" s="1"/>
  <c r="L1469" i="10" l="1"/>
  <c r="P1469" i="10"/>
  <c r="M1470" i="10" s="1"/>
  <c r="O1469" i="10"/>
  <c r="K1470" i="10" s="1"/>
  <c r="Q1468" i="10"/>
  <c r="N1469" i="10" l="1"/>
  <c r="J1470" i="10" s="1"/>
  <c r="L1470" i="10" l="1"/>
  <c r="O1470" i="10"/>
  <c r="K1471" i="10" s="1"/>
  <c r="P1470" i="10"/>
  <c r="M1471" i="10" s="1"/>
  <c r="Q1469" i="10"/>
  <c r="N1470" i="10" l="1"/>
  <c r="J1471" i="10" s="1"/>
  <c r="L1471" i="10" l="1"/>
  <c r="Q1470" i="10"/>
  <c r="O1471" i="10"/>
  <c r="K1472" i="10" s="1"/>
  <c r="P1471" i="10"/>
  <c r="M1472" i="10" s="1"/>
  <c r="N1471" i="10" l="1"/>
  <c r="J1472" i="10" s="1"/>
  <c r="L1472" i="10" l="1"/>
  <c r="P1472" i="10"/>
  <c r="M1473" i="10" s="1"/>
  <c r="O1472" i="10"/>
  <c r="K1473" i="10" s="1"/>
  <c r="Q1471" i="10"/>
  <c r="N1472" i="10" l="1"/>
  <c r="J1473" i="10" s="1"/>
  <c r="L1473" i="10" l="1"/>
  <c r="O1473" i="10"/>
  <c r="K1474" i="10" s="1"/>
  <c r="Q1472" i="10"/>
  <c r="P1473" i="10"/>
  <c r="M1474" i="10" s="1"/>
  <c r="N1473" i="10" l="1"/>
  <c r="J1474" i="10" s="1"/>
  <c r="L1474" i="10" l="1"/>
  <c r="O1474" i="10"/>
  <c r="K1475" i="10" s="1"/>
  <c r="P1474" i="10"/>
  <c r="M1475" i="10" s="1"/>
  <c r="Q1473" i="10"/>
  <c r="N1474" i="10" l="1"/>
  <c r="J1475" i="10" s="1"/>
  <c r="L1475" i="10" l="1"/>
  <c r="O1475" i="10"/>
  <c r="K1476" i="10" s="1"/>
  <c r="Q1474" i="10"/>
  <c r="P1475" i="10"/>
  <c r="M1476" i="10" s="1"/>
  <c r="N1475" i="10" l="1"/>
  <c r="J1476" i="10" s="1"/>
  <c r="L1476" i="10" l="1"/>
  <c r="P1476" i="10"/>
  <c r="M1477" i="10" s="1"/>
  <c r="O1476" i="10"/>
  <c r="K1477" i="10" s="1"/>
  <c r="Q1475" i="10"/>
  <c r="N1476" i="10" l="1"/>
  <c r="J1477" i="10" s="1"/>
  <c r="L1477" i="10" l="1"/>
  <c r="P1477" i="10" s="1"/>
  <c r="M1478" i="10" s="1"/>
  <c r="O1477" i="10"/>
  <c r="K1478" i="10" s="1"/>
  <c r="Q1476" i="10"/>
  <c r="N1477" i="10" l="1"/>
  <c r="J1478" i="10" s="1"/>
  <c r="L1478" i="10" l="1"/>
  <c r="O1478" i="10"/>
  <c r="K1479" i="10" s="1"/>
  <c r="Q1477" i="10"/>
  <c r="P1478" i="10"/>
  <c r="M1479" i="10" s="1"/>
  <c r="N1478" i="10" l="1"/>
  <c r="J1479" i="10" s="1"/>
  <c r="L1479" i="10" l="1"/>
  <c r="Q1478" i="10"/>
  <c r="O1479" i="10"/>
  <c r="K1480" i="10" s="1"/>
  <c r="P1479" i="10"/>
  <c r="M1480" i="10" s="1"/>
  <c r="N1479" i="10" l="1"/>
  <c r="J1480" i="10" s="1"/>
  <c r="L1480" i="10" l="1"/>
  <c r="P1480" i="10" s="1"/>
  <c r="M1481" i="10" s="1"/>
  <c r="O1480" i="10"/>
  <c r="K1481" i="10" s="1"/>
  <c r="Q1479" i="10"/>
  <c r="N1480" i="10" l="1"/>
  <c r="J1481" i="10" s="1"/>
  <c r="L1481" i="10" l="1"/>
  <c r="O1481" i="10"/>
  <c r="K1482" i="10" s="1"/>
  <c r="P1481" i="10"/>
  <c r="M1482" i="10" s="1"/>
  <c r="Q1480" i="10"/>
  <c r="N1481" i="10" l="1"/>
  <c r="J1482" i="10" s="1"/>
  <c r="L1482" i="10" l="1"/>
  <c r="O1482" i="10"/>
  <c r="K1483" i="10" s="1"/>
  <c r="P1482" i="10"/>
  <c r="M1483" i="10" s="1"/>
  <c r="Q1481" i="10"/>
  <c r="N1482" i="10" l="1"/>
  <c r="J1483" i="10" s="1"/>
  <c r="L1483" i="10" l="1"/>
  <c r="O1483" i="10"/>
  <c r="K1484" i="10" s="1"/>
  <c r="Q1482" i="10"/>
  <c r="P1483" i="10"/>
  <c r="M1484" i="10" s="1"/>
  <c r="N1483" i="10" l="1"/>
  <c r="J1484" i="10" s="1"/>
  <c r="L1484" i="10" l="1"/>
  <c r="O1484" i="10"/>
  <c r="K1485" i="10" s="1"/>
  <c r="Q1483" i="10"/>
  <c r="P1484" i="10"/>
  <c r="M1485" i="10" s="1"/>
  <c r="N1484" i="10" l="1"/>
  <c r="J1485" i="10" s="1"/>
  <c r="L1485" i="10" l="1"/>
  <c r="O1485" i="10"/>
  <c r="K1486" i="10" s="1"/>
  <c r="Q1484" i="10"/>
  <c r="P1485" i="10"/>
  <c r="M1486" i="10" s="1"/>
  <c r="N1485" i="10" l="1"/>
  <c r="J1486" i="10" s="1"/>
  <c r="L1486" i="10" l="1"/>
  <c r="Q1485" i="10"/>
  <c r="O1486" i="10"/>
  <c r="K1487" i="10" s="1"/>
  <c r="P1486" i="10"/>
  <c r="M1487" i="10" s="1"/>
  <c r="N1486" i="10" l="1"/>
  <c r="J1487" i="10" s="1"/>
  <c r="L1487" i="10" l="1"/>
  <c r="P1487" i="10" s="1"/>
  <c r="M1488" i="10" s="1"/>
  <c r="O1487" i="10"/>
  <c r="K1488" i="10" s="1"/>
  <c r="Q1486" i="10"/>
  <c r="N1487" i="10" l="1"/>
  <c r="J1488" i="10" s="1"/>
  <c r="L1488" i="10" l="1"/>
  <c r="P1488" i="10" s="1"/>
  <c r="M1489" i="10" s="1"/>
  <c r="O1488" i="10"/>
  <c r="K1489" i="10" s="1"/>
  <c r="Q1487" i="10"/>
  <c r="N1488" i="10" l="1"/>
  <c r="J1489" i="10" s="1"/>
  <c r="L1489" i="10" l="1"/>
  <c r="O1489" i="10"/>
  <c r="K1490" i="10" s="1"/>
  <c r="P1489" i="10"/>
  <c r="M1490" i="10" s="1"/>
  <c r="Q1488" i="10"/>
  <c r="N1489" i="10" l="1"/>
  <c r="J1490" i="10" s="1"/>
  <c r="L1490" i="10" l="1"/>
  <c r="Q1489" i="10"/>
  <c r="O1490" i="10"/>
  <c r="K1491" i="10" s="1"/>
  <c r="P1490" i="10"/>
  <c r="M1491" i="10" s="1"/>
  <c r="N1490" i="10" l="1"/>
  <c r="J1491" i="10" s="1"/>
  <c r="L1491" i="10" l="1"/>
  <c r="P1491" i="10" s="1"/>
  <c r="M1492" i="10" s="1"/>
  <c r="Q1490" i="10"/>
  <c r="O1491" i="10"/>
  <c r="K1492" i="10" s="1"/>
  <c r="N1491" i="10" l="1"/>
  <c r="J1492" i="10" s="1"/>
  <c r="L1492" i="10" l="1"/>
  <c r="O1492" i="10"/>
  <c r="K1493" i="10" s="1"/>
  <c r="P1492" i="10"/>
  <c r="M1493" i="10" s="1"/>
  <c r="Q1491" i="10"/>
  <c r="N1492" i="10" l="1"/>
  <c r="J1493" i="10" s="1"/>
  <c r="L1493" i="10" l="1"/>
  <c r="O1493" i="10"/>
  <c r="K1494" i="10" s="1"/>
  <c r="Q1492" i="10"/>
  <c r="P1493" i="10"/>
  <c r="M1494" i="10" s="1"/>
  <c r="N1493" i="10" l="1"/>
  <c r="J1494" i="10" s="1"/>
  <c r="L1494" i="10" l="1"/>
  <c r="O1494" i="10"/>
  <c r="K1495" i="10" s="1"/>
  <c r="P1494" i="10"/>
  <c r="M1495" i="10" s="1"/>
  <c r="Q1493" i="10"/>
  <c r="N1494" i="10" l="1"/>
  <c r="J1495" i="10" s="1"/>
  <c r="L1495" i="10" l="1"/>
  <c r="O1495" i="10"/>
  <c r="K1496" i="10" s="1"/>
  <c r="Q1494" i="10"/>
  <c r="P1495" i="10"/>
  <c r="M1496" i="10" s="1"/>
  <c r="N1495" i="10" l="1"/>
  <c r="J1496" i="10" s="1"/>
  <c r="L1496" i="10" l="1"/>
  <c r="P1496" i="10"/>
  <c r="M1497" i="10" s="1"/>
  <c r="O1496" i="10"/>
  <c r="K1497" i="10" s="1"/>
  <c r="Q1495" i="10"/>
  <c r="N1496" i="10" l="1"/>
  <c r="J1497" i="10" s="1"/>
  <c r="L1497" i="10" l="1"/>
  <c r="P1497" i="10" s="1"/>
  <c r="M1498" i="10" s="1"/>
  <c r="Q1496" i="10"/>
  <c r="O1497" i="10"/>
  <c r="K1498" i="10" s="1"/>
  <c r="N1497" i="10" l="1"/>
  <c r="J1498" i="10" s="1"/>
  <c r="L1498" i="10" l="1"/>
  <c r="P1498" i="10" s="1"/>
  <c r="M1499" i="10" s="1"/>
  <c r="O1498" i="10"/>
  <c r="K1499" i="10" s="1"/>
  <c r="Q1497" i="10"/>
  <c r="N1498" i="10" l="1"/>
  <c r="J1499" i="10" s="1"/>
  <c r="L1499" i="10" l="1"/>
  <c r="O1499" i="10"/>
  <c r="K1500" i="10" s="1"/>
  <c r="P1499" i="10"/>
  <c r="M1500" i="10" s="1"/>
  <c r="Q1498" i="10"/>
  <c r="N1499" i="10" l="1"/>
  <c r="J1500" i="10" s="1"/>
  <c r="L1500" i="10" l="1"/>
  <c r="O1500" i="10"/>
  <c r="K1501" i="10" s="1"/>
  <c r="P1500" i="10"/>
  <c r="M1501" i="10" s="1"/>
  <c r="Q1499" i="10"/>
  <c r="N1500" i="10" l="1"/>
  <c r="J1501" i="10" s="1"/>
  <c r="L1501" i="10" l="1"/>
  <c r="O1501" i="10"/>
  <c r="K1502" i="10" s="1"/>
  <c r="Q1500" i="10"/>
  <c r="P1501" i="10"/>
  <c r="M1502" i="10" s="1"/>
  <c r="N1501" i="10" l="1"/>
  <c r="J1502" i="10" s="1"/>
  <c r="L1502" i="10" l="1"/>
  <c r="O1502" i="10"/>
  <c r="K1503" i="10" s="1"/>
  <c r="P1502" i="10"/>
  <c r="M1503" i="10" s="1"/>
  <c r="Q1501" i="10"/>
  <c r="N1502" i="10" l="1"/>
  <c r="J1503" i="10" s="1"/>
  <c r="L1503" i="10" l="1"/>
  <c r="O1503" i="10"/>
  <c r="K1504" i="10" s="1"/>
  <c r="P1503" i="10"/>
  <c r="M1504" i="10" s="1"/>
  <c r="Q1502" i="10"/>
  <c r="N1503" i="10" l="1"/>
  <c r="J1504" i="10" s="1"/>
  <c r="L1504" i="10" l="1"/>
  <c r="O1504" i="10"/>
  <c r="K1505" i="10" s="1"/>
  <c r="Q1503" i="10"/>
  <c r="P1504" i="10"/>
  <c r="M1505" i="10" s="1"/>
  <c r="N1504" i="10" l="1"/>
  <c r="J1505" i="10" s="1"/>
  <c r="L1505" i="10" l="1"/>
  <c r="O1505" i="10"/>
  <c r="K1506" i="10" s="1"/>
  <c r="Q1504" i="10"/>
  <c r="P1505" i="10"/>
  <c r="M1506" i="10" s="1"/>
  <c r="N1505" i="10" l="1"/>
  <c r="J1506" i="10" s="1"/>
  <c r="L1506" i="10" l="1"/>
  <c r="O1506" i="10"/>
  <c r="K1507" i="10" s="1"/>
  <c r="Q1505" i="10"/>
  <c r="P1506" i="10"/>
  <c r="M1507" i="10" s="1"/>
  <c r="N1506" i="10" l="1"/>
  <c r="J1507" i="10" s="1"/>
  <c r="L1507" i="10" l="1"/>
  <c r="O1507" i="10"/>
  <c r="K1508" i="10" s="1"/>
  <c r="P1507" i="10"/>
  <c r="M1508" i="10" s="1"/>
  <c r="Q1506" i="10"/>
  <c r="N1507" i="10" l="1"/>
  <c r="J1508" i="10" s="1"/>
  <c r="L1508" i="10" l="1"/>
  <c r="P1508" i="10" s="1"/>
  <c r="M1509" i="10" s="1"/>
  <c r="Q1507" i="10"/>
  <c r="O1508" i="10"/>
  <c r="K1509" i="10" s="1"/>
  <c r="N1508" i="10" l="1"/>
  <c r="J1509" i="10" s="1"/>
  <c r="L1509" i="10" l="1"/>
  <c r="Q1508" i="10"/>
  <c r="P1509" i="10"/>
  <c r="M1510" i="10" s="1"/>
  <c r="O1509" i="10"/>
  <c r="K1510" i="10" s="1"/>
  <c r="N1509" i="10" l="1"/>
  <c r="J1510" i="10" s="1"/>
  <c r="L1510" i="10" l="1"/>
  <c r="Q1509" i="10"/>
  <c r="O1510" i="10"/>
  <c r="K1511" i="10" s="1"/>
  <c r="P1510" i="10"/>
  <c r="M1511" i="10" s="1"/>
  <c r="N1510" i="10" l="1"/>
  <c r="J1511" i="10" s="1"/>
  <c r="L1511" i="10" l="1"/>
  <c r="P1511" i="10" s="1"/>
  <c r="M1512" i="10" s="1"/>
  <c r="O1511" i="10"/>
  <c r="K1512" i="10" s="1"/>
  <c r="Q1510" i="10"/>
  <c r="N1511" i="10" l="1"/>
  <c r="J1512" i="10" s="1"/>
  <c r="L1512" i="10" l="1"/>
  <c r="O1512" i="10"/>
  <c r="K1513" i="10" s="1"/>
  <c r="Q1511" i="10"/>
  <c r="P1512" i="10"/>
  <c r="M1513" i="10" s="1"/>
  <c r="N1512" i="10" l="1"/>
  <c r="J1513" i="10" s="1"/>
  <c r="L1513" i="10" l="1"/>
  <c r="O1513" i="10"/>
  <c r="K1514" i="10" s="1"/>
  <c r="P1513" i="10"/>
  <c r="M1514" i="10" s="1"/>
  <c r="Q1512" i="10"/>
  <c r="N1513" i="10" l="1"/>
  <c r="J1514" i="10" s="1"/>
  <c r="L1514" i="10" l="1"/>
  <c r="O1514" i="10"/>
  <c r="K1515" i="10" s="1"/>
  <c r="Q1513" i="10"/>
  <c r="P1514" i="10"/>
  <c r="M1515" i="10" s="1"/>
  <c r="N1514" i="10" l="1"/>
  <c r="J1515" i="10" s="1"/>
  <c r="L1515" i="10" l="1"/>
  <c r="O1515" i="10"/>
  <c r="K1516" i="10" s="1"/>
  <c r="P1515" i="10"/>
  <c r="M1516" i="10" s="1"/>
  <c r="Q1514" i="10"/>
  <c r="N1515" i="10" l="1"/>
  <c r="J1516" i="10" s="1"/>
  <c r="L1516" i="10" l="1"/>
  <c r="P1516" i="10" s="1"/>
  <c r="M1517" i="10" s="1"/>
  <c r="Q1515" i="10"/>
  <c r="O1516" i="10"/>
  <c r="K1517" i="10" s="1"/>
  <c r="N1516" i="10" l="1"/>
  <c r="J1517" i="10" s="1"/>
  <c r="L1517" i="10" l="1"/>
  <c r="P1517" i="10" s="1"/>
  <c r="M1518" i="10" s="1"/>
  <c r="O1517" i="10"/>
  <c r="K1518" i="10" s="1"/>
  <c r="Q1516" i="10"/>
  <c r="N1517" i="10" l="1"/>
  <c r="J1518" i="10" s="1"/>
  <c r="L1518" i="10" l="1"/>
  <c r="O1518" i="10"/>
  <c r="K1519" i="10" s="1"/>
  <c r="Q1517" i="10"/>
  <c r="P1518" i="10"/>
  <c r="M1519" i="10" s="1"/>
  <c r="N1518" i="10" l="1"/>
  <c r="J1519" i="10" s="1"/>
  <c r="L1519" i="10" l="1"/>
  <c r="O1519" i="10"/>
  <c r="K1520" i="10" s="1"/>
  <c r="P1519" i="10"/>
  <c r="M1520" i="10" s="1"/>
  <c r="Q1518" i="10"/>
  <c r="N1519" i="10" l="1"/>
  <c r="J1520" i="10" s="1"/>
  <c r="L1520" i="10" l="1"/>
  <c r="O1520" i="10"/>
  <c r="K1521" i="10" s="1"/>
  <c r="P1520" i="10"/>
  <c r="M1521" i="10" s="1"/>
  <c r="Q1519" i="10"/>
  <c r="N1520" i="10" l="1"/>
  <c r="J1521" i="10" s="1"/>
  <c r="L1521" i="10" l="1"/>
  <c r="P1521" i="10" s="1"/>
  <c r="M1522" i="10" s="1"/>
  <c r="O1521" i="10"/>
  <c r="K1522" i="10" s="1"/>
  <c r="Q1520" i="10"/>
  <c r="N1521" i="10" l="1"/>
  <c r="J1522" i="10" s="1"/>
  <c r="L1522" i="10" l="1"/>
  <c r="P1522" i="10" s="1"/>
  <c r="M1523" i="10" s="1"/>
  <c r="Q1521" i="10"/>
  <c r="O1522" i="10"/>
  <c r="K1523" i="10" s="1"/>
  <c r="N1522" i="10" l="1"/>
  <c r="J1523" i="10" s="1"/>
  <c r="L1523" i="10" l="1"/>
  <c r="P1523" i="10" s="1"/>
  <c r="M1524" i="10" s="1"/>
  <c r="Q1522" i="10"/>
  <c r="O1523" i="10"/>
  <c r="K1524" i="10" s="1"/>
  <c r="N1523" i="10" l="1"/>
  <c r="J1524" i="10" s="1"/>
  <c r="L1524" i="10" l="1"/>
  <c r="O1524" i="10"/>
  <c r="K1525" i="10" s="1"/>
  <c r="P1524" i="10"/>
  <c r="M1525" i="10" s="1"/>
  <c r="Q1523" i="10"/>
  <c r="N1524" i="10" l="1"/>
  <c r="J1525" i="10" s="1"/>
  <c r="L1525" i="10" l="1"/>
  <c r="P1525" i="10" s="1"/>
  <c r="M1526" i="10" s="1"/>
  <c r="O1525" i="10"/>
  <c r="K1526" i="10" s="1"/>
  <c r="Q1524" i="10"/>
  <c r="N1525" i="10" l="1"/>
  <c r="J1526" i="10" s="1"/>
  <c r="L1526" i="10" l="1"/>
  <c r="O1526" i="10"/>
  <c r="K1527" i="10" s="1"/>
  <c r="P1526" i="10"/>
  <c r="M1527" i="10" s="1"/>
  <c r="Q1525" i="10"/>
  <c r="N1526" i="10" l="1"/>
  <c r="J1527" i="10" s="1"/>
  <c r="L1527" i="10" l="1"/>
  <c r="O1527" i="10"/>
  <c r="K1528" i="10" s="1"/>
  <c r="P1527" i="10"/>
  <c r="M1528" i="10" s="1"/>
  <c r="Q1526" i="10"/>
  <c r="N1527" i="10" l="1"/>
  <c r="J1528" i="10" s="1"/>
  <c r="L1528" i="10" l="1"/>
  <c r="O1528" i="10"/>
  <c r="K1529" i="10" s="1"/>
  <c r="P1528" i="10"/>
  <c r="M1529" i="10" s="1"/>
  <c r="Q1527" i="10"/>
  <c r="N1528" i="10" l="1"/>
  <c r="J1529" i="10" s="1"/>
  <c r="L1529" i="10" l="1"/>
  <c r="O1529" i="10"/>
  <c r="K1530" i="10" s="1"/>
  <c r="P1529" i="10"/>
  <c r="M1530" i="10" s="1"/>
  <c r="Q1528" i="10"/>
  <c r="N1529" i="10" l="1"/>
  <c r="J1530" i="10" s="1"/>
  <c r="L1530" i="10" l="1"/>
  <c r="O1530" i="10"/>
  <c r="K1531" i="10" s="1"/>
  <c r="P1530" i="10"/>
  <c r="M1531" i="10" s="1"/>
  <c r="Q1529" i="10"/>
  <c r="N1530" i="10" l="1"/>
  <c r="J1531" i="10" s="1"/>
  <c r="L1531" i="10" l="1"/>
  <c r="O1531" i="10"/>
  <c r="K1532" i="10" s="1"/>
  <c r="P1531" i="10"/>
  <c r="M1532" i="10" s="1"/>
  <c r="Q1530" i="10"/>
  <c r="N1531" i="10" l="1"/>
  <c r="J1532" i="10" s="1"/>
  <c r="L1532" i="10" l="1"/>
  <c r="O1532" i="10"/>
  <c r="K1533" i="10" s="1"/>
  <c r="P1532" i="10"/>
  <c r="M1533" i="10" s="1"/>
  <c r="Q1531" i="10"/>
  <c r="N1532" i="10" l="1"/>
  <c r="J1533" i="10" s="1"/>
  <c r="L1533" i="10" l="1"/>
  <c r="O1533" i="10"/>
  <c r="K1534" i="10" s="1"/>
  <c r="P1533" i="10"/>
  <c r="M1534" i="10" s="1"/>
  <c r="Q1532" i="10"/>
  <c r="N1533" i="10" l="1"/>
  <c r="J1534" i="10" s="1"/>
  <c r="L1534" i="10" l="1"/>
  <c r="P1534" i="10"/>
  <c r="M1535" i="10" s="1"/>
  <c r="O1534" i="10"/>
  <c r="K1535" i="10" s="1"/>
  <c r="Q1533" i="10"/>
  <c r="N1534" i="10" l="1"/>
  <c r="J1535" i="10" s="1"/>
  <c r="L1535" i="10" l="1"/>
  <c r="O1535" i="10"/>
  <c r="K1536" i="10" s="1"/>
  <c r="Q1534" i="10"/>
  <c r="P1535" i="10"/>
  <c r="M1536" i="10" s="1"/>
  <c r="N1535" i="10" l="1"/>
  <c r="J1536" i="10" s="1"/>
  <c r="L1536" i="10" l="1"/>
  <c r="O1536" i="10"/>
  <c r="K1537" i="10" s="1"/>
  <c r="Q1535" i="10"/>
  <c r="P1536" i="10"/>
  <c r="M1537" i="10" s="1"/>
  <c r="N1536" i="10" l="1"/>
  <c r="J1537" i="10" s="1"/>
  <c r="L1537" i="10" l="1"/>
  <c r="O1537" i="10"/>
  <c r="K1538" i="10" s="1"/>
  <c r="P1537" i="10"/>
  <c r="M1538" i="10" s="1"/>
  <c r="Q1536" i="10"/>
  <c r="N1537" i="10" l="1"/>
  <c r="J1538" i="10" s="1"/>
  <c r="L1538" i="10" l="1"/>
  <c r="O1538" i="10"/>
  <c r="K1539" i="10" s="1"/>
  <c r="P1538" i="10"/>
  <c r="M1539" i="10" s="1"/>
  <c r="Q1537" i="10"/>
  <c r="N1538" i="10" l="1"/>
  <c r="J1539" i="10" s="1"/>
  <c r="L1539" i="10" l="1"/>
  <c r="O1539" i="10"/>
  <c r="K1540" i="10" s="1"/>
  <c r="P1539" i="10"/>
  <c r="M1540" i="10" s="1"/>
  <c r="Q1538" i="10"/>
  <c r="N1539" i="10" l="1"/>
  <c r="J1540" i="10" s="1"/>
  <c r="L1540" i="10" l="1"/>
  <c r="O1540" i="10"/>
  <c r="K1541" i="10" s="1"/>
  <c r="P1540" i="10"/>
  <c r="M1541" i="10" s="1"/>
  <c r="Q1539" i="10"/>
  <c r="N1540" i="10" l="1"/>
  <c r="J1541" i="10" s="1"/>
  <c r="L1541" i="10" l="1"/>
  <c r="P1541" i="10" s="1"/>
  <c r="M1542" i="10" s="1"/>
  <c r="O1541" i="10"/>
  <c r="K1542" i="10" s="1"/>
  <c r="Q1540" i="10"/>
  <c r="N1541" i="10" l="1"/>
  <c r="J1542" i="10" s="1"/>
  <c r="L1542" i="10" l="1"/>
  <c r="O1542" i="10"/>
  <c r="K1543" i="10" s="1"/>
  <c r="P1542" i="10"/>
  <c r="M1543" i="10" s="1"/>
  <c r="Q1541" i="10"/>
  <c r="N1542" i="10" l="1"/>
  <c r="J1543" i="10" s="1"/>
  <c r="L1543" i="10" l="1"/>
  <c r="Q1542" i="10"/>
  <c r="O1543" i="10"/>
  <c r="K1544" i="10" s="1"/>
  <c r="P1543" i="10"/>
  <c r="M1544" i="10" s="1"/>
  <c r="N1543" i="10" l="1"/>
  <c r="J1544" i="10" s="1"/>
  <c r="L1544" i="10" l="1"/>
  <c r="O1544" i="10"/>
  <c r="K1545" i="10" s="1"/>
  <c r="Q1543" i="10"/>
  <c r="P1544" i="10"/>
  <c r="M1545" i="10" s="1"/>
  <c r="N1544" i="10" l="1"/>
  <c r="J1545" i="10" s="1"/>
  <c r="L1545" i="10" l="1"/>
  <c r="O1545" i="10"/>
  <c r="K1546" i="10" s="1"/>
  <c r="Q1544" i="10"/>
  <c r="P1545" i="10"/>
  <c r="M1546" i="10" s="1"/>
  <c r="N1545" i="10" l="1"/>
  <c r="J1546" i="10" s="1"/>
  <c r="L1546" i="10" l="1"/>
  <c r="P1546" i="10" s="1"/>
  <c r="M1547" i="10" s="1"/>
  <c r="Q1545" i="10"/>
  <c r="O1546" i="10"/>
  <c r="K1547" i="10" s="1"/>
  <c r="N1546" i="10" l="1"/>
  <c r="J1547" i="10" s="1"/>
  <c r="L1547" i="10" l="1"/>
  <c r="O1547" i="10"/>
  <c r="K1548" i="10" s="1"/>
  <c r="P1547" i="10"/>
  <c r="M1548" i="10" s="1"/>
  <c r="Q1546" i="10"/>
  <c r="N1547" i="10" l="1"/>
  <c r="J1548" i="10" s="1"/>
  <c r="L1548" i="10" l="1"/>
  <c r="P1548" i="10" s="1"/>
  <c r="M1549" i="10" s="1"/>
  <c r="Q1547" i="10"/>
  <c r="O1548" i="10"/>
  <c r="K1549" i="10" s="1"/>
  <c r="N1548" i="10" l="1"/>
  <c r="J1549" i="10" s="1"/>
  <c r="L1549" i="10" l="1"/>
  <c r="O1549" i="10"/>
  <c r="K1550" i="10" s="1"/>
  <c r="P1549" i="10"/>
  <c r="M1550" i="10" s="1"/>
  <c r="Q1548" i="10"/>
  <c r="N1549" i="10" l="1"/>
  <c r="J1550" i="10" s="1"/>
  <c r="L1550" i="10" l="1"/>
  <c r="O1550" i="10"/>
  <c r="K1551" i="10" s="1"/>
  <c r="P1550" i="10"/>
  <c r="M1551" i="10" s="1"/>
  <c r="Q1549" i="10"/>
  <c r="N1550" i="10" l="1"/>
  <c r="J1551" i="10" s="1"/>
  <c r="L1551" i="10" l="1"/>
  <c r="O1551" i="10"/>
  <c r="K1552" i="10" s="1"/>
  <c r="P1551" i="10"/>
  <c r="M1552" i="10" s="1"/>
  <c r="Q1550" i="10"/>
  <c r="N1551" i="10" l="1"/>
  <c r="J1552" i="10" s="1"/>
  <c r="L1552" i="10" l="1"/>
  <c r="Q1551" i="10"/>
  <c r="O1552" i="10"/>
  <c r="K1553" i="10" s="1"/>
  <c r="P1552" i="10"/>
  <c r="M1553" i="10" s="1"/>
  <c r="N1552" i="10" l="1"/>
  <c r="J1553" i="10" s="1"/>
  <c r="L1553" i="10" l="1"/>
  <c r="O1553" i="10"/>
  <c r="K1554" i="10" s="1"/>
  <c r="P1553" i="10"/>
  <c r="M1554" i="10" s="1"/>
  <c r="Q1552" i="10"/>
  <c r="N1553" i="10" l="1"/>
  <c r="J1554" i="10" s="1"/>
  <c r="L1554" i="10" l="1"/>
  <c r="O1554" i="10"/>
  <c r="K1555" i="10" s="1"/>
  <c r="Q1553" i="10"/>
  <c r="P1554" i="10"/>
  <c r="M1555" i="10" s="1"/>
  <c r="N1554" i="10" l="1"/>
  <c r="J1555" i="10" s="1"/>
  <c r="L1555" i="10" l="1"/>
  <c r="O1555" i="10"/>
  <c r="K1556" i="10" s="1"/>
  <c r="Q1554" i="10"/>
  <c r="P1555" i="10"/>
  <c r="M1556" i="10" s="1"/>
  <c r="N1555" i="10" l="1"/>
  <c r="J1556" i="10" s="1"/>
  <c r="L1556" i="10" l="1"/>
  <c r="O1556" i="10"/>
  <c r="K1557" i="10" s="1"/>
  <c r="P1556" i="10"/>
  <c r="M1557" i="10" s="1"/>
  <c r="Q1555" i="10"/>
  <c r="N1556" i="10" l="1"/>
  <c r="J1557" i="10" s="1"/>
  <c r="L1557" i="10" l="1"/>
  <c r="P1557" i="10" s="1"/>
  <c r="M1558" i="10" s="1"/>
  <c r="O1557" i="10"/>
  <c r="K1558" i="10" s="1"/>
  <c r="Q1556" i="10"/>
  <c r="N1557" i="10" l="1"/>
  <c r="J1558" i="10" s="1"/>
  <c r="L1558" i="10" l="1"/>
  <c r="P1558" i="10" s="1"/>
  <c r="M1559" i="10" s="1"/>
  <c r="O1558" i="10"/>
  <c r="K1559" i="10" s="1"/>
  <c r="Q1557" i="10"/>
  <c r="N1558" i="10" l="1"/>
  <c r="J1559" i="10" s="1"/>
  <c r="L1559" i="10" l="1"/>
  <c r="P1559" i="10" s="1"/>
  <c r="M1560" i="10" s="1"/>
  <c r="O1559" i="10"/>
  <c r="K1560" i="10" s="1"/>
  <c r="Q1558" i="10"/>
  <c r="N1559" i="10" l="1"/>
  <c r="J1560" i="10" s="1"/>
  <c r="L1560" i="10" l="1"/>
  <c r="P1560" i="10" s="1"/>
  <c r="M1561" i="10" s="1"/>
  <c r="O1560" i="10"/>
  <c r="K1561" i="10" s="1"/>
  <c r="Q1559" i="10"/>
  <c r="N1560" i="10" l="1"/>
  <c r="J1561" i="10" s="1"/>
  <c r="L1561" i="10" l="1"/>
  <c r="P1561" i="10" s="1"/>
  <c r="M1562" i="10" s="1"/>
  <c r="O1561" i="10"/>
  <c r="K1562" i="10" s="1"/>
  <c r="Q1560" i="10"/>
  <c r="N1561" i="10" l="1"/>
  <c r="J1562" i="10" s="1"/>
  <c r="L1562" i="10" l="1"/>
  <c r="O1562" i="10"/>
  <c r="K1563" i="10" s="1"/>
  <c r="Q1561" i="10"/>
  <c r="P1562" i="10"/>
  <c r="M1563" i="10" s="1"/>
  <c r="N1562" i="10" l="1"/>
  <c r="J1563" i="10" s="1"/>
  <c r="L1563" i="10" l="1"/>
  <c r="O1563" i="10"/>
  <c r="K1564" i="10" s="1"/>
  <c r="P1563" i="10"/>
  <c r="M1564" i="10" s="1"/>
  <c r="Q1562" i="10"/>
  <c r="N1563" i="10" l="1"/>
  <c r="J1564" i="10" s="1"/>
  <c r="L1564" i="10" l="1"/>
  <c r="P1564" i="10" s="1"/>
  <c r="M1565" i="10" s="1"/>
  <c r="O1564" i="10"/>
  <c r="K1565" i="10" s="1"/>
  <c r="Q1563" i="10"/>
  <c r="N1564" i="10" l="1"/>
  <c r="J1565" i="10" s="1"/>
  <c r="L1565" i="10" l="1"/>
  <c r="O1565" i="10"/>
  <c r="K1566" i="10" s="1"/>
  <c r="Q1564" i="10"/>
  <c r="P1565" i="10"/>
  <c r="M1566" i="10" s="1"/>
  <c r="N1565" i="10" l="1"/>
  <c r="J1566" i="10" s="1"/>
  <c r="L1566" i="10" l="1"/>
  <c r="O1566" i="10"/>
  <c r="K1567" i="10" s="1"/>
  <c r="P1566" i="10"/>
  <c r="M1567" i="10" s="1"/>
  <c r="Q1565" i="10"/>
  <c r="N1566" i="10" l="1"/>
  <c r="J1567" i="10" s="1"/>
  <c r="L1567" i="10" l="1"/>
  <c r="O1567" i="10"/>
  <c r="K1568" i="10" s="1"/>
  <c r="P1567" i="10"/>
  <c r="M1568" i="10" s="1"/>
  <c r="Q1566" i="10"/>
  <c r="N1567" i="10" l="1"/>
  <c r="J1568" i="10" s="1"/>
  <c r="L1568" i="10" l="1"/>
  <c r="O1568" i="10"/>
  <c r="K1569" i="10" s="1"/>
  <c r="P1568" i="10"/>
  <c r="M1569" i="10" s="1"/>
  <c r="Q1567" i="10"/>
  <c r="N1568" i="10" l="1"/>
  <c r="J1569" i="10" s="1"/>
  <c r="L1569" i="10" l="1"/>
  <c r="P1569" i="10" s="1"/>
  <c r="M1570" i="10" s="1"/>
  <c r="O1569" i="10"/>
  <c r="K1570" i="10" s="1"/>
  <c r="Q1568" i="10"/>
  <c r="N1569" i="10" l="1"/>
  <c r="J1570" i="10" s="1"/>
  <c r="L1570" i="10" l="1"/>
  <c r="P1570" i="10" s="1"/>
  <c r="M1571" i="10" s="1"/>
  <c r="Q1569" i="10"/>
  <c r="O1570" i="10"/>
  <c r="K1571" i="10" s="1"/>
  <c r="N1570" i="10" l="1"/>
  <c r="J1571" i="10" s="1"/>
  <c r="L1571" i="10" l="1"/>
  <c r="P1571" i="10"/>
  <c r="M1572" i="10" s="1"/>
  <c r="Q1570" i="10"/>
  <c r="O1571" i="10"/>
  <c r="K1572" i="10" s="1"/>
  <c r="N1571" i="10" l="1"/>
  <c r="J1572" i="10" s="1"/>
  <c r="L1572" i="10" l="1"/>
  <c r="P1572" i="10"/>
  <c r="M1573" i="10" s="1"/>
  <c r="Q1571" i="10"/>
  <c r="O1572" i="10"/>
  <c r="K1573" i="10" s="1"/>
  <c r="N1572" i="10" l="1"/>
  <c r="J1573" i="10" s="1"/>
  <c r="L1573" i="10" l="1"/>
  <c r="P1573" i="10" s="1"/>
  <c r="M1574" i="10" s="1"/>
  <c r="O1573" i="10"/>
  <c r="K1574" i="10" s="1"/>
  <c r="Q1572" i="10"/>
  <c r="N1573" i="10" l="1"/>
  <c r="J1574" i="10" s="1"/>
  <c r="L1574" i="10" l="1"/>
  <c r="O1574" i="10"/>
  <c r="K1575" i="10" s="1"/>
  <c r="P1574" i="10"/>
  <c r="M1575" i="10" s="1"/>
  <c r="Q1573" i="10"/>
  <c r="N1574" i="10" l="1"/>
  <c r="J1575" i="10" s="1"/>
  <c r="L1575" i="10" l="1"/>
  <c r="O1575" i="10"/>
  <c r="K1576" i="10" s="1"/>
  <c r="P1575" i="10"/>
  <c r="M1576" i="10" s="1"/>
  <c r="Q1574" i="10"/>
  <c r="N1575" i="10" l="1"/>
  <c r="J1576" i="10" s="1"/>
  <c r="L1576" i="10" l="1"/>
  <c r="P1576" i="10"/>
  <c r="M1577" i="10" s="1"/>
  <c r="Q1575" i="10"/>
  <c r="O1576" i="10"/>
  <c r="K1577" i="10" s="1"/>
  <c r="N1576" i="10" l="1"/>
  <c r="J1577" i="10" s="1"/>
  <c r="L1577" i="10" l="1"/>
  <c r="P1577" i="10"/>
  <c r="M1578" i="10" s="1"/>
  <c r="Q1576" i="10"/>
  <c r="O1577" i="10"/>
  <c r="K1578" i="10" s="1"/>
  <c r="N1577" i="10" l="1"/>
  <c r="J1578" i="10" s="1"/>
  <c r="L1578" i="10" l="1"/>
  <c r="P1578" i="10"/>
  <c r="M1579" i="10" s="1"/>
  <c r="O1578" i="10"/>
  <c r="K1579" i="10" s="1"/>
  <c r="Q1577" i="10"/>
  <c r="N1578" i="10" l="1"/>
  <c r="J1579" i="10" s="1"/>
  <c r="L1579" i="10" l="1"/>
  <c r="P1579" i="10" s="1"/>
  <c r="M1580" i="10" s="1"/>
  <c r="Q1578" i="10"/>
  <c r="O1579" i="10"/>
  <c r="K1580" i="10" s="1"/>
  <c r="N1579" i="10" l="1"/>
  <c r="J1580" i="10" s="1"/>
  <c r="L1580" i="10" l="1"/>
  <c r="P1580" i="10" s="1"/>
  <c r="M1581" i="10" s="1"/>
  <c r="Q1579" i="10"/>
  <c r="O1580" i="10"/>
  <c r="K1581" i="10" s="1"/>
  <c r="N1580" i="10" l="1"/>
  <c r="J1581" i="10" s="1"/>
  <c r="L1581" i="10" l="1"/>
  <c r="O1581" i="10"/>
  <c r="K1582" i="10" s="1"/>
  <c r="P1581" i="10"/>
  <c r="M1582" i="10" s="1"/>
  <c r="Q1580" i="10"/>
  <c r="N1581" i="10" l="1"/>
  <c r="J1582" i="10" s="1"/>
  <c r="L1582" i="10" l="1"/>
  <c r="O1582" i="10"/>
  <c r="K1583" i="10" s="1"/>
  <c r="Q1581" i="10"/>
  <c r="P1582" i="10"/>
  <c r="M1583" i="10" s="1"/>
  <c r="N1582" i="10" l="1"/>
  <c r="J1583" i="10" s="1"/>
  <c r="L1583" i="10" l="1"/>
  <c r="P1583" i="10"/>
  <c r="M1584" i="10" s="1"/>
  <c r="Q1582" i="10"/>
  <c r="O1583" i="10"/>
  <c r="K1584" i="10" s="1"/>
  <c r="N1583" i="10" l="1"/>
  <c r="J1584" i="10" s="1"/>
  <c r="L1584" i="10" l="1"/>
  <c r="P1584" i="10"/>
  <c r="M1585" i="10" s="1"/>
  <c r="O1584" i="10"/>
  <c r="K1585" i="10" s="1"/>
  <c r="Q1583" i="10"/>
  <c r="N1584" i="10" l="1"/>
  <c r="J1585" i="10" s="1"/>
  <c r="L1585" i="10" l="1"/>
  <c r="O1585" i="10"/>
  <c r="K1586" i="10" s="1"/>
  <c r="P1585" i="10"/>
  <c r="M1586" i="10" s="1"/>
  <c r="Q1584" i="10"/>
  <c r="N1585" i="10" l="1"/>
  <c r="J1586" i="10" s="1"/>
  <c r="L1586" i="10" l="1"/>
  <c r="P1586" i="10"/>
  <c r="M1587" i="10" s="1"/>
  <c r="O1586" i="10"/>
  <c r="K1587" i="10" s="1"/>
  <c r="Q1585" i="10"/>
  <c r="N1586" i="10" l="1"/>
  <c r="J1587" i="10" s="1"/>
  <c r="L1587" i="10" l="1"/>
  <c r="P1587" i="10"/>
  <c r="M1588" i="10" s="1"/>
  <c r="Q1586" i="10"/>
  <c r="O1587" i="10"/>
  <c r="K1588" i="10" s="1"/>
  <c r="N1587" i="10" l="1"/>
  <c r="J1588" i="10" s="1"/>
  <c r="L1588" i="10" l="1"/>
  <c r="P1588" i="10" s="1"/>
  <c r="M1589" i="10" s="1"/>
  <c r="Q1587" i="10"/>
  <c r="O1588" i="10"/>
  <c r="K1589" i="10" s="1"/>
  <c r="N1588" i="10" l="1"/>
  <c r="J1589" i="10" s="1"/>
  <c r="L1589" i="10" l="1"/>
  <c r="O1589" i="10"/>
  <c r="K1590" i="10" s="1"/>
  <c r="Q1588" i="10"/>
  <c r="P1589" i="10"/>
  <c r="M1590" i="10" s="1"/>
  <c r="N1589" i="10" l="1"/>
  <c r="J1590" i="10" s="1"/>
  <c r="L1590" i="10" l="1"/>
  <c r="P1590" i="10"/>
  <c r="M1591" i="10" s="1"/>
  <c r="O1590" i="10"/>
  <c r="K1591" i="10" s="1"/>
  <c r="Q1589" i="10"/>
  <c r="N1590" i="10" l="1"/>
  <c r="J1591" i="10" s="1"/>
  <c r="L1591" i="10" l="1"/>
  <c r="P1591" i="10"/>
  <c r="M1592" i="10" s="1"/>
  <c r="Q1590" i="10"/>
  <c r="O1591" i="10"/>
  <c r="K1592" i="10" s="1"/>
  <c r="N1591" i="10" l="1"/>
  <c r="J1592" i="10" s="1"/>
  <c r="L1592" i="10" l="1"/>
  <c r="P1592" i="10" s="1"/>
  <c r="M1593" i="10" s="1"/>
  <c r="Q1591" i="10"/>
  <c r="O1592" i="10"/>
  <c r="K1593" i="10" s="1"/>
  <c r="N1592" i="10" l="1"/>
  <c r="J1593" i="10" s="1"/>
  <c r="L1593" i="10" l="1"/>
  <c r="Q1592" i="10"/>
  <c r="O1593" i="10"/>
  <c r="K1594" i="10" s="1"/>
  <c r="P1593" i="10"/>
  <c r="M1594" i="10" s="1"/>
  <c r="N1593" i="10" l="1"/>
  <c r="J1594" i="10" s="1"/>
  <c r="L1594" i="10" l="1"/>
  <c r="O1594" i="10"/>
  <c r="K1595" i="10" s="1"/>
  <c r="P1594" i="10"/>
  <c r="M1595" i="10" s="1"/>
  <c r="Q1593" i="10"/>
  <c r="N1594" i="10" l="1"/>
  <c r="J1595" i="10" s="1"/>
  <c r="L1595" i="10" l="1"/>
  <c r="O1595" i="10"/>
  <c r="K1596" i="10" s="1"/>
  <c r="Q1594" i="10"/>
  <c r="P1595" i="10"/>
  <c r="M1596" i="10" s="1"/>
  <c r="N1595" i="10" l="1"/>
  <c r="J1596" i="10" s="1"/>
  <c r="L1596" i="10" l="1"/>
  <c r="O1596" i="10"/>
  <c r="K1597" i="10" s="1"/>
  <c r="P1596" i="10"/>
  <c r="M1597" i="10" s="1"/>
  <c r="Q1595" i="10"/>
  <c r="N1596" i="10" l="1"/>
  <c r="J1597" i="10" s="1"/>
  <c r="L1597" i="10" l="1"/>
  <c r="O1597" i="10"/>
  <c r="K1598" i="10" s="1"/>
  <c r="Q1596" i="10"/>
  <c r="P1597" i="10"/>
  <c r="M1598" i="10" s="1"/>
  <c r="N1597" i="10" l="1"/>
  <c r="J1598" i="10" s="1"/>
  <c r="L1598" i="10" l="1"/>
  <c r="O1598" i="10"/>
  <c r="K1599" i="10" s="1"/>
  <c r="Q1597" i="10"/>
  <c r="P1598" i="10"/>
  <c r="M1599" i="10" s="1"/>
  <c r="N1598" i="10" l="1"/>
  <c r="J1599" i="10" s="1"/>
  <c r="L1599" i="10" l="1"/>
  <c r="O1599" i="10"/>
  <c r="K1600" i="10" s="1"/>
  <c r="P1599" i="10"/>
  <c r="M1600" i="10" s="1"/>
  <c r="Q1598" i="10"/>
  <c r="N1599" i="10" l="1"/>
  <c r="J1600" i="10" s="1"/>
  <c r="L1600" i="10" l="1"/>
  <c r="P1600" i="10" s="1"/>
  <c r="M1601" i="10" s="1"/>
  <c r="O1600" i="10"/>
  <c r="K1601" i="10" s="1"/>
  <c r="Q1599" i="10"/>
  <c r="N1600" i="10" l="1"/>
  <c r="J1601" i="10" s="1"/>
  <c r="L1601" i="10" l="1"/>
  <c r="Q1600" i="10"/>
  <c r="O1601" i="10"/>
  <c r="K1602" i="10" s="1"/>
  <c r="P1601" i="10"/>
  <c r="M1602" i="10" s="1"/>
  <c r="N1601" i="10" l="1"/>
  <c r="J1602" i="10" s="1"/>
  <c r="L1602" i="10" l="1"/>
  <c r="O1602" i="10"/>
  <c r="K1603" i="10" s="1"/>
  <c r="P1602" i="10"/>
  <c r="M1603" i="10" s="1"/>
  <c r="Q1601" i="10"/>
  <c r="N1602" i="10" l="1"/>
  <c r="J1603" i="10" s="1"/>
  <c r="L1603" i="10" l="1"/>
  <c r="O1603" i="10"/>
  <c r="K1604" i="10" s="1"/>
  <c r="P1603" i="10"/>
  <c r="M1604" i="10" s="1"/>
  <c r="Q1602" i="10"/>
  <c r="N1603" i="10" l="1"/>
  <c r="J1604" i="10" s="1"/>
  <c r="L1604" i="10" l="1"/>
  <c r="O1604" i="10"/>
  <c r="K1605" i="10" s="1"/>
  <c r="Q1603" i="10"/>
  <c r="P1604" i="10"/>
  <c r="M1605" i="10" s="1"/>
  <c r="N1604" i="10" l="1"/>
  <c r="J1605" i="10" s="1"/>
  <c r="L1605" i="10" l="1"/>
  <c r="O1605" i="10"/>
  <c r="K1606" i="10" s="1"/>
  <c r="P1605" i="10"/>
  <c r="M1606" i="10" s="1"/>
  <c r="Q1604" i="10"/>
  <c r="N1605" i="10" l="1"/>
  <c r="J1606" i="10" s="1"/>
  <c r="L1606" i="10" l="1"/>
  <c r="P1606" i="10" s="1"/>
  <c r="M1607" i="10" s="1"/>
  <c r="O1606" i="10"/>
  <c r="K1607" i="10" s="1"/>
  <c r="Q1605" i="10"/>
  <c r="N1606" i="10" l="1"/>
  <c r="J1607" i="10" s="1"/>
  <c r="L1607" i="10" l="1"/>
  <c r="O1607" i="10"/>
  <c r="K1608" i="10" s="1"/>
  <c r="Q1606" i="10"/>
  <c r="P1607" i="10"/>
  <c r="M1608" i="10" s="1"/>
  <c r="N1607" i="10" l="1"/>
  <c r="J1608" i="10" s="1"/>
  <c r="L1608" i="10" l="1"/>
  <c r="Q1607" i="10"/>
  <c r="O1608" i="10"/>
  <c r="K1609" i="10" s="1"/>
  <c r="P1608" i="10"/>
  <c r="M1609" i="10" s="1"/>
  <c r="N1608" i="10" l="1"/>
  <c r="J1609" i="10" s="1"/>
  <c r="L1609" i="10" l="1"/>
  <c r="Q1608" i="10"/>
  <c r="P1609" i="10"/>
  <c r="M1610" i="10" s="1"/>
  <c r="O1609" i="10"/>
  <c r="K1610" i="10" s="1"/>
  <c r="N1609" i="10" l="1"/>
  <c r="J1610" i="10" s="1"/>
  <c r="L1610" i="10" l="1"/>
  <c r="P1610" i="10"/>
  <c r="M1611" i="10" s="1"/>
  <c r="Q1609" i="10"/>
  <c r="O1610" i="10"/>
  <c r="K1611" i="10" s="1"/>
  <c r="N1610" i="10" l="1"/>
  <c r="J1611" i="10" s="1"/>
  <c r="L1611" i="10" l="1"/>
  <c r="O1611" i="10"/>
  <c r="K1612" i="10" s="1"/>
  <c r="Q1610" i="10"/>
  <c r="P1611" i="10"/>
  <c r="M1612" i="10" s="1"/>
  <c r="N1611" i="10" l="1"/>
  <c r="J1612" i="10" s="1"/>
  <c r="L1612" i="10" l="1"/>
  <c r="P1612" i="10"/>
  <c r="M1613" i="10" s="1"/>
  <c r="Q1611" i="10"/>
  <c r="O1612" i="10"/>
  <c r="K1613" i="10" s="1"/>
  <c r="N1612" i="10" l="1"/>
  <c r="J1613" i="10" s="1"/>
  <c r="L1613" i="10" l="1"/>
  <c r="O1613" i="10"/>
  <c r="K1614" i="10" s="1"/>
  <c r="P1613" i="10"/>
  <c r="M1614" i="10" s="1"/>
  <c r="Q1612" i="10"/>
  <c r="N1613" i="10" l="1"/>
  <c r="J1614" i="10" s="1"/>
  <c r="L1614" i="10" l="1"/>
  <c r="O1614" i="10"/>
  <c r="K1615" i="10" s="1"/>
  <c r="Q1613" i="10"/>
  <c r="P1614" i="10"/>
  <c r="M1615" i="10" s="1"/>
  <c r="N1614" i="10" l="1"/>
  <c r="J1615" i="10" s="1"/>
  <c r="L1615" i="10" l="1"/>
  <c r="P1615" i="10"/>
  <c r="M1616" i="10" s="1"/>
  <c r="Q1614" i="10"/>
  <c r="O1615" i="10"/>
  <c r="K1616" i="10" s="1"/>
  <c r="N1615" i="10" l="1"/>
  <c r="J1616" i="10" s="1"/>
  <c r="L1616" i="10" l="1"/>
  <c r="P1616" i="10" s="1"/>
  <c r="M1617" i="10" s="1"/>
  <c r="Q1615" i="10"/>
  <c r="O1616" i="10"/>
  <c r="K1617" i="10" s="1"/>
  <c r="N1616" i="10" l="1"/>
  <c r="J1617" i="10" s="1"/>
  <c r="L1617" i="10" l="1"/>
  <c r="P1617" i="10" s="1"/>
  <c r="M1618" i="10" s="1"/>
  <c r="O1617" i="10"/>
  <c r="K1618" i="10" s="1"/>
  <c r="Q1616" i="10"/>
  <c r="N1617" i="10" l="1"/>
  <c r="J1618" i="10" s="1"/>
  <c r="L1618" i="10" l="1"/>
  <c r="P1618" i="10" s="1"/>
  <c r="M1619" i="10" s="1"/>
  <c r="Q1617" i="10"/>
  <c r="O1618" i="10"/>
  <c r="K1619" i="10" s="1"/>
  <c r="N1618" i="10" l="1"/>
  <c r="J1619" i="10" s="1"/>
  <c r="L1619" i="10" l="1"/>
  <c r="Q1618" i="10"/>
  <c r="P1619" i="10"/>
  <c r="M1620" i="10" s="1"/>
  <c r="O1619" i="10"/>
  <c r="K1620" i="10" s="1"/>
  <c r="N1619" i="10" l="1"/>
  <c r="J1620" i="10" s="1"/>
  <c r="L1620" i="10" l="1"/>
  <c r="O1620" i="10"/>
  <c r="K1621" i="10" s="1"/>
  <c r="P1620" i="10"/>
  <c r="M1621" i="10" s="1"/>
  <c r="Q1619" i="10"/>
  <c r="N1620" i="10" l="1"/>
  <c r="J1621" i="10" s="1"/>
  <c r="L1621" i="10" l="1"/>
  <c r="O1621" i="10"/>
  <c r="K1622" i="10" s="1"/>
  <c r="Q1620" i="10"/>
  <c r="P1621" i="10"/>
  <c r="M1622" i="10" s="1"/>
  <c r="N1621" i="10" l="1"/>
  <c r="J1622" i="10" s="1"/>
  <c r="L1622" i="10" l="1"/>
  <c r="O1622" i="10"/>
  <c r="K1623" i="10" s="1"/>
  <c r="P1622" i="10"/>
  <c r="M1623" i="10" s="1"/>
  <c r="Q1621" i="10"/>
  <c r="N1622" i="10" l="1"/>
  <c r="J1623" i="10" s="1"/>
  <c r="L1623" i="10" l="1"/>
  <c r="O1623" i="10"/>
  <c r="K1624" i="10" s="1"/>
  <c r="Q1622" i="10"/>
  <c r="P1623" i="10"/>
  <c r="M1624" i="10" s="1"/>
  <c r="N1623" i="10" l="1"/>
  <c r="J1624" i="10" s="1"/>
  <c r="L1624" i="10" l="1"/>
  <c r="P1624" i="10" s="1"/>
  <c r="M1625" i="10" s="1"/>
  <c r="Q1623" i="10"/>
  <c r="O1624" i="10"/>
  <c r="K1625" i="10" s="1"/>
  <c r="N1624" i="10" l="1"/>
  <c r="J1625" i="10" s="1"/>
  <c r="L1625" i="10" l="1"/>
  <c r="O1625" i="10"/>
  <c r="K1626" i="10" s="1"/>
  <c r="Q1624" i="10"/>
  <c r="P1625" i="10"/>
  <c r="M1626" i="10" s="1"/>
  <c r="N1625" i="10" l="1"/>
  <c r="J1626" i="10" s="1"/>
  <c r="L1626" i="10" l="1"/>
  <c r="O1626" i="10"/>
  <c r="K1627" i="10" s="1"/>
  <c r="Q1625" i="10"/>
  <c r="P1626" i="10"/>
  <c r="M1627" i="10" s="1"/>
  <c r="N1626" i="10" l="1"/>
  <c r="J1627" i="10" s="1"/>
  <c r="L1627" i="10" l="1"/>
  <c r="P1627" i="10" s="1"/>
  <c r="M1628" i="10" s="1"/>
  <c r="O1627" i="10"/>
  <c r="K1628" i="10" s="1"/>
  <c r="Q1626" i="10"/>
  <c r="N1627" i="10" l="1"/>
  <c r="J1628" i="10" s="1"/>
  <c r="L1628" i="10" l="1"/>
  <c r="O1628" i="10"/>
  <c r="K1629" i="10" s="1"/>
  <c r="P1628" i="10"/>
  <c r="M1629" i="10" s="1"/>
  <c r="Q1627" i="10"/>
  <c r="N1628" i="10" l="1"/>
  <c r="J1629" i="10" s="1"/>
  <c r="L1629" i="10" l="1"/>
  <c r="O1629" i="10"/>
  <c r="K1630" i="10" s="1"/>
  <c r="Q1628" i="10"/>
  <c r="P1629" i="10"/>
  <c r="M1630" i="10" s="1"/>
  <c r="N1629" i="10" l="1"/>
  <c r="J1630" i="10" s="1"/>
  <c r="L1630" i="10" l="1"/>
  <c r="O1630" i="10"/>
  <c r="K1631" i="10" s="1"/>
  <c r="Q1629" i="10"/>
  <c r="P1630" i="10"/>
  <c r="M1631" i="10" s="1"/>
  <c r="N1630" i="10" l="1"/>
  <c r="J1631" i="10" s="1"/>
  <c r="L1631" i="10" l="1"/>
  <c r="O1631" i="10"/>
  <c r="K1632" i="10" s="1"/>
  <c r="P1631" i="10"/>
  <c r="M1632" i="10" s="1"/>
  <c r="Q1630" i="10"/>
  <c r="N1631" i="10" l="1"/>
  <c r="J1632" i="10" s="1"/>
  <c r="L1632" i="10" l="1"/>
  <c r="P1632" i="10" s="1"/>
  <c r="M1633" i="10" s="1"/>
  <c r="O1632" i="10"/>
  <c r="K1633" i="10" s="1"/>
  <c r="Q1631" i="10"/>
  <c r="N1632" i="10" l="1"/>
  <c r="J1633" i="10" s="1"/>
  <c r="L1633" i="10" l="1"/>
  <c r="O1633" i="10"/>
  <c r="K1634" i="10" s="1"/>
  <c r="P1633" i="10"/>
  <c r="M1634" i="10" s="1"/>
  <c r="Q1632" i="10"/>
  <c r="N1633" i="10" l="1"/>
  <c r="J1634" i="10" s="1"/>
  <c r="L1634" i="10" l="1"/>
  <c r="O1634" i="10"/>
  <c r="K1635" i="10" s="1"/>
  <c r="Q1633" i="10"/>
  <c r="P1634" i="10"/>
  <c r="M1635" i="10" s="1"/>
  <c r="N1634" i="10" l="1"/>
  <c r="J1635" i="10" s="1"/>
  <c r="L1635" i="10" l="1"/>
  <c r="O1635" i="10"/>
  <c r="K1636" i="10" s="1"/>
  <c r="Q1634" i="10"/>
  <c r="P1635" i="10"/>
  <c r="M1636" i="10" s="1"/>
  <c r="N1635" i="10" l="1"/>
  <c r="J1636" i="10" s="1"/>
  <c r="L1636" i="10" l="1"/>
  <c r="O1636" i="10"/>
  <c r="K1637" i="10" s="1"/>
  <c r="P1636" i="10"/>
  <c r="M1637" i="10" s="1"/>
  <c r="Q1635" i="10"/>
  <c r="N1636" i="10" l="1"/>
  <c r="J1637" i="10" s="1"/>
  <c r="L1637" i="10" l="1"/>
  <c r="O1637" i="10"/>
  <c r="K1638" i="10" s="1"/>
  <c r="Q1636" i="10"/>
  <c r="P1637" i="10"/>
  <c r="M1638" i="10" s="1"/>
  <c r="N1637" i="10" l="1"/>
  <c r="J1638" i="10" s="1"/>
  <c r="L1638" i="10" l="1"/>
  <c r="P1638" i="10" s="1"/>
  <c r="M1639" i="10" s="1"/>
  <c r="Q1637" i="10"/>
  <c r="O1638" i="10"/>
  <c r="K1639" i="10" s="1"/>
  <c r="N1638" i="10" l="1"/>
  <c r="J1639" i="10" s="1"/>
  <c r="L1639" i="10" l="1"/>
  <c r="O1639" i="10"/>
  <c r="K1640" i="10" s="1"/>
  <c r="P1639" i="10"/>
  <c r="M1640" i="10" s="1"/>
  <c r="Q1638" i="10"/>
  <c r="N1639" i="10" l="1"/>
  <c r="J1640" i="10" s="1"/>
  <c r="L1640" i="10" l="1"/>
  <c r="O1640" i="10"/>
  <c r="K1641" i="10" s="1"/>
  <c r="Q1639" i="10"/>
  <c r="P1640" i="10"/>
  <c r="M1641" i="10" s="1"/>
  <c r="N1640" i="10" l="1"/>
  <c r="J1641" i="10" s="1"/>
  <c r="L1641" i="10" l="1"/>
  <c r="P1641" i="10" s="1"/>
  <c r="M1642" i="10" s="1"/>
  <c r="O1641" i="10"/>
  <c r="K1642" i="10" s="1"/>
  <c r="Q1640" i="10"/>
  <c r="N1641" i="10" l="1"/>
  <c r="J1642" i="10" s="1"/>
  <c r="L1642" i="10" l="1"/>
  <c r="O1642" i="10"/>
  <c r="K1643" i="10" s="1"/>
  <c r="Q1641" i="10"/>
  <c r="P1642" i="10"/>
  <c r="M1643" i="10" s="1"/>
  <c r="N1642" i="10" l="1"/>
  <c r="J1643" i="10" s="1"/>
  <c r="L1643" i="10" l="1"/>
  <c r="O1643" i="10"/>
  <c r="K1644" i="10" s="1"/>
  <c r="P1643" i="10"/>
  <c r="M1644" i="10" s="1"/>
  <c r="Q1642" i="10"/>
  <c r="N1643" i="10" l="1"/>
  <c r="J1644" i="10" s="1"/>
  <c r="L1644" i="10" l="1"/>
  <c r="O1644" i="10"/>
  <c r="K1645" i="10" s="1"/>
  <c r="Q1643" i="10"/>
  <c r="P1644" i="10"/>
  <c r="M1645" i="10" s="1"/>
  <c r="N1644" i="10" l="1"/>
  <c r="J1645" i="10" s="1"/>
  <c r="L1645" i="10" l="1"/>
  <c r="O1645" i="10"/>
  <c r="K1646" i="10" s="1"/>
  <c r="Q1644" i="10"/>
  <c r="P1645" i="10"/>
  <c r="M1646" i="10" s="1"/>
  <c r="N1645" i="10" l="1"/>
  <c r="J1646" i="10" s="1"/>
  <c r="L1646" i="10" l="1"/>
  <c r="O1646" i="10"/>
  <c r="K1647" i="10" s="1"/>
  <c r="Q1645" i="10"/>
  <c r="P1646" i="10"/>
  <c r="M1647" i="10" s="1"/>
  <c r="N1646" i="10" l="1"/>
  <c r="J1647" i="10" s="1"/>
  <c r="L1647" i="10" l="1"/>
  <c r="O1647" i="10"/>
  <c r="K1648" i="10" s="1"/>
  <c r="Q1646" i="10"/>
  <c r="P1647" i="10"/>
  <c r="M1648" i="10" s="1"/>
  <c r="N1647" i="10" l="1"/>
  <c r="J1648" i="10" s="1"/>
  <c r="L1648" i="10" l="1"/>
  <c r="O1648" i="10"/>
  <c r="K1649" i="10" s="1"/>
  <c r="Q1647" i="10"/>
  <c r="P1648" i="10"/>
  <c r="M1649" i="10" s="1"/>
  <c r="N1648" i="10" l="1"/>
  <c r="J1649" i="10" s="1"/>
  <c r="L1649" i="10" l="1"/>
  <c r="O1649" i="10"/>
  <c r="K1650" i="10" s="1"/>
  <c r="P1649" i="10"/>
  <c r="M1650" i="10" s="1"/>
  <c r="Q1648" i="10"/>
  <c r="N1649" i="10" l="1"/>
  <c r="J1650" i="10" s="1"/>
  <c r="L1650" i="10" l="1"/>
  <c r="O1650" i="10"/>
  <c r="K1651" i="10" s="1"/>
  <c r="Q1649" i="10"/>
  <c r="P1650" i="10"/>
  <c r="M1651" i="10" s="1"/>
  <c r="N1650" i="10" l="1"/>
  <c r="J1651" i="10" s="1"/>
  <c r="L1651" i="10" l="1"/>
  <c r="O1651" i="10"/>
  <c r="K1652" i="10" s="1"/>
  <c r="P1651" i="10"/>
  <c r="M1652" i="10" s="1"/>
  <c r="Q1650" i="10"/>
  <c r="N1651" i="10" l="1"/>
  <c r="J1652" i="10" s="1"/>
  <c r="L1652" i="10" l="1"/>
  <c r="O1652" i="10"/>
  <c r="K1653" i="10" s="1"/>
  <c r="P1652" i="10"/>
  <c r="M1653" i="10" s="1"/>
  <c r="Q1651" i="10"/>
  <c r="N1652" i="10" l="1"/>
  <c r="J1653" i="10" s="1"/>
  <c r="L1653" i="10" l="1"/>
  <c r="O1653" i="10"/>
  <c r="K1654" i="10" s="1"/>
  <c r="P1653" i="10"/>
  <c r="M1654" i="10" s="1"/>
  <c r="Q1652" i="10"/>
  <c r="N1653" i="10" l="1"/>
  <c r="J1654" i="10" s="1"/>
  <c r="L1654" i="10" l="1"/>
  <c r="O1654" i="10"/>
  <c r="K1655" i="10" s="1"/>
  <c r="P1654" i="10"/>
  <c r="M1655" i="10" s="1"/>
  <c r="Q1653" i="10"/>
  <c r="N1654" i="10" l="1"/>
  <c r="J1655" i="10" s="1"/>
  <c r="L1655" i="10" l="1"/>
  <c r="O1655" i="10"/>
  <c r="K1656" i="10" s="1"/>
  <c r="P1655" i="10"/>
  <c r="M1656" i="10" s="1"/>
  <c r="Q1654" i="10"/>
  <c r="N1655" i="10" l="1"/>
  <c r="J1656" i="10" s="1"/>
  <c r="L1656" i="10" l="1"/>
  <c r="O1656" i="10"/>
  <c r="K1657" i="10" s="1"/>
  <c r="P1656" i="10"/>
  <c r="M1657" i="10" s="1"/>
  <c r="Q1655" i="10"/>
  <c r="N1656" i="10" l="1"/>
  <c r="J1657" i="10" s="1"/>
  <c r="L1657" i="10" l="1"/>
  <c r="O1657" i="10"/>
  <c r="K1658" i="10" s="1"/>
  <c r="P1657" i="10"/>
  <c r="M1658" i="10" s="1"/>
  <c r="Q1656" i="10"/>
  <c r="N1657" i="10" l="1"/>
  <c r="J1658" i="10" s="1"/>
  <c r="L1658" i="10" l="1"/>
  <c r="O1658" i="10"/>
  <c r="K1659" i="10" s="1"/>
  <c r="P1658" i="10"/>
  <c r="M1659" i="10" s="1"/>
  <c r="Q1657" i="10"/>
  <c r="N1658" i="10" l="1"/>
  <c r="J1659" i="10" s="1"/>
  <c r="L1659" i="10" l="1"/>
  <c r="O1659" i="10"/>
  <c r="K1660" i="10" s="1"/>
  <c r="P1659" i="10"/>
  <c r="M1660" i="10" s="1"/>
  <c r="Q1658" i="10"/>
  <c r="N1659" i="10" l="1"/>
  <c r="J1660" i="10" s="1"/>
  <c r="L1660" i="10" l="1"/>
  <c r="O1660" i="10"/>
  <c r="K1661" i="10" s="1"/>
  <c r="P1660" i="10"/>
  <c r="M1661" i="10" s="1"/>
  <c r="Q1659" i="10"/>
  <c r="N1660" i="10" l="1"/>
  <c r="J1661" i="10" s="1"/>
  <c r="L1661" i="10" l="1"/>
  <c r="P1661" i="10" s="1"/>
  <c r="M1662" i="10" s="1"/>
  <c r="Q1660" i="10"/>
  <c r="O1661" i="10"/>
  <c r="K1662" i="10" s="1"/>
  <c r="N1661" i="10" l="1"/>
  <c r="J1662" i="10" s="1"/>
  <c r="L1662" i="10" l="1"/>
  <c r="P1662" i="10" s="1"/>
  <c r="M1663" i="10" s="1"/>
  <c r="O1662" i="10"/>
  <c r="K1663" i="10" s="1"/>
  <c r="Q1661" i="10"/>
  <c r="N1662" i="10" l="1"/>
  <c r="J1663" i="10" s="1"/>
  <c r="L1663" i="10" l="1"/>
  <c r="O1663" i="10"/>
  <c r="K1664" i="10" s="1"/>
  <c r="P1663" i="10"/>
  <c r="M1664" i="10" s="1"/>
  <c r="Q1662" i="10"/>
  <c r="N1663" i="10" l="1"/>
  <c r="J1664" i="10" s="1"/>
  <c r="L1664" i="10" l="1"/>
  <c r="O1664" i="10"/>
  <c r="K1665" i="10" s="1"/>
  <c r="P1664" i="10"/>
  <c r="M1665" i="10" s="1"/>
  <c r="Q1663" i="10"/>
  <c r="N1664" i="10" l="1"/>
  <c r="J1665" i="10" s="1"/>
  <c r="L1665" i="10" l="1"/>
  <c r="O1665" i="10"/>
  <c r="K1666" i="10" s="1"/>
  <c r="P1665" i="10"/>
  <c r="M1666" i="10" s="1"/>
  <c r="Q1664" i="10"/>
  <c r="N1665" i="10" l="1"/>
  <c r="J1666" i="10" s="1"/>
  <c r="L1666" i="10" l="1"/>
  <c r="O1666" i="10"/>
  <c r="K1667" i="10" s="1"/>
  <c r="P1666" i="10"/>
  <c r="M1667" i="10" s="1"/>
  <c r="Q1665" i="10"/>
  <c r="N1666" i="10" l="1"/>
  <c r="J1667" i="10" s="1"/>
  <c r="L1667" i="10" l="1"/>
  <c r="O1667" i="10"/>
  <c r="K1668" i="10" s="1"/>
  <c r="P1667" i="10"/>
  <c r="M1668" i="10" s="1"/>
  <c r="Q1666" i="10"/>
  <c r="N1667" i="10" l="1"/>
  <c r="J1668" i="10" s="1"/>
  <c r="L1668" i="10" l="1"/>
  <c r="O1668" i="10"/>
  <c r="K1669" i="10" s="1"/>
  <c r="Q1667" i="10"/>
  <c r="P1668" i="10"/>
  <c r="M1669" i="10" s="1"/>
  <c r="N1668" i="10" l="1"/>
  <c r="J1669" i="10" s="1"/>
  <c r="L1669" i="10" l="1"/>
  <c r="P1669" i="10"/>
  <c r="M1670" i="10" s="1"/>
  <c r="O1669" i="10"/>
  <c r="K1670" i="10" s="1"/>
  <c r="Q1668" i="10"/>
  <c r="N1669" i="10" l="1"/>
  <c r="J1670" i="10" s="1"/>
  <c r="L1670" i="10" l="1"/>
  <c r="O1670" i="10"/>
  <c r="K1671" i="10" s="1"/>
  <c r="P1670" i="10"/>
  <c r="M1671" i="10" s="1"/>
  <c r="Q1669" i="10"/>
  <c r="N1670" i="10" l="1"/>
  <c r="J1671" i="10" s="1"/>
  <c r="L1671" i="10" l="1"/>
  <c r="P1671" i="10"/>
  <c r="M1672" i="10" s="1"/>
  <c r="O1671" i="10"/>
  <c r="K1672" i="10" s="1"/>
  <c r="Q1670" i="10"/>
  <c r="N1671" i="10" l="1"/>
  <c r="J1672" i="10" s="1"/>
  <c r="L1672" i="10" l="1"/>
  <c r="O1672" i="10"/>
  <c r="K1673" i="10" s="1"/>
  <c r="P1672" i="10"/>
  <c r="M1673" i="10" s="1"/>
  <c r="Q1671" i="10"/>
  <c r="N1672" i="10" l="1"/>
  <c r="J1673" i="10" s="1"/>
  <c r="L1673" i="10" l="1"/>
  <c r="O1673" i="10"/>
  <c r="K1674" i="10" s="1"/>
  <c r="Q1672" i="10"/>
  <c r="P1673" i="10"/>
  <c r="M1674" i="10" s="1"/>
  <c r="N1673" i="10" l="1"/>
  <c r="J1674" i="10" s="1"/>
  <c r="L1674" i="10" l="1"/>
  <c r="O1674" i="10"/>
  <c r="K1675" i="10" s="1"/>
  <c r="Q1673" i="10"/>
  <c r="P1674" i="10"/>
  <c r="M1675" i="10" s="1"/>
  <c r="N1674" i="10" l="1"/>
  <c r="J1675" i="10" s="1"/>
  <c r="L1675" i="10" l="1"/>
  <c r="P1675" i="10" s="1"/>
  <c r="M1676" i="10" s="1"/>
  <c r="O1675" i="10"/>
  <c r="K1676" i="10" s="1"/>
  <c r="Q1674" i="10"/>
  <c r="N1675" i="10" l="1"/>
  <c r="J1676" i="10" s="1"/>
  <c r="L1676" i="10" l="1"/>
  <c r="O1676" i="10"/>
  <c r="K1677" i="10" s="1"/>
  <c r="P1676" i="10"/>
  <c r="M1677" i="10" s="1"/>
  <c r="Q1675" i="10"/>
  <c r="N1676" i="10" l="1"/>
  <c r="J1677" i="10" s="1"/>
  <c r="L1677" i="10" l="1"/>
  <c r="O1677" i="10"/>
  <c r="K1678" i="10" s="1"/>
  <c r="P1677" i="10"/>
  <c r="M1678" i="10" s="1"/>
  <c r="Q1676" i="10"/>
  <c r="N1677" i="10" l="1"/>
  <c r="J1678" i="10" s="1"/>
  <c r="L1678" i="10" l="1"/>
  <c r="O1678" i="10"/>
  <c r="K1679" i="10" s="1"/>
  <c r="Q1677" i="10"/>
  <c r="P1678" i="10"/>
  <c r="M1679" i="10" s="1"/>
  <c r="N1678" i="10" l="1"/>
  <c r="J1679" i="10" s="1"/>
  <c r="L1679" i="10" l="1"/>
  <c r="P1679" i="10"/>
  <c r="M1680" i="10" s="1"/>
  <c r="Q1678" i="10"/>
  <c r="O1679" i="10"/>
  <c r="K1680" i="10" s="1"/>
  <c r="N1679" i="10" l="1"/>
  <c r="J1680" i="10" s="1"/>
  <c r="L1680" i="10" l="1"/>
  <c r="P1680" i="10"/>
  <c r="M1681" i="10" s="1"/>
  <c r="Q1679" i="10"/>
  <c r="O1680" i="10"/>
  <c r="K1681" i="10" s="1"/>
  <c r="N1680" i="10" l="1"/>
  <c r="J1681" i="10" s="1"/>
  <c r="L1681" i="10" l="1"/>
  <c r="O1681" i="10"/>
  <c r="K1682" i="10" s="1"/>
  <c r="P1681" i="10"/>
  <c r="M1682" i="10" s="1"/>
  <c r="Q1680" i="10"/>
  <c r="N1681" i="10" l="1"/>
  <c r="J1682" i="10" s="1"/>
  <c r="L1682" i="10" l="1"/>
  <c r="O1682" i="10"/>
  <c r="K1683" i="10" s="1"/>
  <c r="P1682" i="10"/>
  <c r="M1683" i="10" s="1"/>
  <c r="Q1681" i="10"/>
  <c r="N1682" i="10" l="1"/>
  <c r="J1683" i="10" s="1"/>
  <c r="L1683" i="10" l="1"/>
  <c r="O1683" i="10"/>
  <c r="K1684" i="10" s="1"/>
  <c r="P1683" i="10"/>
  <c r="M1684" i="10" s="1"/>
  <c r="Q1682" i="10"/>
  <c r="N1683" i="10" l="1"/>
  <c r="J1684" i="10" s="1"/>
  <c r="L1684" i="10" l="1"/>
  <c r="O1684" i="10"/>
  <c r="K1685" i="10" s="1"/>
  <c r="P1684" i="10"/>
  <c r="M1685" i="10" s="1"/>
  <c r="Q1683" i="10"/>
  <c r="N1684" i="10" l="1"/>
  <c r="J1685" i="10" s="1"/>
  <c r="L1685" i="10" l="1"/>
  <c r="O1685" i="10"/>
  <c r="K1686" i="10" s="1"/>
  <c r="P1685" i="10"/>
  <c r="M1686" i="10" s="1"/>
  <c r="Q1684" i="10"/>
  <c r="N1685" i="10" l="1"/>
  <c r="J1686" i="10" s="1"/>
  <c r="L1686" i="10" l="1"/>
  <c r="O1686" i="10"/>
  <c r="K1687" i="10" s="1"/>
  <c r="Q1685" i="10"/>
  <c r="P1686" i="10"/>
  <c r="M1687" i="10" s="1"/>
  <c r="N1686" i="10" l="1"/>
  <c r="J1687" i="10" s="1"/>
  <c r="L1687" i="10" l="1"/>
  <c r="O1687" i="10"/>
  <c r="K1688" i="10" s="1"/>
  <c r="P1687" i="10"/>
  <c r="M1688" i="10" s="1"/>
  <c r="Q1686" i="10"/>
  <c r="N1687" i="10" l="1"/>
  <c r="J1688" i="10" s="1"/>
  <c r="L1688" i="10" l="1"/>
  <c r="O1688" i="10"/>
  <c r="K1689" i="10" s="1"/>
  <c r="P1688" i="10"/>
  <c r="M1689" i="10" s="1"/>
  <c r="Q1687" i="10"/>
  <c r="N1688" i="10" l="1"/>
  <c r="J1689" i="10" s="1"/>
  <c r="L1689" i="10" l="1"/>
  <c r="P1689" i="10"/>
  <c r="M1690" i="10" s="1"/>
  <c r="O1689" i="10"/>
  <c r="K1690" i="10" s="1"/>
  <c r="Q1688" i="10"/>
  <c r="N1689" i="10" l="1"/>
  <c r="J1690" i="10" s="1"/>
  <c r="L1690" i="10" l="1"/>
  <c r="O1690" i="10"/>
  <c r="K1691" i="10" s="1"/>
  <c r="P1690" i="10"/>
  <c r="M1691" i="10" s="1"/>
  <c r="Q1689" i="10"/>
  <c r="N1690" i="10" l="1"/>
  <c r="J1691" i="10" s="1"/>
  <c r="L1691" i="10" l="1"/>
  <c r="O1691" i="10"/>
  <c r="K1692" i="10" s="1"/>
  <c r="P1691" i="10"/>
  <c r="M1692" i="10" s="1"/>
  <c r="Q1690" i="10"/>
  <c r="N1691" i="10" l="1"/>
  <c r="J1692" i="10" s="1"/>
  <c r="L1692" i="10" l="1"/>
  <c r="P1692" i="10" s="1"/>
  <c r="M1693" i="10" s="1"/>
  <c r="O1692" i="10"/>
  <c r="K1693" i="10" s="1"/>
  <c r="Q1691" i="10"/>
  <c r="N1692" i="10" l="1"/>
  <c r="J1693" i="10" s="1"/>
  <c r="L1693" i="10" l="1"/>
  <c r="O1693" i="10"/>
  <c r="K1694" i="10" s="1"/>
  <c r="P1693" i="10"/>
  <c r="M1694" i="10" s="1"/>
  <c r="Q1692" i="10"/>
  <c r="N1693" i="10" l="1"/>
  <c r="J1694" i="10" s="1"/>
  <c r="L1694" i="10" l="1"/>
  <c r="O1694" i="10"/>
  <c r="K1695" i="10" s="1"/>
  <c r="P1694" i="10"/>
  <c r="M1695" i="10" s="1"/>
  <c r="Q1693" i="10"/>
  <c r="N1694" i="10" l="1"/>
  <c r="J1695" i="10" s="1"/>
  <c r="L1695" i="10" l="1"/>
  <c r="O1695" i="10"/>
  <c r="K1696" i="10" s="1"/>
  <c r="P1695" i="10"/>
  <c r="M1696" i="10" s="1"/>
  <c r="Q1694" i="10"/>
  <c r="N1695" i="10" l="1"/>
  <c r="J1696" i="10" s="1"/>
  <c r="L1696" i="10" l="1"/>
  <c r="O1696" i="10"/>
  <c r="K1697" i="10" s="1"/>
  <c r="Q1695" i="10"/>
  <c r="P1696" i="10"/>
  <c r="M1697" i="10" s="1"/>
  <c r="N1696" i="10" l="1"/>
  <c r="J1697" i="10" s="1"/>
  <c r="L1697" i="10" l="1"/>
  <c r="O1697" i="10"/>
  <c r="K1698" i="10" s="1"/>
  <c r="P1697" i="10"/>
  <c r="M1698" i="10" s="1"/>
  <c r="Q1696" i="10"/>
  <c r="N1697" i="10" l="1"/>
  <c r="J1698" i="10" s="1"/>
  <c r="L1698" i="10" l="1"/>
  <c r="O1698" i="10"/>
  <c r="K1699" i="10" s="1"/>
  <c r="Q1697" i="10"/>
  <c r="P1698" i="10"/>
  <c r="M1699" i="10" s="1"/>
  <c r="N1698" i="10" l="1"/>
  <c r="J1699" i="10" s="1"/>
  <c r="L1699" i="10" l="1"/>
  <c r="O1699" i="10"/>
  <c r="K1700" i="10" s="1"/>
  <c r="P1699" i="10"/>
  <c r="M1700" i="10" s="1"/>
  <c r="Q1698" i="10"/>
  <c r="N1699" i="10" l="1"/>
  <c r="J1700" i="10" s="1"/>
  <c r="L1700" i="10" l="1"/>
  <c r="O1700" i="10"/>
  <c r="K1701" i="10" s="1"/>
  <c r="Q1699" i="10"/>
  <c r="P1700" i="10"/>
  <c r="M1701" i="10" s="1"/>
  <c r="N1700" i="10" l="1"/>
  <c r="J1701" i="10" s="1"/>
  <c r="L1701" i="10" l="1"/>
  <c r="O1701" i="10"/>
  <c r="K1702" i="10" s="1"/>
  <c r="Q1700" i="10"/>
  <c r="P1701" i="10"/>
  <c r="M1702" i="10" s="1"/>
  <c r="N1701" i="10" l="1"/>
  <c r="J1702" i="10" s="1"/>
  <c r="L1702" i="10" l="1"/>
  <c r="O1702" i="10"/>
  <c r="K1703" i="10" s="1"/>
  <c r="Q1701" i="10"/>
  <c r="P1702" i="10"/>
  <c r="M1703" i="10" s="1"/>
  <c r="N1702" i="10" l="1"/>
  <c r="J1703" i="10" s="1"/>
  <c r="L1703" i="10" l="1"/>
  <c r="O1703" i="10"/>
  <c r="K1704" i="10" s="1"/>
  <c r="P1703" i="10"/>
  <c r="M1704" i="10" s="1"/>
  <c r="Q1702" i="10"/>
  <c r="N1703" i="10" l="1"/>
  <c r="J1704" i="10" s="1"/>
  <c r="L1704" i="10" l="1"/>
  <c r="O1704" i="10"/>
  <c r="K1705" i="10" s="1"/>
  <c r="Q1703" i="10"/>
  <c r="P1704" i="10"/>
  <c r="M1705" i="10" s="1"/>
  <c r="N1704" i="10" l="1"/>
  <c r="J1705" i="10" s="1"/>
  <c r="L1705" i="10" l="1"/>
  <c r="O1705" i="10"/>
  <c r="K1706" i="10" s="1"/>
  <c r="Q1704" i="10"/>
  <c r="P1705" i="10"/>
  <c r="M1706" i="10" s="1"/>
  <c r="N1705" i="10" l="1"/>
  <c r="J1706" i="10" s="1"/>
  <c r="L1706" i="10" l="1"/>
  <c r="O1706" i="10"/>
  <c r="K1707" i="10" s="1"/>
  <c r="Q1705" i="10"/>
  <c r="P1706" i="10"/>
  <c r="M1707" i="10" s="1"/>
  <c r="N1706" i="10" l="1"/>
  <c r="J1707" i="10" s="1"/>
  <c r="L1707" i="10" l="1"/>
  <c r="Q1706" i="10"/>
  <c r="O1707" i="10"/>
  <c r="K1708" i="10" s="1"/>
  <c r="P1707" i="10"/>
  <c r="M1708" i="10" s="1"/>
  <c r="N1707" i="10" l="1"/>
  <c r="J1708" i="10" s="1"/>
  <c r="L1708" i="10" l="1"/>
  <c r="O1708" i="10"/>
  <c r="K1709" i="10" s="1"/>
  <c r="Q1707" i="10"/>
  <c r="P1708" i="10"/>
  <c r="M1709" i="10" s="1"/>
  <c r="N1708" i="10" l="1"/>
  <c r="J1709" i="10" s="1"/>
  <c r="L1709" i="10" l="1"/>
  <c r="O1709" i="10"/>
  <c r="K1710" i="10" s="1"/>
  <c r="P1709" i="10"/>
  <c r="M1710" i="10" s="1"/>
  <c r="Q1708" i="10"/>
  <c r="N1709" i="10" l="1"/>
  <c r="J1710" i="10" s="1"/>
  <c r="L1710" i="10" l="1"/>
  <c r="Q1709" i="10"/>
  <c r="O1710" i="10"/>
  <c r="K1711" i="10" s="1"/>
  <c r="P1710" i="10"/>
  <c r="M1711" i="10" s="1"/>
  <c r="N1710" i="10" l="1"/>
  <c r="J1711" i="10" s="1"/>
  <c r="L1711" i="10" l="1"/>
  <c r="O1711" i="10"/>
  <c r="K1712" i="10" s="1"/>
  <c r="P1711" i="10"/>
  <c r="M1712" i="10" s="1"/>
  <c r="Q1710" i="10"/>
  <c r="N1711" i="10" l="1"/>
  <c r="J1712" i="10" s="1"/>
  <c r="L1712" i="10" l="1"/>
  <c r="P1712" i="10"/>
  <c r="M1713" i="10" s="1"/>
  <c r="O1712" i="10"/>
  <c r="K1713" i="10" s="1"/>
  <c r="Q1711" i="10"/>
  <c r="N1712" i="10" l="1"/>
  <c r="J1713" i="10" s="1"/>
  <c r="L1713" i="10" l="1"/>
  <c r="O1713" i="10"/>
  <c r="K1714" i="10" s="1"/>
  <c r="Q1712" i="10"/>
  <c r="P1713" i="10"/>
  <c r="M1714" i="10" s="1"/>
  <c r="N1713" i="10" l="1"/>
  <c r="J1714" i="10" s="1"/>
  <c r="L1714" i="10" l="1"/>
  <c r="O1714" i="10"/>
  <c r="K1715" i="10" s="1"/>
  <c r="Q1713" i="10"/>
  <c r="P1714" i="10"/>
  <c r="M1715" i="10" s="1"/>
  <c r="N1714" i="10" l="1"/>
  <c r="J1715" i="10" s="1"/>
  <c r="L1715" i="10" l="1"/>
  <c r="P1715" i="10"/>
  <c r="M1716" i="10" s="1"/>
  <c r="O1715" i="10"/>
  <c r="K1716" i="10" s="1"/>
  <c r="Q1714" i="10"/>
  <c r="N1715" i="10" l="1"/>
  <c r="J1716" i="10" s="1"/>
  <c r="L1716" i="10" l="1"/>
  <c r="P1716" i="10" s="1"/>
  <c r="M1717" i="10" s="1"/>
  <c r="O1716" i="10"/>
  <c r="K1717" i="10" s="1"/>
  <c r="Q1715" i="10"/>
  <c r="N1716" i="10" l="1"/>
  <c r="J1717" i="10" s="1"/>
  <c r="L1717" i="10" l="1"/>
  <c r="P1717" i="10" s="1"/>
  <c r="M1718" i="10" s="1"/>
  <c r="O1717" i="10"/>
  <c r="K1718" i="10" s="1"/>
  <c r="Q1716" i="10"/>
  <c r="N1717" i="10" l="1"/>
  <c r="J1718" i="10" s="1"/>
  <c r="L1718" i="10" l="1"/>
  <c r="O1718" i="10"/>
  <c r="K1719" i="10" s="1"/>
  <c r="P1718" i="10"/>
  <c r="M1719" i="10" s="1"/>
  <c r="Q1717" i="10"/>
  <c r="N1718" i="10" l="1"/>
  <c r="J1719" i="10" s="1"/>
  <c r="L1719" i="10" l="1"/>
  <c r="O1719" i="10"/>
  <c r="K1720" i="10" s="1"/>
  <c r="P1719" i="10"/>
  <c r="M1720" i="10" s="1"/>
  <c r="Q1718" i="10"/>
  <c r="N1719" i="10" l="1"/>
  <c r="J1720" i="10" s="1"/>
  <c r="L1720" i="10" l="1"/>
  <c r="O1720" i="10"/>
  <c r="K1721" i="10" s="1"/>
  <c r="P1720" i="10"/>
  <c r="M1721" i="10" s="1"/>
  <c r="Q1719" i="10"/>
  <c r="N1720" i="10" l="1"/>
  <c r="J1721" i="10" s="1"/>
  <c r="L1721" i="10" l="1"/>
  <c r="O1721" i="10"/>
  <c r="K1722" i="10" s="1"/>
  <c r="P1721" i="10"/>
  <c r="M1722" i="10" s="1"/>
  <c r="Q1720" i="10"/>
  <c r="N1721" i="10" l="1"/>
  <c r="J1722" i="10" s="1"/>
  <c r="L1722" i="10" l="1"/>
  <c r="O1722" i="10"/>
  <c r="K1723" i="10" s="1"/>
  <c r="Q1721" i="10"/>
  <c r="P1722" i="10"/>
  <c r="M1723" i="10" s="1"/>
  <c r="N1722" i="10" l="1"/>
  <c r="J1723" i="10" s="1"/>
  <c r="L1723" i="10" l="1"/>
  <c r="O1723" i="10"/>
  <c r="K1724" i="10" s="1"/>
  <c r="P1723" i="10"/>
  <c r="M1724" i="10" s="1"/>
  <c r="Q1722" i="10"/>
  <c r="N1723" i="10" l="1"/>
  <c r="J1724" i="10" s="1"/>
  <c r="L1724" i="10" l="1"/>
  <c r="Q1723" i="10"/>
  <c r="O1724" i="10"/>
  <c r="K1725" i="10" s="1"/>
  <c r="P1724" i="10"/>
  <c r="M1725" i="10" s="1"/>
  <c r="N1724" i="10" l="1"/>
  <c r="J1725" i="10" s="1"/>
  <c r="L1725" i="10" l="1"/>
  <c r="O1725" i="10"/>
  <c r="K1726" i="10" s="1"/>
  <c r="P1725" i="10"/>
  <c r="M1726" i="10" s="1"/>
  <c r="Q1724" i="10"/>
  <c r="N1725" i="10" l="1"/>
  <c r="J1726" i="10" s="1"/>
  <c r="L1726" i="10" l="1"/>
  <c r="O1726" i="10"/>
  <c r="K1727" i="10" s="1"/>
  <c r="P1726" i="10"/>
  <c r="M1727" i="10" s="1"/>
  <c r="Q1725" i="10"/>
  <c r="N1726" i="10" l="1"/>
  <c r="J1727" i="10" s="1"/>
  <c r="L1727" i="10" l="1"/>
  <c r="P1727" i="10" s="1"/>
  <c r="M1728" i="10" s="1"/>
  <c r="O1727" i="10"/>
  <c r="K1728" i="10" s="1"/>
  <c r="Q1726" i="10"/>
  <c r="N1727" i="10" l="1"/>
  <c r="J1728" i="10" s="1"/>
  <c r="L1728" i="10" l="1"/>
  <c r="P1728" i="10"/>
  <c r="M1729" i="10" s="1"/>
  <c r="Q1727" i="10"/>
  <c r="O1728" i="10"/>
  <c r="K1729" i="10" s="1"/>
  <c r="N1728" i="10" l="1"/>
  <c r="J1729" i="10" s="1"/>
  <c r="L1729" i="10" l="1"/>
  <c r="P1729" i="10" s="1"/>
  <c r="M1730" i="10" s="1"/>
  <c r="O1729" i="10"/>
  <c r="K1730" i="10" s="1"/>
  <c r="Q1728" i="10"/>
  <c r="N1729" i="10" l="1"/>
  <c r="J1730" i="10" s="1"/>
  <c r="L1730" i="10" l="1"/>
  <c r="O1730" i="10"/>
  <c r="K1731" i="10" s="1"/>
  <c r="Q1729" i="10"/>
  <c r="P1730" i="10"/>
  <c r="M1731" i="10" s="1"/>
  <c r="N1730" i="10" l="1"/>
  <c r="J1731" i="10" s="1"/>
  <c r="L1731" i="10" l="1"/>
  <c r="P1731" i="10" s="1"/>
  <c r="M1732" i="10" s="1"/>
  <c r="O1731" i="10"/>
  <c r="K1732" i="10" s="1"/>
  <c r="Q1730" i="10"/>
  <c r="N1731" i="10" l="1"/>
  <c r="J1732" i="10" s="1"/>
  <c r="L1732" i="10" l="1"/>
  <c r="P1732" i="10"/>
  <c r="M1733" i="10" s="1"/>
  <c r="Q1731" i="10"/>
  <c r="O1732" i="10"/>
  <c r="K1733" i="10" s="1"/>
  <c r="N1732" i="10" l="1"/>
  <c r="J1733" i="10" s="1"/>
  <c r="L1733" i="10" l="1"/>
  <c r="P1733" i="10" s="1"/>
  <c r="M1734" i="10" s="1"/>
  <c r="O1733" i="10"/>
  <c r="K1734" i="10" s="1"/>
  <c r="Q1732" i="10"/>
  <c r="N1733" i="10" l="1"/>
  <c r="J1734" i="10" s="1"/>
  <c r="L1734" i="10" l="1"/>
  <c r="P1734" i="10"/>
  <c r="M1735" i="10" s="1"/>
  <c r="O1734" i="10"/>
  <c r="K1735" i="10" s="1"/>
  <c r="Q1733" i="10"/>
  <c r="N1734" i="10" l="1"/>
  <c r="J1735" i="10" s="1"/>
  <c r="L1735" i="10" l="1"/>
  <c r="P1735" i="10"/>
  <c r="M1736" i="10" s="1"/>
  <c r="O1735" i="10"/>
  <c r="K1736" i="10" s="1"/>
  <c r="Q1734" i="10"/>
  <c r="N1735" i="10" l="1"/>
  <c r="J1736" i="10" s="1"/>
  <c r="L1736" i="10" l="1"/>
  <c r="P1736" i="10" s="1"/>
  <c r="M1737" i="10" s="1"/>
  <c r="Q1735" i="10"/>
  <c r="O1736" i="10"/>
  <c r="K1737" i="10" s="1"/>
  <c r="N1736" i="10" l="1"/>
  <c r="J1737" i="10" s="1"/>
  <c r="L1737" i="10" l="1"/>
  <c r="O1737" i="10"/>
  <c r="K1738" i="10" s="1"/>
  <c r="Q1736" i="10"/>
  <c r="P1737" i="10"/>
  <c r="M1738" i="10" s="1"/>
  <c r="N1737" i="10" l="1"/>
  <c r="J1738" i="10" s="1"/>
  <c r="L1738" i="10" l="1"/>
  <c r="O1738" i="10"/>
  <c r="K1739" i="10" s="1"/>
  <c r="P1738" i="10"/>
  <c r="M1739" i="10" s="1"/>
  <c r="Q1737" i="10"/>
  <c r="N1738" i="10" l="1"/>
  <c r="J1739" i="10" s="1"/>
  <c r="L1739" i="10" l="1"/>
  <c r="P1739" i="10" s="1"/>
  <c r="M1740" i="10" s="1"/>
  <c r="O1739" i="10"/>
  <c r="K1740" i="10" s="1"/>
  <c r="Q1738" i="10"/>
  <c r="N1739" i="10" l="1"/>
  <c r="J1740" i="10" s="1"/>
  <c r="L1740" i="10" l="1"/>
  <c r="O1740" i="10"/>
  <c r="K1741" i="10" s="1"/>
  <c r="Q1739" i="10"/>
  <c r="P1740" i="10"/>
  <c r="M1741" i="10" s="1"/>
  <c r="N1740" i="10" l="1"/>
  <c r="J1741" i="10" s="1"/>
  <c r="L1741" i="10" l="1"/>
  <c r="P1741" i="10"/>
  <c r="M1742" i="10" s="1"/>
  <c r="Q1740" i="10"/>
  <c r="O1741" i="10"/>
  <c r="K1742" i="10" s="1"/>
  <c r="N1741" i="10" l="1"/>
  <c r="J1742" i="10" s="1"/>
  <c r="L1742" i="10" l="1"/>
  <c r="Q1741" i="10"/>
  <c r="P1742" i="10"/>
  <c r="M1743" i="10" s="1"/>
  <c r="O1742" i="10"/>
  <c r="K1743" i="10" s="1"/>
  <c r="N1742" i="10" l="1"/>
  <c r="J1743" i="10" s="1"/>
  <c r="L1743" i="10" l="1"/>
  <c r="O1743" i="10"/>
  <c r="K1744" i="10" s="1"/>
  <c r="P1743" i="10"/>
  <c r="M1744" i="10" s="1"/>
  <c r="Q1742" i="10"/>
  <c r="N1743" i="10" l="1"/>
  <c r="J1744" i="10" s="1"/>
  <c r="L1744" i="10" l="1"/>
  <c r="O1744" i="10"/>
  <c r="K1745" i="10" s="1"/>
  <c r="Q1743" i="10"/>
  <c r="P1744" i="10"/>
  <c r="M1745" i="10" s="1"/>
  <c r="N1744" i="10" l="1"/>
  <c r="J1745" i="10" s="1"/>
  <c r="L1745" i="10" l="1"/>
  <c r="O1745" i="10"/>
  <c r="K1746" i="10" s="1"/>
  <c r="Q1744" i="10"/>
  <c r="P1745" i="10"/>
  <c r="M1746" i="10" s="1"/>
  <c r="N1745" i="10" l="1"/>
  <c r="J1746" i="10" s="1"/>
  <c r="L1746" i="10" l="1"/>
  <c r="Q1745" i="10"/>
  <c r="O1746" i="10"/>
  <c r="K1747" i="10" s="1"/>
  <c r="P1746" i="10"/>
  <c r="M1747" i="10" s="1"/>
  <c r="N1746" i="10" l="1"/>
  <c r="J1747" i="10" s="1"/>
  <c r="L1747" i="10" l="1"/>
  <c r="Q1746" i="10"/>
  <c r="O1747" i="10"/>
  <c r="K1748" i="10" s="1"/>
  <c r="P1747" i="10"/>
  <c r="M1748" i="10" s="1"/>
  <c r="N1747" i="10" l="1"/>
  <c r="J1748" i="10" s="1"/>
  <c r="L1748" i="10" l="1"/>
  <c r="Q1747" i="10"/>
  <c r="P1748" i="10"/>
  <c r="M1749" i="10" s="1"/>
  <c r="O1748" i="10"/>
  <c r="K1749" i="10" s="1"/>
  <c r="N1748" i="10" l="1"/>
  <c r="J1749" i="10" s="1"/>
  <c r="L1749" i="10" l="1"/>
  <c r="O1749" i="10"/>
  <c r="K1750" i="10" s="1"/>
  <c r="Q1748" i="10"/>
  <c r="P1749" i="10"/>
  <c r="M1750" i="10" s="1"/>
  <c r="N1749" i="10" l="1"/>
  <c r="J1750" i="10" s="1"/>
  <c r="L1750" i="10" l="1"/>
  <c r="Q1749" i="10"/>
  <c r="O1750" i="10"/>
  <c r="K1751" i="10" s="1"/>
  <c r="P1750" i="10"/>
  <c r="M1751" i="10" s="1"/>
  <c r="N1750" i="10" l="1"/>
  <c r="J1751" i="10" s="1"/>
  <c r="L1751" i="10" l="1"/>
  <c r="O1751" i="10"/>
  <c r="K1752" i="10" s="1"/>
  <c r="Q1750" i="10"/>
  <c r="P1751" i="10"/>
  <c r="M1752" i="10" s="1"/>
  <c r="N1751" i="10" l="1"/>
  <c r="J1752" i="10" s="1"/>
  <c r="L1752" i="10" l="1"/>
  <c r="O1752" i="10"/>
  <c r="K1753" i="10" s="1"/>
  <c r="Q1751" i="10"/>
  <c r="P1752" i="10"/>
  <c r="M1753" i="10" s="1"/>
  <c r="N1752" i="10" l="1"/>
  <c r="J1753" i="10" s="1"/>
  <c r="L1753" i="10" l="1"/>
  <c r="P1753" i="10"/>
  <c r="M1754" i="10" s="1"/>
  <c r="Q1752" i="10"/>
  <c r="O1753" i="10"/>
  <c r="K1754" i="10" s="1"/>
  <c r="N1753" i="10" l="1"/>
  <c r="J1754" i="10" s="1"/>
  <c r="L1754" i="10" l="1"/>
  <c r="O1754" i="10"/>
  <c r="K1755" i="10" s="1"/>
  <c r="P1754" i="10"/>
  <c r="M1755" i="10" s="1"/>
  <c r="Q1753" i="10"/>
  <c r="N1754" i="10" l="1"/>
  <c r="J1755" i="10" s="1"/>
  <c r="L1755" i="10" l="1"/>
  <c r="P1755" i="10"/>
  <c r="M1756" i="10" s="1"/>
  <c r="Q1754" i="10"/>
  <c r="O1755" i="10"/>
  <c r="K1756" i="10" s="1"/>
  <c r="N1755" i="10" l="1"/>
  <c r="J1756" i="10" s="1"/>
  <c r="L1756" i="10" l="1"/>
  <c r="P1756" i="10"/>
  <c r="M1757" i="10" s="1"/>
  <c r="Q1755" i="10"/>
  <c r="O1756" i="10"/>
  <c r="K1757" i="10" s="1"/>
  <c r="N1756" i="10" l="1"/>
  <c r="J1757" i="10" s="1"/>
  <c r="L1757" i="10" l="1"/>
  <c r="O1757" i="10"/>
  <c r="K1758" i="10" s="1"/>
  <c r="P1757" i="10"/>
  <c r="M1758" i="10" s="1"/>
  <c r="Q1756" i="10"/>
  <c r="N1757" i="10" l="1"/>
  <c r="J1758" i="10" s="1"/>
  <c r="L1758" i="10" l="1"/>
  <c r="O1758" i="10"/>
  <c r="K1759" i="10" s="1"/>
  <c r="Q1757" i="10"/>
  <c r="P1758" i="10"/>
  <c r="M1759" i="10" s="1"/>
  <c r="N1758" i="10" l="1"/>
  <c r="J1759" i="10" s="1"/>
  <c r="L1759" i="10" l="1"/>
  <c r="O1759" i="10"/>
  <c r="K1760" i="10" s="1"/>
  <c r="P1759" i="10"/>
  <c r="M1760" i="10" s="1"/>
  <c r="Q1758" i="10"/>
  <c r="N1759" i="10" l="1"/>
  <c r="J1760" i="10" s="1"/>
  <c r="L1760" i="10" l="1"/>
  <c r="O1760" i="10"/>
  <c r="K1761" i="10" s="1"/>
  <c r="Q1759" i="10"/>
  <c r="P1760" i="10"/>
  <c r="M1761" i="10" s="1"/>
  <c r="N1760" i="10" l="1"/>
  <c r="J1761" i="10" s="1"/>
  <c r="L1761" i="10" l="1"/>
  <c r="O1761" i="10"/>
  <c r="K1762" i="10" s="1"/>
  <c r="Q1760" i="10"/>
  <c r="P1761" i="10"/>
  <c r="M1762" i="10" s="1"/>
  <c r="N1761" i="10" l="1"/>
  <c r="J1762" i="10" s="1"/>
  <c r="L1762" i="10" l="1"/>
  <c r="P1762" i="10"/>
  <c r="M1763" i="10" s="1"/>
  <c r="Q1761" i="10"/>
  <c r="O1762" i="10"/>
  <c r="K1763" i="10" s="1"/>
  <c r="N1762" i="10" l="1"/>
  <c r="J1763" i="10" s="1"/>
  <c r="L1763" i="10" l="1"/>
  <c r="Q1762" i="10"/>
  <c r="O1763" i="10"/>
  <c r="K1764" i="10" s="1"/>
  <c r="P1763" i="10"/>
  <c r="M1764" i="10" s="1"/>
  <c r="N1763" i="10" l="1"/>
  <c r="J1764" i="10" s="1"/>
  <c r="L1764" i="10" l="1"/>
  <c r="O1764" i="10"/>
  <c r="K1765" i="10" s="1"/>
  <c r="P1764" i="10"/>
  <c r="M1765" i="10" s="1"/>
  <c r="Q1763" i="10"/>
  <c r="N1764" i="10" l="1"/>
  <c r="J1765" i="10" s="1"/>
  <c r="L1765" i="10" l="1"/>
  <c r="Q1764" i="10"/>
  <c r="O1765" i="10"/>
  <c r="K1766" i="10" s="1"/>
  <c r="P1765" i="10"/>
  <c r="M1766" i="10" s="1"/>
  <c r="N1765" i="10" l="1"/>
  <c r="J1766" i="10" s="1"/>
  <c r="L1766" i="10" l="1"/>
  <c r="O1766" i="10"/>
  <c r="K1767" i="10" s="1"/>
  <c r="Q1765" i="10"/>
  <c r="P1766" i="10"/>
  <c r="M1767" i="10" s="1"/>
  <c r="N1766" i="10" l="1"/>
  <c r="J1767" i="10" s="1"/>
  <c r="L1767" i="10" l="1"/>
  <c r="O1767" i="10"/>
  <c r="K1768" i="10" s="1"/>
  <c r="P1767" i="10"/>
  <c r="M1768" i="10" s="1"/>
  <c r="Q1766" i="10"/>
  <c r="N1767" i="10" l="1"/>
  <c r="J1768" i="10" s="1"/>
  <c r="L1768" i="10" l="1"/>
  <c r="O1768" i="10"/>
  <c r="K1769" i="10" s="1"/>
  <c r="P1768" i="10"/>
  <c r="M1769" i="10" s="1"/>
  <c r="Q1767" i="10"/>
  <c r="N1768" i="10" l="1"/>
  <c r="J1769" i="10" s="1"/>
  <c r="L1769" i="10" l="1"/>
  <c r="O1769" i="10"/>
  <c r="K1770" i="10" s="1"/>
  <c r="P1769" i="10"/>
  <c r="M1770" i="10" s="1"/>
  <c r="Q1768" i="10"/>
  <c r="N1769" i="10" l="1"/>
  <c r="J1770" i="10" s="1"/>
  <c r="L1770" i="10" l="1"/>
  <c r="O1770" i="10"/>
  <c r="K1771" i="10" s="1"/>
  <c r="Q1769" i="10"/>
  <c r="P1770" i="10"/>
  <c r="M1771" i="10" s="1"/>
  <c r="N1770" i="10" l="1"/>
  <c r="J1771" i="10" s="1"/>
  <c r="L1771" i="10" l="1"/>
  <c r="O1771" i="10"/>
  <c r="K1772" i="10" s="1"/>
  <c r="Q1770" i="10"/>
  <c r="P1771" i="10"/>
  <c r="M1772" i="10" s="1"/>
  <c r="N1771" i="10" l="1"/>
  <c r="J1772" i="10" s="1"/>
  <c r="L1772" i="10" l="1"/>
  <c r="P1772" i="10" s="1"/>
  <c r="M1773" i="10" s="1"/>
  <c r="O1772" i="10"/>
  <c r="K1773" i="10" s="1"/>
  <c r="Q1771" i="10"/>
  <c r="N1772" i="10" l="1"/>
  <c r="J1773" i="10" s="1"/>
  <c r="L1773" i="10" l="1"/>
  <c r="O1773" i="10"/>
  <c r="K1774" i="10" s="1"/>
  <c r="Q1772" i="10"/>
  <c r="P1773" i="10"/>
  <c r="M1774" i="10" s="1"/>
  <c r="N1773" i="10" l="1"/>
  <c r="J1774" i="10" s="1"/>
  <c r="L1774" i="10" l="1"/>
  <c r="P1774" i="10"/>
  <c r="M1775" i="10" s="1"/>
  <c r="Q1773" i="10"/>
  <c r="O1774" i="10"/>
  <c r="K1775" i="10" s="1"/>
  <c r="N1774" i="10" l="1"/>
  <c r="J1775" i="10" s="1"/>
  <c r="L1775" i="10" l="1"/>
  <c r="O1775" i="10"/>
  <c r="K1776" i="10" s="1"/>
  <c r="P1775" i="10"/>
  <c r="M1776" i="10" s="1"/>
  <c r="Q1774" i="10"/>
  <c r="N1775" i="10" l="1"/>
  <c r="J1776" i="10" s="1"/>
  <c r="L1776" i="10" l="1"/>
  <c r="O1776" i="10"/>
  <c r="K1777" i="10" s="1"/>
  <c r="Q1775" i="10"/>
  <c r="P1776" i="10"/>
  <c r="M1777" i="10" s="1"/>
  <c r="N1776" i="10" l="1"/>
  <c r="J1777" i="10" s="1"/>
  <c r="L1777" i="10" l="1"/>
  <c r="P1777" i="10"/>
  <c r="M1778" i="10" s="1"/>
  <c r="O1777" i="10"/>
  <c r="K1778" i="10" s="1"/>
  <c r="Q1776" i="10"/>
  <c r="N1777" i="10" l="1"/>
  <c r="J1778" i="10" s="1"/>
  <c r="L1778" i="10" l="1"/>
  <c r="O1778" i="10"/>
  <c r="K1779" i="10" s="1"/>
  <c r="Q1777" i="10"/>
  <c r="P1778" i="10"/>
  <c r="M1779" i="10" s="1"/>
  <c r="N1778" i="10" l="1"/>
  <c r="J1779" i="10" s="1"/>
  <c r="L1779" i="10" l="1"/>
  <c r="O1779" i="10"/>
  <c r="K1780" i="10" s="1"/>
  <c r="Q1778" i="10"/>
  <c r="P1779" i="10"/>
  <c r="M1780" i="10" s="1"/>
  <c r="N1779" i="10" l="1"/>
  <c r="J1780" i="10" s="1"/>
  <c r="L1780" i="10" l="1"/>
  <c r="O1780" i="10"/>
  <c r="K1781" i="10" s="1"/>
  <c r="Q1779" i="10"/>
  <c r="P1780" i="10"/>
  <c r="M1781" i="10" s="1"/>
  <c r="N1780" i="10" l="1"/>
  <c r="J1781" i="10" s="1"/>
  <c r="L1781" i="10" l="1"/>
  <c r="P1781" i="10" s="1"/>
  <c r="M1782" i="10" s="1"/>
  <c r="O1781" i="10"/>
  <c r="K1782" i="10" s="1"/>
  <c r="Q1780" i="10"/>
  <c r="N1781" i="10" l="1"/>
  <c r="J1782" i="10" s="1"/>
  <c r="L1782" i="10" l="1"/>
  <c r="P1782" i="10" s="1"/>
  <c r="M1783" i="10" s="1"/>
  <c r="O1782" i="10"/>
  <c r="K1783" i="10" s="1"/>
  <c r="Q1781" i="10"/>
  <c r="N1782" i="10" l="1"/>
  <c r="J1783" i="10" s="1"/>
  <c r="L1783" i="10" l="1"/>
  <c r="P1783" i="10" s="1"/>
  <c r="M1784" i="10" s="1"/>
  <c r="O1783" i="10"/>
  <c r="K1784" i="10" s="1"/>
  <c r="Q1782" i="10"/>
  <c r="N1783" i="10" l="1"/>
  <c r="J1784" i="10" s="1"/>
  <c r="L1784" i="10" l="1"/>
  <c r="P1784" i="10" s="1"/>
  <c r="M1785" i="10" s="1"/>
  <c r="Q1783" i="10"/>
  <c r="O1784" i="10"/>
  <c r="K1785" i="10" s="1"/>
  <c r="N1784" i="10" l="1"/>
  <c r="J1785" i="10" s="1"/>
  <c r="L1785" i="10" l="1"/>
  <c r="P1785" i="10" s="1"/>
  <c r="M1786" i="10" s="1"/>
  <c r="O1785" i="10"/>
  <c r="K1786" i="10" s="1"/>
  <c r="Q1784" i="10"/>
  <c r="N1785" i="10" l="1"/>
  <c r="J1786" i="10" s="1"/>
  <c r="L1786" i="10" l="1"/>
  <c r="O1786" i="10"/>
  <c r="K1787" i="10" s="1"/>
  <c r="P1786" i="10"/>
  <c r="M1787" i="10" s="1"/>
  <c r="Q1785" i="10"/>
  <c r="N1786" i="10" l="1"/>
  <c r="J1787" i="10" s="1"/>
  <c r="L1787" i="10" l="1"/>
  <c r="O1787" i="10"/>
  <c r="K1788" i="10" s="1"/>
  <c r="P1787" i="10"/>
  <c r="M1788" i="10" s="1"/>
  <c r="Q1786" i="10"/>
  <c r="N1787" i="10" l="1"/>
  <c r="J1788" i="10" s="1"/>
  <c r="L1788" i="10" l="1"/>
  <c r="O1788" i="10"/>
  <c r="K1789" i="10" s="1"/>
  <c r="P1788" i="10"/>
  <c r="M1789" i="10" s="1"/>
  <c r="Q1787" i="10"/>
  <c r="N1788" i="10" l="1"/>
  <c r="J1789" i="10" s="1"/>
  <c r="L1789" i="10" l="1"/>
  <c r="P1789" i="10" s="1"/>
  <c r="M1790" i="10" s="1"/>
  <c r="O1789" i="10"/>
  <c r="K1790" i="10" s="1"/>
  <c r="Q1788" i="10"/>
  <c r="N1789" i="10" l="1"/>
  <c r="J1790" i="10" s="1"/>
  <c r="L1790" i="10" l="1"/>
  <c r="O1790" i="10"/>
  <c r="K1791" i="10" s="1"/>
  <c r="Q1789" i="10"/>
  <c r="P1790" i="10"/>
  <c r="M1791" i="10" s="1"/>
  <c r="N1790" i="10" l="1"/>
  <c r="J1791" i="10" s="1"/>
  <c r="L1791" i="10" l="1"/>
  <c r="O1791" i="10"/>
  <c r="K1792" i="10" s="1"/>
  <c r="P1791" i="10"/>
  <c r="M1792" i="10" s="1"/>
  <c r="Q1790" i="10"/>
  <c r="N1791" i="10" l="1"/>
  <c r="J1792" i="10" s="1"/>
  <c r="L1792" i="10" l="1"/>
  <c r="O1792" i="10"/>
  <c r="K1793" i="10" s="1"/>
  <c r="P1792" i="10"/>
  <c r="M1793" i="10" s="1"/>
  <c r="Q1791" i="10"/>
  <c r="N1792" i="10" l="1"/>
  <c r="J1793" i="10" s="1"/>
  <c r="L1793" i="10" l="1"/>
  <c r="O1793" i="10"/>
  <c r="K1794" i="10" s="1"/>
  <c r="P1793" i="10"/>
  <c r="M1794" i="10" s="1"/>
  <c r="Q1792" i="10"/>
  <c r="N1793" i="10" l="1"/>
  <c r="J1794" i="10" s="1"/>
  <c r="L1794" i="10" l="1"/>
  <c r="P1794" i="10"/>
  <c r="M1795" i="10" s="1"/>
  <c r="Q1793" i="10"/>
  <c r="O1794" i="10"/>
  <c r="K1795" i="10" s="1"/>
  <c r="N1794" i="10" l="1"/>
  <c r="J1795" i="10" s="1"/>
  <c r="L1795" i="10" l="1"/>
  <c r="O1795" i="10"/>
  <c r="K1796" i="10" s="1"/>
  <c r="P1795" i="10"/>
  <c r="M1796" i="10" s="1"/>
  <c r="Q1794" i="10"/>
  <c r="N1795" i="10" l="1"/>
  <c r="J1796" i="10" s="1"/>
  <c r="L1796" i="10" l="1"/>
  <c r="O1796" i="10"/>
  <c r="K1797" i="10" s="1"/>
  <c r="P1796" i="10"/>
  <c r="M1797" i="10" s="1"/>
  <c r="Q1795" i="10"/>
  <c r="N1796" i="10" l="1"/>
  <c r="J1797" i="10" s="1"/>
  <c r="L1797" i="10" l="1"/>
  <c r="O1797" i="10"/>
  <c r="K1798" i="10" s="1"/>
  <c r="P1797" i="10"/>
  <c r="M1798" i="10" s="1"/>
  <c r="Q1796" i="10"/>
  <c r="N1797" i="10" l="1"/>
  <c r="J1798" i="10" s="1"/>
  <c r="L1798" i="10" l="1"/>
  <c r="O1798" i="10"/>
  <c r="K1799" i="10" s="1"/>
  <c r="P1798" i="10"/>
  <c r="M1799" i="10" s="1"/>
  <c r="Q1797" i="10"/>
  <c r="N1798" i="10" l="1"/>
  <c r="J1799" i="10" s="1"/>
  <c r="L1799" i="10" l="1"/>
  <c r="O1799" i="10"/>
  <c r="K1800" i="10" s="1"/>
  <c r="Q1798" i="10"/>
  <c r="P1799" i="10"/>
  <c r="M1800" i="10" s="1"/>
  <c r="N1799" i="10" l="1"/>
  <c r="J1800" i="10" s="1"/>
  <c r="L1800" i="10" l="1"/>
  <c r="O1800" i="10"/>
  <c r="K1801" i="10" s="1"/>
  <c r="Q1799" i="10"/>
  <c r="P1800" i="10"/>
  <c r="M1801" i="10" s="1"/>
  <c r="N1800" i="10" l="1"/>
  <c r="J1801" i="10" s="1"/>
  <c r="L1801" i="10" l="1"/>
  <c r="O1801" i="10"/>
  <c r="K1802" i="10" s="1"/>
  <c r="P1801" i="10"/>
  <c r="M1802" i="10" s="1"/>
  <c r="Q1800" i="10"/>
  <c r="N1801" i="10" l="1"/>
  <c r="J1802" i="10" s="1"/>
  <c r="L1802" i="10" l="1"/>
  <c r="P1802" i="10"/>
  <c r="M1803" i="10" s="1"/>
  <c r="Q1801" i="10"/>
  <c r="O1802" i="10"/>
  <c r="K1803" i="10" s="1"/>
  <c r="N1802" i="10" l="1"/>
  <c r="J1803" i="10" s="1"/>
  <c r="L1803" i="10" l="1"/>
  <c r="P1803" i="10" s="1"/>
  <c r="M1804" i="10" s="1"/>
  <c r="O1803" i="10"/>
  <c r="K1804" i="10" s="1"/>
  <c r="Q1802" i="10"/>
  <c r="N1803" i="10" l="1"/>
  <c r="J1804" i="10" s="1"/>
  <c r="L1804" i="10" l="1"/>
  <c r="P1804" i="10" s="1"/>
  <c r="M1805" i="10" s="1"/>
  <c r="O1804" i="10"/>
  <c r="K1805" i="10" s="1"/>
  <c r="Q1803" i="10"/>
  <c r="N1804" i="10" l="1"/>
  <c r="J1805" i="10" s="1"/>
  <c r="L1805" i="10" l="1"/>
  <c r="Q1804" i="10"/>
  <c r="O1805" i="10"/>
  <c r="K1806" i="10" s="1"/>
  <c r="P1805" i="10"/>
  <c r="M1806" i="10" s="1"/>
  <c r="N1805" i="10" l="1"/>
  <c r="J1806" i="10" s="1"/>
  <c r="L1806" i="10" l="1"/>
  <c r="Q1805" i="10"/>
  <c r="O1806" i="10"/>
  <c r="K1807" i="10" s="1"/>
  <c r="P1806" i="10"/>
  <c r="M1807" i="10" s="1"/>
  <c r="N1806" i="10" l="1"/>
  <c r="J1807" i="10" s="1"/>
  <c r="L1807" i="10" l="1"/>
  <c r="P1807" i="10" s="1"/>
  <c r="M1808" i="10" s="1"/>
  <c r="O1807" i="10"/>
  <c r="K1808" i="10" s="1"/>
  <c r="Q1806" i="10"/>
  <c r="N1807" i="10" l="1"/>
  <c r="J1808" i="10" s="1"/>
  <c r="L1808" i="10" l="1"/>
  <c r="P1808" i="10"/>
  <c r="M1809" i="10" s="1"/>
  <c r="Q1807" i="10"/>
  <c r="O1808" i="10"/>
  <c r="K1809" i="10" s="1"/>
  <c r="N1808" i="10" l="1"/>
  <c r="J1809" i="10" s="1"/>
  <c r="L1809" i="10" l="1"/>
  <c r="P1809" i="10" s="1"/>
  <c r="M1810" i="10" s="1"/>
  <c r="O1809" i="10"/>
  <c r="K1810" i="10" s="1"/>
  <c r="Q1808" i="10"/>
  <c r="N1809" i="10" l="1"/>
  <c r="J1810" i="10" s="1"/>
  <c r="L1810" i="10" l="1"/>
  <c r="P1810" i="10" s="1"/>
  <c r="M1811" i="10" s="1"/>
  <c r="Q1809" i="10"/>
  <c r="O1810" i="10"/>
  <c r="K1811" i="10" s="1"/>
  <c r="N1810" i="10" l="1"/>
  <c r="J1811" i="10" s="1"/>
  <c r="L1811" i="10" l="1"/>
  <c r="O1811" i="10"/>
  <c r="K1812" i="10" s="1"/>
  <c r="P1811" i="10"/>
  <c r="M1812" i="10" s="1"/>
  <c r="Q1810" i="10"/>
  <c r="N1811" i="10" l="1"/>
  <c r="J1812" i="10" s="1"/>
  <c r="L1812" i="10" l="1"/>
  <c r="O1812" i="10"/>
  <c r="K1813" i="10" s="1"/>
  <c r="P1812" i="10"/>
  <c r="M1813" i="10" s="1"/>
  <c r="Q1811" i="10"/>
  <c r="N1812" i="10" l="1"/>
  <c r="J1813" i="10" s="1"/>
  <c r="L1813" i="10" l="1"/>
  <c r="O1813" i="10"/>
  <c r="K1814" i="10" s="1"/>
  <c r="P1813" i="10"/>
  <c r="M1814" i="10" s="1"/>
  <c r="Q1812" i="10"/>
  <c r="N1813" i="10" l="1"/>
  <c r="J1814" i="10" s="1"/>
  <c r="L1814" i="10" l="1"/>
  <c r="O1814" i="10"/>
  <c r="K1815" i="10" s="1"/>
  <c r="P1814" i="10"/>
  <c r="M1815" i="10" s="1"/>
  <c r="Q1813" i="10"/>
  <c r="N1814" i="10" l="1"/>
  <c r="J1815" i="10" s="1"/>
  <c r="L1815" i="10" l="1"/>
  <c r="O1815" i="10"/>
  <c r="K1816" i="10" s="1"/>
  <c r="P1815" i="10"/>
  <c r="M1816" i="10" s="1"/>
  <c r="Q1814" i="10"/>
  <c r="N1815" i="10" l="1"/>
  <c r="J1816" i="10" s="1"/>
  <c r="L1816" i="10" l="1"/>
  <c r="P1816" i="10" s="1"/>
  <c r="M1817" i="10" s="1"/>
  <c r="Q1815" i="10"/>
  <c r="O1816" i="10"/>
  <c r="K1817" i="10" s="1"/>
  <c r="N1816" i="10" l="1"/>
  <c r="J1817" i="10" s="1"/>
  <c r="L1817" i="10" l="1"/>
  <c r="O1817" i="10"/>
  <c r="K1818" i="10" s="1"/>
  <c r="P1817" i="10"/>
  <c r="M1818" i="10" s="1"/>
  <c r="Q1816" i="10"/>
  <c r="N1817" i="10" l="1"/>
  <c r="J1818" i="10" s="1"/>
  <c r="L1818" i="10" l="1"/>
  <c r="O1818" i="10"/>
  <c r="K1819" i="10" s="1"/>
  <c r="Q1817" i="10"/>
  <c r="P1818" i="10"/>
  <c r="M1819" i="10" s="1"/>
  <c r="N1818" i="10" l="1"/>
  <c r="J1819" i="10" s="1"/>
  <c r="L1819" i="10" l="1"/>
  <c r="O1819" i="10"/>
  <c r="K1820" i="10" s="1"/>
  <c r="P1819" i="10"/>
  <c r="M1820" i="10" s="1"/>
  <c r="Q1818" i="10"/>
  <c r="N1819" i="10" l="1"/>
  <c r="J1820" i="10" s="1"/>
  <c r="L1820" i="10" l="1"/>
  <c r="P1820" i="10"/>
  <c r="M1821" i="10" s="1"/>
  <c r="O1820" i="10"/>
  <c r="K1821" i="10" s="1"/>
  <c r="Q1819" i="10"/>
  <c r="N1820" i="10" l="1"/>
  <c r="J1821" i="10" s="1"/>
  <c r="L1821" i="10" l="1"/>
  <c r="P1821" i="10" s="1"/>
  <c r="M1822" i="10" s="1"/>
  <c r="Q1820" i="10"/>
  <c r="O1821" i="10"/>
  <c r="K1822" i="10" s="1"/>
  <c r="N1821" i="10" l="1"/>
  <c r="J1822" i="10" s="1"/>
  <c r="L1822" i="10" l="1"/>
  <c r="P1822" i="10" s="1"/>
  <c r="M1823" i="10" s="1"/>
  <c r="Q1821" i="10"/>
  <c r="O1822" i="10"/>
  <c r="K1823" i="10" s="1"/>
  <c r="N1822" i="10" l="1"/>
  <c r="J1823" i="10" s="1"/>
  <c r="L1823" i="10" l="1"/>
  <c r="O1823" i="10"/>
  <c r="K1824" i="10" s="1"/>
  <c r="Q1822" i="10"/>
  <c r="P1823" i="10"/>
  <c r="M1824" i="10" s="1"/>
  <c r="N1823" i="10" l="1"/>
  <c r="J1824" i="10" s="1"/>
  <c r="L1824" i="10" l="1"/>
  <c r="O1824" i="10"/>
  <c r="K1825" i="10" s="1"/>
  <c r="Q1823" i="10"/>
  <c r="P1824" i="10"/>
  <c r="M1825" i="10" s="1"/>
  <c r="N1824" i="10" l="1"/>
  <c r="J1825" i="10" s="1"/>
  <c r="L1825" i="10" l="1"/>
  <c r="O1825" i="10"/>
  <c r="K1826" i="10" s="1"/>
  <c r="P1825" i="10"/>
  <c r="M1826" i="10" s="1"/>
  <c r="Q1824" i="10"/>
  <c r="N1825" i="10" l="1"/>
  <c r="J1826" i="10" s="1"/>
  <c r="L1826" i="10" l="1"/>
  <c r="O1826" i="10"/>
  <c r="K1827" i="10" s="1"/>
  <c r="P1826" i="10"/>
  <c r="M1827" i="10" s="1"/>
  <c r="Q1825" i="10"/>
  <c r="N1826" i="10" l="1"/>
  <c r="J1827" i="10" s="1"/>
  <c r="L1827" i="10" l="1"/>
  <c r="O1827" i="10"/>
  <c r="K1828" i="10" s="1"/>
  <c r="P1827" i="10"/>
  <c r="M1828" i="10" s="1"/>
  <c r="Q1826" i="10"/>
  <c r="N1827" i="10" l="1"/>
  <c r="J1828" i="10" s="1"/>
  <c r="L1828" i="10" l="1"/>
  <c r="O1828" i="10"/>
  <c r="K1829" i="10" s="1"/>
  <c r="Q1827" i="10"/>
  <c r="P1828" i="10"/>
  <c r="M1829" i="10" s="1"/>
  <c r="N1828" i="10" l="1"/>
  <c r="J1829" i="10" s="1"/>
  <c r="L1829" i="10" l="1"/>
  <c r="O1829" i="10"/>
  <c r="K1830" i="10" s="1"/>
  <c r="P1829" i="10"/>
  <c r="M1830" i="10" s="1"/>
  <c r="Q1828" i="10"/>
  <c r="N1829" i="10" l="1"/>
  <c r="J1830" i="10" s="1"/>
  <c r="L1830" i="10" l="1"/>
  <c r="P1830" i="10"/>
  <c r="M1831" i="10" s="1"/>
  <c r="Q1829" i="10"/>
  <c r="O1830" i="10"/>
  <c r="K1831" i="10" s="1"/>
  <c r="N1830" i="10" l="1"/>
  <c r="J1831" i="10" s="1"/>
  <c r="L1831" i="10" l="1"/>
  <c r="O1831" i="10"/>
  <c r="K1832" i="10" s="1"/>
  <c r="P1831" i="10"/>
  <c r="M1832" i="10" s="1"/>
  <c r="Q1830" i="10"/>
  <c r="N1831" i="10" l="1"/>
  <c r="J1832" i="10" s="1"/>
  <c r="L1832" i="10" l="1"/>
  <c r="O1832" i="10"/>
  <c r="K1833" i="10" s="1"/>
  <c r="P1832" i="10"/>
  <c r="M1833" i="10" s="1"/>
  <c r="Q1831" i="10"/>
  <c r="N1832" i="10" l="1"/>
  <c r="J1833" i="10" s="1"/>
  <c r="L1833" i="10" l="1"/>
  <c r="O1833" i="10"/>
  <c r="K1834" i="10" s="1"/>
  <c r="Q1832" i="10"/>
  <c r="P1833" i="10"/>
  <c r="M1834" i="10" s="1"/>
  <c r="N1833" i="10" l="1"/>
  <c r="J1834" i="10" s="1"/>
  <c r="L1834" i="10" l="1"/>
  <c r="O1834" i="10"/>
  <c r="K1835" i="10" s="1"/>
  <c r="Q1833" i="10"/>
  <c r="P1834" i="10"/>
  <c r="M1835" i="10" s="1"/>
  <c r="N1834" i="10" l="1"/>
  <c r="J1835" i="10" s="1"/>
  <c r="L1835" i="10" l="1"/>
  <c r="O1835" i="10"/>
  <c r="K1836" i="10" s="1"/>
  <c r="P1835" i="10"/>
  <c r="M1836" i="10" s="1"/>
  <c r="Q1834" i="10"/>
  <c r="N1835" i="10" l="1"/>
  <c r="J1836" i="10" s="1"/>
  <c r="L1836" i="10" l="1"/>
  <c r="O1836" i="10"/>
  <c r="K1837" i="10" s="1"/>
  <c r="P1836" i="10"/>
  <c r="M1837" i="10" s="1"/>
  <c r="Q1835" i="10"/>
  <c r="N1836" i="10" l="1"/>
  <c r="J1837" i="10" s="1"/>
  <c r="L1837" i="10" l="1"/>
  <c r="O1837" i="10"/>
  <c r="K1838" i="10" s="1"/>
  <c r="P1837" i="10"/>
  <c r="M1838" i="10" s="1"/>
  <c r="Q1836" i="10"/>
  <c r="N1837" i="10" l="1"/>
  <c r="J1838" i="10" s="1"/>
  <c r="L1838" i="10" l="1"/>
  <c r="O1838" i="10"/>
  <c r="K1839" i="10" s="1"/>
  <c r="P1838" i="10"/>
  <c r="M1839" i="10" s="1"/>
  <c r="Q1837" i="10"/>
  <c r="N1838" i="10" l="1"/>
  <c r="J1839" i="10" s="1"/>
  <c r="L1839" i="10" l="1"/>
  <c r="O1839" i="10"/>
  <c r="K1840" i="10" s="1"/>
  <c r="P1839" i="10"/>
  <c r="M1840" i="10" s="1"/>
  <c r="Q1838" i="10"/>
  <c r="N1839" i="10" l="1"/>
  <c r="J1840" i="10" s="1"/>
  <c r="L1840" i="10" l="1"/>
  <c r="O1840" i="10"/>
  <c r="K1841" i="10" s="1"/>
  <c r="P1840" i="10"/>
  <c r="M1841" i="10" s="1"/>
  <c r="Q1839" i="10"/>
  <c r="N1840" i="10" l="1"/>
  <c r="J1841" i="10" s="1"/>
  <c r="L1841" i="10" l="1"/>
  <c r="P1841" i="10" s="1"/>
  <c r="M1842" i="10" s="1"/>
  <c r="Q1840" i="10"/>
  <c r="O1841" i="10"/>
  <c r="K1842" i="10" s="1"/>
  <c r="N1841" i="10" l="1"/>
  <c r="J1842" i="10" s="1"/>
  <c r="L1842" i="10" l="1"/>
  <c r="O1842" i="10"/>
  <c r="K1843" i="10" s="1"/>
  <c r="Q1841" i="10"/>
  <c r="P1842" i="10"/>
  <c r="M1843" i="10" s="1"/>
  <c r="N1842" i="10" l="1"/>
  <c r="J1843" i="10" s="1"/>
  <c r="L1843" i="10" l="1"/>
  <c r="P1843" i="10" s="1"/>
  <c r="M1844" i="10" s="1"/>
  <c r="O1843" i="10"/>
  <c r="K1844" i="10" s="1"/>
  <c r="Q1842" i="10"/>
  <c r="N1843" i="10" l="1"/>
  <c r="J1844" i="10" s="1"/>
  <c r="L1844" i="10" l="1"/>
  <c r="Q1843" i="10"/>
  <c r="O1844" i="10"/>
  <c r="K1845" i="10" s="1"/>
  <c r="P1844" i="10"/>
  <c r="M1845" i="10" s="1"/>
  <c r="N1844" i="10" l="1"/>
  <c r="J1845" i="10" s="1"/>
  <c r="L1845" i="10" l="1"/>
  <c r="O1845" i="10"/>
  <c r="K1846" i="10" s="1"/>
  <c r="P1845" i="10"/>
  <c r="M1846" i="10" s="1"/>
  <c r="Q1844" i="10"/>
  <c r="N1845" i="10" l="1"/>
  <c r="J1846" i="10" s="1"/>
  <c r="L1846" i="10" l="1"/>
  <c r="O1846" i="10"/>
  <c r="K1847" i="10" s="1"/>
  <c r="P1846" i="10"/>
  <c r="M1847" i="10" s="1"/>
  <c r="Q1845" i="10"/>
  <c r="N1846" i="10" l="1"/>
  <c r="J1847" i="10" s="1"/>
  <c r="L1847" i="10" l="1"/>
  <c r="P1847" i="10" s="1"/>
  <c r="M1848" i="10" s="1"/>
  <c r="O1847" i="10"/>
  <c r="K1848" i="10" s="1"/>
  <c r="Q1846" i="10"/>
  <c r="N1847" i="10" l="1"/>
  <c r="J1848" i="10" s="1"/>
  <c r="L1848" i="10" l="1"/>
  <c r="O1848" i="10"/>
  <c r="K1849" i="10" s="1"/>
  <c r="P1848" i="10"/>
  <c r="M1849" i="10" s="1"/>
  <c r="Q1847" i="10"/>
  <c r="N1848" i="10" l="1"/>
  <c r="J1849" i="10" s="1"/>
  <c r="L1849" i="10" l="1"/>
  <c r="P1849" i="10"/>
  <c r="M1850" i="10" s="1"/>
  <c r="Q1848" i="10"/>
  <c r="O1849" i="10"/>
  <c r="K1850" i="10" s="1"/>
  <c r="N1849" i="10" l="1"/>
  <c r="J1850" i="10" s="1"/>
  <c r="L1850" i="10" l="1"/>
  <c r="O1850" i="10"/>
  <c r="K1851" i="10" s="1"/>
  <c r="P1850" i="10"/>
  <c r="M1851" i="10" s="1"/>
  <c r="Q1849" i="10"/>
  <c r="N1850" i="10" l="1"/>
  <c r="J1851" i="10" s="1"/>
  <c r="L1851" i="10" l="1"/>
  <c r="O1851" i="10"/>
  <c r="K1852" i="10" s="1"/>
  <c r="P1851" i="10"/>
  <c r="M1852" i="10" s="1"/>
  <c r="Q1850" i="10"/>
  <c r="N1851" i="10" l="1"/>
  <c r="J1852" i="10" s="1"/>
  <c r="L1852" i="10" l="1"/>
  <c r="O1852" i="10"/>
  <c r="K1853" i="10" s="1"/>
  <c r="P1852" i="10"/>
  <c r="M1853" i="10" s="1"/>
  <c r="Q1851" i="10"/>
  <c r="N1852" i="10" l="1"/>
  <c r="J1853" i="10" s="1"/>
  <c r="L1853" i="10" l="1"/>
  <c r="P1853" i="10"/>
  <c r="M1854" i="10" s="1"/>
  <c r="Q1852" i="10"/>
  <c r="O1853" i="10"/>
  <c r="K1854" i="10" s="1"/>
  <c r="N1853" i="10" l="1"/>
  <c r="J1854" i="10" s="1"/>
  <c r="L1854" i="10" l="1"/>
  <c r="O1854" i="10"/>
  <c r="K1855" i="10" s="1"/>
  <c r="P1854" i="10"/>
  <c r="M1855" i="10" s="1"/>
  <c r="Q1853" i="10"/>
  <c r="N1854" i="10" l="1"/>
  <c r="J1855" i="10" s="1"/>
  <c r="L1855" i="10" l="1"/>
  <c r="O1855" i="10"/>
  <c r="K1856" i="10" s="1"/>
  <c r="Q1854" i="10"/>
  <c r="P1855" i="10"/>
  <c r="M1856" i="10" s="1"/>
  <c r="N1855" i="10" l="1"/>
  <c r="J1856" i="10" s="1"/>
  <c r="L1856" i="10" l="1"/>
  <c r="O1856" i="10"/>
  <c r="K1857" i="10" s="1"/>
  <c r="P1856" i="10"/>
  <c r="M1857" i="10" s="1"/>
  <c r="Q1855" i="10"/>
  <c r="N1856" i="10" l="1"/>
  <c r="J1857" i="10" s="1"/>
  <c r="L1857" i="10" l="1"/>
  <c r="P1857" i="10" s="1"/>
  <c r="M1858" i="10" s="1"/>
  <c r="O1857" i="10"/>
  <c r="K1858" i="10" s="1"/>
  <c r="Q1856" i="10"/>
  <c r="N1857" i="10" l="1"/>
  <c r="J1858" i="10" s="1"/>
  <c r="L1858" i="10" l="1"/>
  <c r="P1858" i="10" s="1"/>
  <c r="M1859" i="10" s="1"/>
  <c r="O1858" i="10"/>
  <c r="K1859" i="10" s="1"/>
  <c r="Q1857" i="10"/>
  <c r="N1858" i="10" l="1"/>
  <c r="J1859" i="10" s="1"/>
  <c r="L1859" i="10" l="1"/>
  <c r="O1859" i="10"/>
  <c r="K1860" i="10" s="1"/>
  <c r="Q1858" i="10"/>
  <c r="P1859" i="10"/>
  <c r="M1860" i="10" s="1"/>
  <c r="N1859" i="10" l="1"/>
  <c r="J1860" i="10" s="1"/>
  <c r="L1860" i="10" l="1"/>
  <c r="O1860" i="10"/>
  <c r="K1861" i="10" s="1"/>
  <c r="Q1859" i="10"/>
  <c r="P1860" i="10"/>
  <c r="M1861" i="10" s="1"/>
  <c r="N1860" i="10" l="1"/>
  <c r="J1861" i="10" s="1"/>
  <c r="L1861" i="10" l="1"/>
  <c r="O1861" i="10"/>
  <c r="K1862" i="10" s="1"/>
  <c r="P1861" i="10"/>
  <c r="M1862" i="10" s="1"/>
  <c r="Q1860" i="10"/>
  <c r="N1861" i="10" l="1"/>
  <c r="J1862" i="10" s="1"/>
  <c r="L1862" i="10" l="1"/>
  <c r="P1862" i="10"/>
  <c r="M1863" i="10" s="1"/>
  <c r="Q1861" i="10"/>
  <c r="O1862" i="10"/>
  <c r="K1863" i="10" s="1"/>
  <c r="N1862" i="10" l="1"/>
  <c r="J1863" i="10" s="1"/>
  <c r="L1863" i="10" l="1"/>
  <c r="P1863" i="10" s="1"/>
  <c r="M1864" i="10" s="1"/>
  <c r="O1863" i="10"/>
  <c r="K1864" i="10" s="1"/>
  <c r="Q1862" i="10"/>
  <c r="N1863" i="10" l="1"/>
  <c r="J1864" i="10" s="1"/>
  <c r="L1864" i="10" l="1"/>
  <c r="O1864" i="10"/>
  <c r="K1865" i="10" s="1"/>
  <c r="P1864" i="10"/>
  <c r="M1865" i="10" s="1"/>
  <c r="Q1863" i="10"/>
  <c r="N1864" i="10" l="1"/>
  <c r="J1865" i="10" s="1"/>
  <c r="L1865" i="10" l="1"/>
  <c r="O1865" i="10"/>
  <c r="K1866" i="10" s="1"/>
  <c r="P1865" i="10"/>
  <c r="M1866" i="10" s="1"/>
  <c r="Q1864" i="10"/>
  <c r="N1865" i="10" l="1"/>
  <c r="J1866" i="10" s="1"/>
  <c r="L1866" i="10" l="1"/>
  <c r="O1866" i="10"/>
  <c r="K1867" i="10" s="1"/>
  <c r="P1866" i="10"/>
  <c r="M1867" i="10" s="1"/>
  <c r="Q1865" i="10"/>
  <c r="N1866" i="10" l="1"/>
  <c r="J1867" i="10" s="1"/>
  <c r="L1867" i="10" l="1"/>
  <c r="P1867" i="10" s="1"/>
  <c r="M1868" i="10" s="1"/>
  <c r="Q1866" i="10"/>
  <c r="O1867" i="10"/>
  <c r="K1868" i="10" s="1"/>
  <c r="N1867" i="10" l="1"/>
  <c r="J1868" i="10" s="1"/>
  <c r="L1868" i="10" l="1"/>
  <c r="P1868" i="10"/>
  <c r="M1869" i="10" s="1"/>
  <c r="Q1867" i="10"/>
  <c r="O1868" i="10"/>
  <c r="K1869" i="10" s="1"/>
  <c r="N1868" i="10" l="1"/>
  <c r="J1869" i="10" s="1"/>
  <c r="L1869" i="10" l="1"/>
  <c r="P1869" i="10"/>
  <c r="M1870" i="10" s="1"/>
  <c r="Q1868" i="10"/>
  <c r="O1869" i="10"/>
  <c r="K1870" i="10" s="1"/>
  <c r="N1869" i="10" l="1"/>
  <c r="J1870" i="10" s="1"/>
  <c r="L1870" i="10" l="1"/>
  <c r="Q1869" i="10"/>
  <c r="O1870" i="10"/>
  <c r="K1871" i="10" s="1"/>
  <c r="P1870" i="10"/>
  <c r="M1871" i="10" s="1"/>
  <c r="N1870" i="10" l="1"/>
  <c r="J1871" i="10" s="1"/>
  <c r="L1871" i="10" l="1"/>
  <c r="O1871" i="10"/>
  <c r="K1872" i="10" s="1"/>
  <c r="P1871" i="10"/>
  <c r="M1872" i="10" s="1"/>
  <c r="Q1870" i="10"/>
  <c r="N1871" i="10" l="1"/>
  <c r="J1872" i="10" s="1"/>
  <c r="L1872" i="10" l="1"/>
  <c r="P1872" i="10" s="1"/>
  <c r="M1873" i="10" s="1"/>
  <c r="Q1871" i="10"/>
  <c r="O1872" i="10"/>
  <c r="K1873" i="10" s="1"/>
  <c r="N1872" i="10" l="1"/>
  <c r="J1873" i="10" s="1"/>
  <c r="L1873" i="10" l="1"/>
  <c r="P1873" i="10" s="1"/>
  <c r="M1874" i="10" s="1"/>
  <c r="O1873" i="10"/>
  <c r="K1874" i="10" s="1"/>
  <c r="Q1872" i="10"/>
  <c r="N1873" i="10" l="1"/>
  <c r="J1874" i="10" s="1"/>
  <c r="L1874" i="10" l="1"/>
  <c r="O1874" i="10"/>
  <c r="K1875" i="10" s="1"/>
  <c r="P1874" i="10"/>
  <c r="M1875" i="10" s="1"/>
  <c r="Q1873" i="10"/>
  <c r="N1874" i="10" l="1"/>
  <c r="J1875" i="10" s="1"/>
  <c r="L1875" i="10" l="1"/>
  <c r="Q1874" i="10"/>
  <c r="P1875" i="10"/>
  <c r="M1876" i="10" s="1"/>
  <c r="O1875" i="10"/>
  <c r="K1876" i="10" s="1"/>
  <c r="N1875" i="10" l="1"/>
  <c r="J1876" i="10" s="1"/>
  <c r="L1876" i="10" l="1"/>
  <c r="O1876" i="10"/>
  <c r="K1877" i="10" s="1"/>
  <c r="Q1875" i="10"/>
  <c r="P1876" i="10"/>
  <c r="M1877" i="10" s="1"/>
  <c r="N1876" i="10" l="1"/>
  <c r="J1877" i="10" s="1"/>
  <c r="L1877" i="10" l="1"/>
  <c r="O1877" i="10"/>
  <c r="K1878" i="10" s="1"/>
  <c r="Q1876" i="10"/>
  <c r="P1877" i="10"/>
  <c r="M1878" i="10" s="1"/>
  <c r="N1877" i="10" l="1"/>
  <c r="J1878" i="10" s="1"/>
  <c r="L1878" i="10" l="1"/>
  <c r="O1878" i="10"/>
  <c r="K1879" i="10" s="1"/>
  <c r="P1878" i="10"/>
  <c r="M1879" i="10" s="1"/>
  <c r="Q1877" i="10"/>
  <c r="N1878" i="10" l="1"/>
  <c r="J1879" i="10" s="1"/>
  <c r="L1879" i="10" l="1"/>
  <c r="O1879" i="10"/>
  <c r="K1880" i="10" s="1"/>
  <c r="P1879" i="10"/>
  <c r="M1880" i="10" s="1"/>
  <c r="Q1878" i="10"/>
  <c r="N1879" i="10" l="1"/>
  <c r="J1880" i="10" s="1"/>
  <c r="L1880" i="10" l="1"/>
  <c r="O1880" i="10"/>
  <c r="K1881" i="10" s="1"/>
  <c r="Q1879" i="10"/>
  <c r="P1880" i="10"/>
  <c r="M1881" i="10" s="1"/>
  <c r="N1880" i="10" l="1"/>
  <c r="Q1880" i="10" l="1"/>
  <c r="J1881" i="10"/>
  <c r="L1881" i="10"/>
  <c r="P1881" i="10" s="1"/>
  <c r="M1882" i="10" s="1"/>
  <c r="O1881" i="10"/>
  <c r="K1882" i="10" s="1"/>
  <c r="N1881" i="10" l="1"/>
  <c r="J1882" i="10" s="1"/>
  <c r="Q1881" i="10"/>
  <c r="L1882" i="10" l="1"/>
  <c r="P1882" i="10" s="1"/>
  <c r="M1883" i="10" s="1"/>
  <c r="O1882" i="10"/>
  <c r="K1883" i="10" s="1"/>
  <c r="N1882" i="10" l="1"/>
  <c r="Q1882" i="10" l="1"/>
  <c r="J1883" i="10"/>
  <c r="L1883" i="10"/>
  <c r="P1883" i="10" s="1"/>
  <c r="M1884" i="10" s="1"/>
  <c r="O1883" i="10"/>
  <c r="K1884" i="10" s="1"/>
  <c r="N1883" i="10" l="1"/>
  <c r="J1884" i="10" s="1"/>
  <c r="Q1883" i="10" l="1"/>
  <c r="L1884" i="10"/>
  <c r="P1884" i="10" s="1"/>
  <c r="M1885" i="10" s="1"/>
  <c r="O1884" i="10"/>
  <c r="K1885" i="10" s="1"/>
  <c r="N1884" i="10" l="1"/>
  <c r="Q1884" i="10"/>
  <c r="L1885" i="10" l="1"/>
  <c r="P1885" i="10" s="1"/>
  <c r="M1886" i="10" s="1"/>
  <c r="J1885" i="10"/>
  <c r="O1885" i="10" s="1"/>
  <c r="K1886" i="10" s="1"/>
  <c r="N1885" i="10" l="1"/>
  <c r="J1886" i="10" s="1"/>
  <c r="L1886" i="10"/>
  <c r="P1886" i="10" s="1"/>
  <c r="M1887" i="10" s="1"/>
  <c r="O1886" i="10"/>
  <c r="K1887" i="10" s="1"/>
  <c r="Q1885" i="10"/>
  <c r="N1886" i="10" l="1"/>
  <c r="J1887" i="10" s="1"/>
  <c r="L1887" i="10" l="1"/>
  <c r="O1887" i="10"/>
  <c r="K1888" i="10" s="1"/>
  <c r="P1887" i="10"/>
  <c r="M1888" i="10" s="1"/>
  <c r="Q1886" i="10"/>
  <c r="N1887" i="10" l="1"/>
  <c r="J1888" i="10" s="1"/>
  <c r="L1888" i="10" l="1"/>
  <c r="P1888" i="10"/>
  <c r="M1889" i="10" s="1"/>
  <c r="Q1887" i="10"/>
  <c r="O1888" i="10"/>
  <c r="K1889" i="10" s="1"/>
  <c r="N1888" i="10" l="1"/>
  <c r="J1889" i="10" s="1"/>
  <c r="L1889" i="10" l="1"/>
  <c r="P1889" i="10"/>
  <c r="M1890" i="10" s="1"/>
  <c r="O1889" i="10"/>
  <c r="K1890" i="10" s="1"/>
  <c r="Q1888" i="10"/>
  <c r="N1889" i="10" l="1"/>
  <c r="J1890" i="10" s="1"/>
  <c r="L1890" i="10" l="1"/>
  <c r="O1890" i="10"/>
  <c r="K1891" i="10" s="1"/>
  <c r="P1890" i="10"/>
  <c r="M1891" i="10" s="1"/>
  <c r="Q1889" i="10"/>
  <c r="N1890" i="10" l="1"/>
  <c r="J1891" i="10" s="1"/>
  <c r="L1891" i="10" l="1"/>
  <c r="P1891" i="10"/>
  <c r="M1892" i="10" s="1"/>
  <c r="O1891" i="10"/>
  <c r="K1892" i="10" s="1"/>
  <c r="Q1890" i="10"/>
  <c r="N1891" i="10" l="1"/>
  <c r="J1892" i="10" s="1"/>
  <c r="L1892" i="10" l="1"/>
  <c r="O1892" i="10"/>
  <c r="K1893" i="10" s="1"/>
  <c r="P1892" i="10"/>
  <c r="M1893" i="10" s="1"/>
  <c r="Q1891" i="10"/>
  <c r="N1892" i="10" l="1"/>
  <c r="J1893" i="10" s="1"/>
  <c r="L1893" i="10" l="1"/>
  <c r="O1893" i="10"/>
  <c r="K1894" i="10" s="1"/>
  <c r="P1893" i="10"/>
  <c r="M1894" i="10" s="1"/>
  <c r="Q1892" i="10"/>
  <c r="N1893" i="10" l="1"/>
  <c r="J1894" i="10" s="1"/>
  <c r="L1894" i="10" l="1"/>
  <c r="P1894" i="10"/>
  <c r="M1895" i="10" s="1"/>
  <c r="Q1893" i="10"/>
  <c r="O1894" i="10"/>
  <c r="K1895" i="10" s="1"/>
  <c r="N1894" i="10" l="1"/>
  <c r="J1895" i="10" s="1"/>
  <c r="L1895" i="10" l="1"/>
  <c r="O1895" i="10"/>
  <c r="K1896" i="10" s="1"/>
  <c r="Q1894" i="10"/>
  <c r="P1895" i="10"/>
  <c r="M1896" i="10" s="1"/>
  <c r="N1895" i="10" l="1"/>
  <c r="J1896" i="10" s="1"/>
  <c r="L1896" i="10" l="1"/>
  <c r="O1896" i="10"/>
  <c r="K1897" i="10" s="1"/>
  <c r="Q1895" i="10"/>
  <c r="P1896" i="10"/>
  <c r="M1897" i="10" s="1"/>
  <c r="N1896" i="10" l="1"/>
  <c r="J1897" i="10" s="1"/>
  <c r="L1897" i="10" l="1"/>
  <c r="P1897" i="10" s="1"/>
  <c r="M1898" i="10" s="1"/>
  <c r="O1897" i="10"/>
  <c r="K1898" i="10" s="1"/>
  <c r="Q1896" i="10"/>
  <c r="N1897" i="10" l="1"/>
  <c r="J1898" i="10" s="1"/>
  <c r="L1898" i="10" l="1"/>
  <c r="P1898" i="10"/>
  <c r="M1899" i="10" s="1"/>
  <c r="O1898" i="10"/>
  <c r="K1899" i="10" s="1"/>
  <c r="Q1897" i="10"/>
  <c r="N1898" i="10" l="1"/>
  <c r="J1899" i="10" s="1"/>
  <c r="L1899" i="10" l="1"/>
  <c r="P1899" i="10" s="1"/>
  <c r="M1900" i="10" s="1"/>
  <c r="O1899" i="10"/>
  <c r="K1900" i="10" s="1"/>
  <c r="Q1898" i="10"/>
  <c r="N1899" i="10" l="1"/>
  <c r="J1900" i="10" s="1"/>
  <c r="L1900" i="10" l="1"/>
  <c r="Q1899" i="10"/>
  <c r="O1900" i="10"/>
  <c r="K1901" i="10" s="1"/>
  <c r="P1900" i="10"/>
  <c r="M1901" i="10" s="1"/>
  <c r="N1900" i="10" l="1"/>
  <c r="J1901" i="10" s="1"/>
  <c r="L1901" i="10" l="1"/>
  <c r="O1901" i="10"/>
  <c r="K1902" i="10" s="1"/>
  <c r="Q1900" i="10"/>
  <c r="P1901" i="10"/>
  <c r="M1902" i="10" s="1"/>
  <c r="N1901" i="10" l="1"/>
  <c r="J1902" i="10" s="1"/>
  <c r="L1902" i="10" l="1"/>
  <c r="P1902" i="10" s="1"/>
  <c r="M1903" i="10" s="1"/>
  <c r="O1902" i="10"/>
  <c r="K1903" i="10" s="1"/>
  <c r="Q1901" i="10"/>
  <c r="N1902" i="10" l="1"/>
  <c r="J1903" i="10" s="1"/>
  <c r="L1903" i="10" l="1"/>
  <c r="P1903" i="10" s="1"/>
  <c r="M1904" i="10" s="1"/>
  <c r="O1903" i="10"/>
  <c r="K1904" i="10" s="1"/>
  <c r="Q1902" i="10"/>
  <c r="N1903" i="10" l="1"/>
  <c r="J1904" i="10" s="1"/>
  <c r="L1904" i="10" l="1"/>
  <c r="O1904" i="10"/>
  <c r="K1905" i="10" s="1"/>
  <c r="P1904" i="10"/>
  <c r="M1905" i="10" s="1"/>
  <c r="Q1903" i="10"/>
  <c r="N1904" i="10" l="1"/>
  <c r="J1905" i="10" s="1"/>
  <c r="L1905" i="10" l="1"/>
  <c r="O1905" i="10"/>
  <c r="K1906" i="10" s="1"/>
  <c r="P1905" i="10"/>
  <c r="M1906" i="10" s="1"/>
  <c r="Q1904" i="10"/>
  <c r="N1905" i="10" l="1"/>
  <c r="J1906" i="10" s="1"/>
  <c r="L1906" i="10" l="1"/>
  <c r="O1906" i="10"/>
  <c r="K1907" i="10" s="1"/>
  <c r="P1906" i="10"/>
  <c r="M1907" i="10" s="1"/>
  <c r="Q1905" i="10"/>
  <c r="N1906" i="10" l="1"/>
  <c r="J1907" i="10" s="1"/>
  <c r="L1907" i="10" l="1"/>
  <c r="P1907" i="10" s="1"/>
  <c r="M1908" i="10" s="1"/>
  <c r="O1907" i="10"/>
  <c r="K1908" i="10" s="1"/>
  <c r="Q1906" i="10"/>
  <c r="N1907" i="10" l="1"/>
  <c r="J1908" i="10" s="1"/>
  <c r="L1908" i="10" l="1"/>
  <c r="P1908" i="10" s="1"/>
  <c r="M1909" i="10" s="1"/>
  <c r="O1908" i="10"/>
  <c r="K1909" i="10" s="1"/>
  <c r="Q1907" i="10"/>
  <c r="N1908" i="10" l="1"/>
  <c r="J1909" i="10" s="1"/>
  <c r="L1909" i="10" l="1"/>
  <c r="Q1908" i="10"/>
  <c r="O1909" i="10"/>
  <c r="K1910" i="10" s="1"/>
  <c r="P1909" i="10"/>
  <c r="M1910" i="10" s="1"/>
  <c r="N1909" i="10" l="1"/>
  <c r="J1910" i="10" s="1"/>
  <c r="L1910" i="10" l="1"/>
  <c r="P1910" i="10" s="1"/>
  <c r="M1911" i="10" s="1"/>
  <c r="O1910" i="10"/>
  <c r="K1911" i="10" s="1"/>
  <c r="Q1909" i="10"/>
  <c r="N1910" i="10" l="1"/>
  <c r="J1911" i="10" s="1"/>
  <c r="L1911" i="10" l="1"/>
  <c r="P1911" i="10" s="1"/>
  <c r="M1912" i="10" s="1"/>
  <c r="O1911" i="10"/>
  <c r="K1912" i="10" s="1"/>
  <c r="Q1910" i="10"/>
  <c r="N1911" i="10" l="1"/>
  <c r="J1912" i="10" s="1"/>
  <c r="L1912" i="10" l="1"/>
  <c r="O1912" i="10"/>
  <c r="K1913" i="10" s="1"/>
  <c r="P1912" i="10"/>
  <c r="M1913" i="10" s="1"/>
  <c r="Q1911" i="10"/>
  <c r="N1912" i="10" l="1"/>
  <c r="J1913" i="10" s="1"/>
  <c r="L1913" i="10" l="1"/>
  <c r="O1913" i="10"/>
  <c r="K1914" i="10" s="1"/>
  <c r="P1913" i="10"/>
  <c r="M1914" i="10" s="1"/>
  <c r="Q1912" i="10"/>
  <c r="N1913" i="10" l="1"/>
  <c r="J1914" i="10" s="1"/>
  <c r="L1914" i="10" l="1"/>
  <c r="P1914" i="10" s="1"/>
  <c r="M1915" i="10" s="1"/>
  <c r="O1914" i="10"/>
  <c r="K1915" i="10" s="1"/>
  <c r="Q1913" i="10"/>
  <c r="N1914" i="10" l="1"/>
  <c r="J1915" i="10" s="1"/>
  <c r="L1915" i="10" l="1"/>
  <c r="O1915" i="10"/>
  <c r="K1916" i="10" s="1"/>
  <c r="P1915" i="10"/>
  <c r="M1916" i="10" s="1"/>
  <c r="Q1914" i="10"/>
  <c r="N1915" i="10" l="1"/>
  <c r="J1916" i="10" s="1"/>
  <c r="L1916" i="10" l="1"/>
  <c r="P1916" i="10" s="1"/>
  <c r="M1917" i="10" s="1"/>
  <c r="O1916" i="10"/>
  <c r="K1917" i="10" s="1"/>
  <c r="Q1915" i="10"/>
  <c r="N1916" i="10" l="1"/>
  <c r="J1917" i="10" s="1"/>
  <c r="L1917" i="10" l="1"/>
  <c r="P1917" i="10" s="1"/>
  <c r="M1918" i="10" s="1"/>
  <c r="O1917" i="10"/>
  <c r="K1918" i="10" s="1"/>
  <c r="Q1916" i="10"/>
  <c r="N1917" i="10" l="1"/>
  <c r="J1918" i="10" s="1"/>
  <c r="L1918" i="10" l="1"/>
  <c r="P1918" i="10"/>
  <c r="M1919" i="10" s="1"/>
  <c r="Q1917" i="10"/>
  <c r="O1918" i="10"/>
  <c r="K1919" i="10" s="1"/>
  <c r="N1918" i="10" l="1"/>
  <c r="J1919" i="10" s="1"/>
  <c r="L1919" i="10" l="1"/>
  <c r="P1919" i="10" s="1"/>
  <c r="M1920" i="10" s="1"/>
  <c r="Q1918" i="10"/>
  <c r="O1919" i="10"/>
  <c r="K1920" i="10" s="1"/>
  <c r="N1919" i="10" l="1"/>
  <c r="J1920" i="10" s="1"/>
  <c r="L1920" i="10" l="1"/>
  <c r="P1920" i="10" s="1"/>
  <c r="M1921" i="10" s="1"/>
  <c r="O1920" i="10"/>
  <c r="K1921" i="10" s="1"/>
  <c r="Q1919" i="10"/>
  <c r="N1920" i="10" l="1"/>
  <c r="J1921" i="10" s="1"/>
  <c r="L1921" i="10" l="1"/>
  <c r="P1921" i="10" s="1"/>
  <c r="M1922" i="10" s="1"/>
  <c r="Q1920" i="10"/>
  <c r="O1921" i="10"/>
  <c r="K1922" i="10" s="1"/>
  <c r="N1921" i="10" l="1"/>
  <c r="J1922" i="10" s="1"/>
  <c r="L1922" i="10" l="1"/>
  <c r="O1922" i="10"/>
  <c r="K1923" i="10" s="1"/>
  <c r="P1922" i="10"/>
  <c r="M1923" i="10" s="1"/>
  <c r="Q1921" i="10"/>
  <c r="N1922" i="10" l="1"/>
  <c r="J1923" i="10" s="1"/>
  <c r="L1923" i="10" l="1"/>
  <c r="O1923" i="10"/>
  <c r="K1924" i="10" s="1"/>
  <c r="P1923" i="10"/>
  <c r="M1924" i="10" s="1"/>
  <c r="Q1922" i="10"/>
  <c r="N1923" i="10" l="1"/>
  <c r="J1924" i="10" s="1"/>
  <c r="L1924" i="10" l="1"/>
  <c r="O1924" i="10"/>
  <c r="K1925" i="10" s="1"/>
  <c r="P1924" i="10"/>
  <c r="M1925" i="10" s="1"/>
  <c r="Q1923" i="10"/>
  <c r="N1924" i="10" l="1"/>
  <c r="J1925" i="10" s="1"/>
  <c r="L1925" i="10" l="1"/>
  <c r="O1925" i="10"/>
  <c r="K1926" i="10" s="1"/>
  <c r="Q1924" i="10"/>
  <c r="P1925" i="10"/>
  <c r="M1926" i="10" s="1"/>
  <c r="N1925" i="10" l="1"/>
  <c r="J1926" i="10" s="1"/>
  <c r="L1926" i="10" l="1"/>
  <c r="P1926" i="10" s="1"/>
  <c r="M1927" i="10" s="1"/>
  <c r="O1926" i="10"/>
  <c r="K1927" i="10" s="1"/>
  <c r="Q1925" i="10"/>
  <c r="N1926" i="10" l="1"/>
  <c r="J1927" i="10" s="1"/>
  <c r="L1927" i="10" l="1"/>
  <c r="O1927" i="10"/>
  <c r="K1928" i="10" s="1"/>
  <c r="Q1926" i="10"/>
  <c r="P1927" i="10"/>
  <c r="M1928" i="10" s="1"/>
  <c r="N1927" i="10" l="1"/>
  <c r="J1928" i="10" s="1"/>
  <c r="L1928" i="10" l="1"/>
  <c r="Q1927" i="10"/>
  <c r="O1928" i="10"/>
  <c r="K1929" i="10" s="1"/>
  <c r="P1928" i="10"/>
  <c r="M1929" i="10" s="1"/>
  <c r="N1928" i="10" l="1"/>
  <c r="J1929" i="10" s="1"/>
  <c r="L1929" i="10" l="1"/>
  <c r="O1929" i="10"/>
  <c r="K1930" i="10" s="1"/>
  <c r="P1929" i="10"/>
  <c r="M1930" i="10" s="1"/>
  <c r="Q1928" i="10"/>
  <c r="N1929" i="10" l="1"/>
  <c r="J1930" i="10" s="1"/>
  <c r="L1930" i="10" l="1"/>
  <c r="Q1929" i="10"/>
  <c r="P1930" i="10"/>
  <c r="M1931" i="10" s="1"/>
  <c r="O1930" i="10"/>
  <c r="K1931" i="10" s="1"/>
  <c r="N1930" i="10" l="1"/>
  <c r="J1931" i="10" s="1"/>
  <c r="L1931" i="10" l="1"/>
  <c r="O1931" i="10"/>
  <c r="K1932" i="10" s="1"/>
  <c r="P1931" i="10"/>
  <c r="M1932" i="10" s="1"/>
  <c r="Q1930" i="10"/>
  <c r="N1931" i="10" l="1"/>
  <c r="J1932" i="10" s="1"/>
  <c r="L1932" i="10" l="1"/>
  <c r="P1932" i="10"/>
  <c r="M1933" i="10" s="1"/>
  <c r="Q1931" i="10"/>
  <c r="O1932" i="10"/>
  <c r="K1933" i="10" s="1"/>
  <c r="N1932" i="10" l="1"/>
  <c r="J1933" i="10" s="1"/>
  <c r="L1933" i="10" l="1"/>
  <c r="O1933" i="10"/>
  <c r="K1934" i="10" s="1"/>
  <c r="P1933" i="10"/>
  <c r="M1934" i="10" s="1"/>
  <c r="Q1932" i="10"/>
  <c r="N1933" i="10" l="1"/>
  <c r="J1934" i="10" s="1"/>
  <c r="L1934" i="10" l="1"/>
  <c r="P1934" i="10" s="1"/>
  <c r="M1935" i="10" s="1"/>
  <c r="O1934" i="10"/>
  <c r="K1935" i="10" s="1"/>
  <c r="Q1933" i="10"/>
  <c r="N1934" i="10" l="1"/>
  <c r="J1935" i="10" s="1"/>
  <c r="L1935" i="10" l="1"/>
  <c r="O1935" i="10"/>
  <c r="K1936" i="10" s="1"/>
  <c r="P1935" i="10"/>
  <c r="M1936" i="10" s="1"/>
  <c r="Q1934" i="10"/>
  <c r="N1935" i="10" l="1"/>
  <c r="J1936" i="10" s="1"/>
  <c r="L1936" i="10" l="1"/>
  <c r="O1936" i="10"/>
  <c r="K1937" i="10" s="1"/>
  <c r="P1936" i="10"/>
  <c r="M1937" i="10" s="1"/>
  <c r="Q1935" i="10"/>
  <c r="N1936" i="10" l="1"/>
  <c r="J1937" i="10" s="1"/>
  <c r="L1937" i="10" l="1"/>
  <c r="O1937" i="10"/>
  <c r="K1938" i="10" s="1"/>
  <c r="Q1936" i="10"/>
  <c r="P1937" i="10"/>
  <c r="M1938" i="10" s="1"/>
  <c r="N1937" i="10" l="1"/>
  <c r="J1938" i="10" s="1"/>
  <c r="L1938" i="10" l="1"/>
  <c r="O1938" i="10"/>
  <c r="K1939" i="10" s="1"/>
  <c r="Q1937" i="10"/>
  <c r="P1938" i="10"/>
  <c r="M1939" i="10" s="1"/>
  <c r="N1938" i="10" l="1"/>
  <c r="J1939" i="10" s="1"/>
  <c r="L1939" i="10" l="1"/>
  <c r="P1939" i="10" s="1"/>
  <c r="M1940" i="10" s="1"/>
  <c r="O1939" i="10"/>
  <c r="K1940" i="10" s="1"/>
  <c r="Q1938" i="10"/>
  <c r="N1939" i="10" l="1"/>
  <c r="J1940" i="10" s="1"/>
  <c r="L1940" i="10" l="1"/>
  <c r="P1940" i="10" s="1"/>
  <c r="M1941" i="10" s="1"/>
  <c r="O1940" i="10"/>
  <c r="K1941" i="10" s="1"/>
  <c r="Q1939" i="10"/>
  <c r="N1940" i="10" l="1"/>
  <c r="J1941" i="10" s="1"/>
  <c r="L1941" i="10" l="1"/>
  <c r="P1941" i="10" s="1"/>
  <c r="M1942" i="10" s="1"/>
  <c r="O1941" i="10"/>
  <c r="K1942" i="10" s="1"/>
  <c r="Q1940" i="10"/>
  <c r="N1941" i="10" l="1"/>
  <c r="J1942" i="10" s="1"/>
  <c r="L1942" i="10" l="1"/>
  <c r="O1942" i="10"/>
  <c r="K1943" i="10" s="1"/>
  <c r="P1942" i="10"/>
  <c r="M1943" i="10" s="1"/>
  <c r="Q1941" i="10"/>
  <c r="N1942" i="10" l="1"/>
  <c r="J1943" i="10" s="1"/>
  <c r="L1943" i="10" l="1"/>
  <c r="P1943" i="10" s="1"/>
  <c r="M1944" i="10" s="1"/>
  <c r="O1943" i="10"/>
  <c r="K1944" i="10" s="1"/>
  <c r="Q1942" i="10"/>
  <c r="N1943" i="10" l="1"/>
  <c r="J1944" i="10" s="1"/>
  <c r="L1944" i="10" l="1"/>
  <c r="O1944" i="10"/>
  <c r="K1945" i="10" s="1"/>
  <c r="Q1943" i="10"/>
  <c r="P1944" i="10"/>
  <c r="M1945" i="10" s="1"/>
  <c r="N1944" i="10" l="1"/>
  <c r="J1945" i="10" s="1"/>
  <c r="L1945" i="10" l="1"/>
  <c r="P1945" i="10"/>
  <c r="M1946" i="10" s="1"/>
  <c r="Q1944" i="10"/>
  <c r="O1945" i="10"/>
  <c r="K1946" i="10" s="1"/>
  <c r="N1945" i="10" l="1"/>
  <c r="J1946" i="10" s="1"/>
  <c r="L1946" i="10" l="1"/>
  <c r="O1946" i="10"/>
  <c r="K1947" i="10" s="1"/>
  <c r="Q1945" i="10"/>
  <c r="P1946" i="10"/>
  <c r="M1947" i="10" s="1"/>
  <c r="N1946" i="10" l="1"/>
  <c r="J1947" i="10" s="1"/>
  <c r="L1947" i="10" l="1"/>
  <c r="P1947" i="10" s="1"/>
  <c r="M1948" i="10" s="1"/>
  <c r="O1947" i="10"/>
  <c r="K1948" i="10" s="1"/>
  <c r="Q1946" i="10"/>
  <c r="N1947" i="10" l="1"/>
  <c r="J1948" i="10" s="1"/>
  <c r="L1948" i="10" l="1"/>
  <c r="O1948" i="10"/>
  <c r="K1949" i="10" s="1"/>
  <c r="P1948" i="10"/>
  <c r="M1949" i="10" s="1"/>
  <c r="Q1947" i="10"/>
  <c r="N1948" i="10" l="1"/>
  <c r="J1949" i="10" s="1"/>
  <c r="L1949" i="10" l="1"/>
  <c r="P1949" i="10" s="1"/>
  <c r="M1950" i="10" s="1"/>
  <c r="O1949" i="10"/>
  <c r="K1950" i="10" s="1"/>
  <c r="Q1948" i="10"/>
  <c r="N1949" i="10" l="1"/>
  <c r="J1950" i="10" s="1"/>
  <c r="L1950" i="10" l="1"/>
  <c r="O1950" i="10"/>
  <c r="K1951" i="10" s="1"/>
  <c r="Q1949" i="10"/>
  <c r="P1950" i="10"/>
  <c r="M1951" i="10" s="1"/>
  <c r="N1950" i="10" l="1"/>
  <c r="J1951" i="10" s="1"/>
  <c r="L1951" i="10" l="1"/>
  <c r="P1951" i="10" s="1"/>
  <c r="M1952" i="10" s="1"/>
  <c r="O1951" i="10"/>
  <c r="K1952" i="10" s="1"/>
  <c r="Q1950" i="10"/>
  <c r="N1951" i="10" l="1"/>
  <c r="J1952" i="10" s="1"/>
  <c r="L1952" i="10" l="1"/>
  <c r="O1952" i="10"/>
  <c r="K1953" i="10" s="1"/>
  <c r="Q1951" i="10"/>
  <c r="P1952" i="10"/>
  <c r="M1953" i="10" s="1"/>
  <c r="N1952" i="10" l="1"/>
  <c r="J1953" i="10" s="1"/>
  <c r="L1953" i="10" l="1"/>
  <c r="P1953" i="10" s="1"/>
  <c r="M1954" i="10" s="1"/>
  <c r="O1953" i="10"/>
  <c r="K1954" i="10" s="1"/>
  <c r="Q1952" i="10"/>
  <c r="N1953" i="10" l="1"/>
  <c r="J1954" i="10" s="1"/>
  <c r="L1954" i="10" l="1"/>
  <c r="P1954" i="10"/>
  <c r="M1955" i="10" s="1"/>
  <c r="Q1953" i="10"/>
  <c r="O1954" i="10"/>
  <c r="K1955" i="10" s="1"/>
  <c r="N1954" i="10" l="1"/>
  <c r="J1955" i="10" s="1"/>
  <c r="L1955" i="10" l="1"/>
  <c r="Q1954" i="10"/>
  <c r="P1955" i="10"/>
  <c r="M1956" i="10" s="1"/>
  <c r="O1955" i="10"/>
  <c r="K1956" i="10" s="1"/>
  <c r="N1955" i="10" l="1"/>
  <c r="J1956" i="10" s="1"/>
  <c r="L1956" i="10" l="1"/>
  <c r="P1956" i="10" s="1"/>
  <c r="M1957" i="10" s="1"/>
  <c r="O1956" i="10"/>
  <c r="K1957" i="10" s="1"/>
  <c r="Q1955" i="10"/>
  <c r="N1956" i="10" l="1"/>
  <c r="J1957" i="10" s="1"/>
  <c r="L1957" i="10" l="1"/>
  <c r="O1957" i="10"/>
  <c r="K1958" i="10" s="1"/>
  <c r="Q1956" i="10"/>
  <c r="P1957" i="10"/>
  <c r="M1958" i="10" s="1"/>
  <c r="N1957" i="10" l="1"/>
  <c r="J1958" i="10" s="1"/>
  <c r="L1958" i="10" l="1"/>
  <c r="Q1957" i="10"/>
  <c r="O1958" i="10"/>
  <c r="K1959" i="10" s="1"/>
  <c r="P1958" i="10"/>
  <c r="M1959" i="10" s="1"/>
  <c r="N1958" i="10" l="1"/>
  <c r="J1959" i="10" s="1"/>
  <c r="L1959" i="10" l="1"/>
  <c r="Q1958" i="10"/>
  <c r="P1959" i="10"/>
  <c r="M1960" i="10" s="1"/>
  <c r="O1959" i="10"/>
  <c r="K1960" i="10" s="1"/>
  <c r="N1959" i="10" l="1"/>
  <c r="J1960" i="10" s="1"/>
  <c r="L1960" i="10" l="1"/>
  <c r="O1960" i="10"/>
  <c r="K1961" i="10" s="1"/>
  <c r="Q1959" i="10"/>
  <c r="P1960" i="10"/>
  <c r="M1961" i="10" s="1"/>
  <c r="N1960" i="10" l="1"/>
  <c r="J1961" i="10" s="1"/>
  <c r="L1961" i="10" l="1"/>
  <c r="O1961" i="10"/>
  <c r="K1962" i="10" s="1"/>
  <c r="P1961" i="10"/>
  <c r="M1962" i="10" s="1"/>
  <c r="Q1960" i="10"/>
  <c r="N1961" i="10" l="1"/>
  <c r="J1962" i="10" s="1"/>
  <c r="L1962" i="10" l="1"/>
  <c r="O1962" i="10"/>
  <c r="K1963" i="10" s="1"/>
  <c r="P1962" i="10"/>
  <c r="M1963" i="10" s="1"/>
  <c r="Q1961" i="10"/>
  <c r="N1962" i="10" l="1"/>
  <c r="J1963" i="10" s="1"/>
  <c r="L1963" i="10" l="1"/>
  <c r="O1963" i="10"/>
  <c r="K1964" i="10" s="1"/>
  <c r="P1963" i="10"/>
  <c r="M1964" i="10" s="1"/>
  <c r="Q1962" i="10"/>
  <c r="N1963" i="10" l="1"/>
  <c r="J1964" i="10" s="1"/>
  <c r="L1964" i="10" l="1"/>
  <c r="O1964" i="10"/>
  <c r="K1965" i="10" s="1"/>
  <c r="Q1963" i="10"/>
  <c r="P1964" i="10"/>
  <c r="M1965" i="10" s="1"/>
  <c r="N1964" i="10" l="1"/>
  <c r="J1965" i="10" s="1"/>
  <c r="L1965" i="10" l="1"/>
  <c r="O1965" i="10"/>
  <c r="K1966" i="10" s="1"/>
  <c r="Q1964" i="10"/>
  <c r="P1965" i="10"/>
  <c r="M1966" i="10" s="1"/>
  <c r="N1965" i="10" l="1"/>
  <c r="J1966" i="10" s="1"/>
  <c r="L1966" i="10" l="1"/>
  <c r="O1966" i="10"/>
  <c r="K1967" i="10" s="1"/>
  <c r="Q1965" i="10"/>
  <c r="P1966" i="10"/>
  <c r="M1967" i="10" s="1"/>
  <c r="N1966" i="10" l="1"/>
  <c r="J1967" i="10" s="1"/>
  <c r="L1967" i="10" l="1"/>
  <c r="O1967" i="10"/>
  <c r="K1968" i="10" s="1"/>
  <c r="Q1966" i="10"/>
  <c r="P1967" i="10"/>
  <c r="M1968" i="10" s="1"/>
  <c r="N1967" i="10" l="1"/>
  <c r="J1968" i="10" s="1"/>
  <c r="L1968" i="10" l="1"/>
  <c r="O1968" i="10"/>
  <c r="K1969" i="10" s="1"/>
  <c r="Q1967" i="10"/>
  <c r="P1968" i="10"/>
  <c r="M1969" i="10" s="1"/>
  <c r="N1968" i="10" l="1"/>
  <c r="J1969" i="10" s="1"/>
  <c r="L1969" i="10" l="1"/>
  <c r="P1969" i="10" s="1"/>
  <c r="M1970" i="10" s="1"/>
  <c r="O1969" i="10"/>
  <c r="K1970" i="10" s="1"/>
  <c r="Q1968" i="10"/>
  <c r="N1969" i="10" l="1"/>
  <c r="J1970" i="10" s="1"/>
  <c r="L1970" i="10" l="1"/>
  <c r="P1970" i="10" s="1"/>
  <c r="M1971" i="10" s="1"/>
  <c r="O1970" i="10"/>
  <c r="K1971" i="10" s="1"/>
  <c r="Q1969" i="10"/>
  <c r="N1970" i="10" l="1"/>
  <c r="J1971" i="10" s="1"/>
  <c r="L1971" i="10" l="1"/>
  <c r="P1971" i="10" s="1"/>
  <c r="M1972" i="10" s="1"/>
  <c r="O1971" i="10"/>
  <c r="K1972" i="10" s="1"/>
  <c r="Q1970" i="10"/>
  <c r="N1971" i="10" l="1"/>
  <c r="J1972" i="10" s="1"/>
  <c r="L1972" i="10" l="1"/>
  <c r="O1972" i="10"/>
  <c r="K1973" i="10" s="1"/>
  <c r="Q1971" i="10"/>
  <c r="P1972" i="10"/>
  <c r="M1973" i="10" s="1"/>
  <c r="N1972" i="10" l="1"/>
  <c r="J1973" i="10" s="1"/>
  <c r="L1973" i="10" l="1"/>
  <c r="P1973" i="10" s="1"/>
  <c r="M1974" i="10" s="1"/>
  <c r="O1973" i="10"/>
  <c r="K1974" i="10" s="1"/>
  <c r="Q1972" i="10"/>
  <c r="N1973" i="10" l="1"/>
  <c r="J1974" i="10" s="1"/>
  <c r="L1974" i="10" l="1"/>
  <c r="O1974" i="10"/>
  <c r="K1975" i="10" s="1"/>
  <c r="P1974" i="10"/>
  <c r="M1975" i="10" s="1"/>
  <c r="Q1973" i="10"/>
  <c r="N1974" i="10" l="1"/>
  <c r="J1975" i="10" s="1"/>
  <c r="L1975" i="10" l="1"/>
  <c r="O1975" i="10"/>
  <c r="K1976" i="10" s="1"/>
  <c r="Q1974" i="10"/>
  <c r="P1975" i="10"/>
  <c r="M1976" i="10" s="1"/>
  <c r="N1975" i="10" l="1"/>
  <c r="J1976" i="10" s="1"/>
  <c r="L1976" i="10" l="1"/>
  <c r="P1976" i="10"/>
  <c r="M1977" i="10" s="1"/>
  <c r="Q1975" i="10"/>
  <c r="O1976" i="10"/>
  <c r="K1977" i="10" s="1"/>
  <c r="N1976" i="10" l="1"/>
  <c r="J1977" i="10" s="1"/>
  <c r="L1977" i="10" l="1"/>
  <c r="O1977" i="10"/>
  <c r="K1978" i="10" s="1"/>
  <c r="P1977" i="10"/>
  <c r="M1978" i="10" s="1"/>
  <c r="Q1976" i="10"/>
  <c r="N1977" i="10" l="1"/>
  <c r="J1978" i="10" s="1"/>
  <c r="L1978" i="10" l="1"/>
  <c r="O1978" i="10"/>
  <c r="K1979" i="10" s="1"/>
  <c r="Q1977" i="10"/>
  <c r="P1978" i="10"/>
  <c r="M1979" i="10" s="1"/>
  <c r="N1978" i="10" l="1"/>
  <c r="J1979" i="10" s="1"/>
  <c r="L1979" i="10" l="1"/>
  <c r="O1979" i="10"/>
  <c r="K1980" i="10" s="1"/>
  <c r="Q1978" i="10"/>
  <c r="P1979" i="10"/>
  <c r="M1980" i="10" s="1"/>
  <c r="N1979" i="10" l="1"/>
  <c r="J1980" i="10" s="1"/>
  <c r="L1980" i="10" l="1"/>
  <c r="P1980" i="10" s="1"/>
  <c r="M1981" i="10" s="1"/>
  <c r="O1980" i="10"/>
  <c r="K1981" i="10" s="1"/>
  <c r="Q1979" i="10"/>
  <c r="N1980" i="10" l="1"/>
  <c r="J1981" i="10" s="1"/>
  <c r="L1981" i="10" l="1"/>
  <c r="O1981" i="10"/>
  <c r="K1982" i="10" s="1"/>
  <c r="Q1980" i="10"/>
  <c r="P1981" i="10"/>
  <c r="M1982" i="10" s="1"/>
  <c r="N1981" i="10" l="1"/>
  <c r="J1982" i="10" s="1"/>
  <c r="L1982" i="10" l="1"/>
  <c r="P1982" i="10" s="1"/>
  <c r="M1983" i="10" s="1"/>
  <c r="O1982" i="10"/>
  <c r="K1983" i="10" s="1"/>
  <c r="Q1981" i="10"/>
  <c r="N1982" i="10" l="1"/>
  <c r="J1983" i="10" s="1"/>
  <c r="L1983" i="10" l="1"/>
  <c r="P1983" i="10"/>
  <c r="M1984" i="10" s="1"/>
  <c r="Q1982" i="10"/>
  <c r="O1983" i="10"/>
  <c r="K1984" i="10" s="1"/>
  <c r="N1983" i="10" l="1"/>
  <c r="J1984" i="10" s="1"/>
  <c r="L1984" i="10" l="1"/>
  <c r="P1984" i="10" s="1"/>
  <c r="M1985" i="10" s="1"/>
  <c r="O1984" i="10"/>
  <c r="K1985" i="10" s="1"/>
  <c r="Q1983" i="10"/>
  <c r="N1984" i="10" l="1"/>
  <c r="J1985" i="10" s="1"/>
  <c r="L1985" i="10" l="1"/>
  <c r="P1985" i="10" s="1"/>
  <c r="M1986" i="10" s="1"/>
  <c r="O1985" i="10"/>
  <c r="K1986" i="10" s="1"/>
  <c r="Q1984" i="10"/>
  <c r="N1985" i="10" l="1"/>
  <c r="J1986" i="10" s="1"/>
  <c r="L1986" i="10" l="1"/>
  <c r="O1986" i="10"/>
  <c r="K1987" i="10" s="1"/>
  <c r="P1986" i="10"/>
  <c r="M1987" i="10" s="1"/>
  <c r="Q1985" i="10"/>
  <c r="N1986" i="10" l="1"/>
  <c r="J1987" i="10" s="1"/>
  <c r="L1987" i="10" l="1"/>
  <c r="P1987" i="10"/>
  <c r="M1988" i="10" s="1"/>
  <c r="Q1986" i="10"/>
  <c r="O1987" i="10"/>
  <c r="K1988" i="10" s="1"/>
  <c r="N1987" i="10" l="1"/>
  <c r="J1988" i="10" s="1"/>
  <c r="L1988" i="10" l="1"/>
  <c r="P1988" i="10"/>
  <c r="M1989" i="10" s="1"/>
  <c r="O1988" i="10"/>
  <c r="K1989" i="10" s="1"/>
  <c r="Q1987" i="10"/>
  <c r="N1988" i="10" l="1"/>
  <c r="J1989" i="10" s="1"/>
  <c r="L1989" i="10" l="1"/>
  <c r="O1989" i="10"/>
  <c r="K1990" i="10" s="1"/>
  <c r="Q1988" i="10"/>
  <c r="P1989" i="10"/>
  <c r="M1990" i="10" s="1"/>
  <c r="N1989" i="10" l="1"/>
  <c r="J1990" i="10" s="1"/>
  <c r="L1990" i="10" l="1"/>
  <c r="P1990" i="10" s="1"/>
  <c r="M1991" i="10" s="1"/>
  <c r="O1990" i="10"/>
  <c r="K1991" i="10" s="1"/>
  <c r="Q1989" i="10"/>
  <c r="N1990" i="10" l="1"/>
  <c r="J1991" i="10" s="1"/>
  <c r="L1991" i="10" l="1"/>
  <c r="O1991" i="10"/>
  <c r="K1992" i="10" s="1"/>
  <c r="P1991" i="10"/>
  <c r="M1992" i="10" s="1"/>
  <c r="Q1990" i="10"/>
  <c r="N1991" i="10" l="1"/>
  <c r="J1992" i="10" s="1"/>
  <c r="L1992" i="10" l="1"/>
  <c r="O1992" i="10"/>
  <c r="K1993" i="10" s="1"/>
  <c r="Q1991" i="10"/>
  <c r="P1992" i="10"/>
  <c r="M1993" i="10" s="1"/>
  <c r="N1992" i="10" l="1"/>
  <c r="J1993" i="10" s="1"/>
  <c r="L1993" i="10" l="1"/>
  <c r="P1993" i="10" s="1"/>
  <c r="M1994" i="10" s="1"/>
  <c r="O1993" i="10"/>
  <c r="K1994" i="10" s="1"/>
  <c r="Q1992" i="10"/>
  <c r="N1993" i="10" l="1"/>
  <c r="J1994" i="10" s="1"/>
  <c r="L1994" i="10" l="1"/>
  <c r="O1994" i="10"/>
  <c r="K1995" i="10" s="1"/>
  <c r="P1994" i="10"/>
  <c r="M1995" i="10" s="1"/>
  <c r="Q1993" i="10"/>
  <c r="N1994" i="10" l="1"/>
  <c r="J1995" i="10" s="1"/>
  <c r="L1995" i="10" l="1"/>
  <c r="Q1994" i="10"/>
  <c r="O1995" i="10"/>
  <c r="K1996" i="10" s="1"/>
  <c r="P1995" i="10"/>
  <c r="M1996" i="10" s="1"/>
  <c r="N1995" i="10" l="1"/>
  <c r="J1996" i="10" s="1"/>
  <c r="L1996" i="10" l="1"/>
  <c r="P1996" i="10" s="1"/>
  <c r="M1997" i="10" s="1"/>
  <c r="O1996" i="10"/>
  <c r="K1997" i="10" s="1"/>
  <c r="Q1995" i="10"/>
  <c r="N1996" i="10" l="1"/>
  <c r="J1997" i="10" s="1"/>
  <c r="L1997" i="10" l="1"/>
  <c r="P1997" i="10"/>
  <c r="M1998" i="10" s="1"/>
  <c r="O1997" i="10"/>
  <c r="K1998" i="10" s="1"/>
  <c r="Q1996" i="10"/>
  <c r="N1997" i="10" l="1"/>
  <c r="J1998" i="10" s="1"/>
  <c r="L1998" i="10" l="1"/>
  <c r="P1998" i="10"/>
  <c r="M1999" i="10" s="1"/>
  <c r="Q1997" i="10"/>
  <c r="O1998" i="10"/>
  <c r="K1999" i="10" s="1"/>
  <c r="N1998" i="10" l="1"/>
  <c r="J1999" i="10" s="1"/>
  <c r="L1999" i="10" l="1"/>
  <c r="P1999" i="10" s="1"/>
  <c r="M2000" i="10" s="1"/>
  <c r="O1999" i="10"/>
  <c r="K2000" i="10" s="1"/>
  <c r="Q1998" i="10"/>
  <c r="N1999" i="10" l="1"/>
  <c r="J2000" i="10" s="1"/>
  <c r="L2000" i="10" l="1"/>
  <c r="P2000" i="10"/>
  <c r="M2001" i="10" s="1"/>
  <c r="O2000" i="10"/>
  <c r="K2001" i="10" s="1"/>
  <c r="Q1999" i="10"/>
  <c r="N2000" i="10" l="1"/>
  <c r="J2001" i="10" s="1"/>
  <c r="L2001" i="10" l="1"/>
  <c r="P2001" i="10" s="1"/>
  <c r="M2002" i="10" s="1"/>
  <c r="O2001" i="10"/>
  <c r="K2002" i="10" s="1"/>
  <c r="Q2000" i="10"/>
  <c r="N2001" i="10" l="1"/>
  <c r="J2002" i="10" s="1"/>
  <c r="L2002" i="10" l="1"/>
  <c r="P2002" i="10" s="1"/>
  <c r="O2002" i="10"/>
  <c r="Q2001" i="10"/>
  <c r="N2002" i="10" l="1"/>
  <c r="Q2002" i="10"/>
</calcChain>
</file>

<file path=xl/sharedStrings.xml><?xml version="1.0" encoding="utf-8"?>
<sst xmlns="http://schemas.openxmlformats.org/spreadsheetml/2006/main" count="271" uniqueCount="132">
  <si>
    <t>Time</t>
  </si>
  <si>
    <t>Nitrate</t>
  </si>
  <si>
    <t>Nitrite</t>
  </si>
  <si>
    <t>Nitrogen</t>
  </si>
  <si>
    <t>SMX</t>
  </si>
  <si>
    <t>k_SMX</t>
  </si>
  <si>
    <t>k_SMXn</t>
  </si>
  <si>
    <t>time</t>
  </si>
  <si>
    <t>k_SMXh</t>
  </si>
  <si>
    <t>DOC</t>
  </si>
  <si>
    <t>HNO2</t>
  </si>
  <si>
    <t>H</t>
  </si>
  <si>
    <t>pH</t>
  </si>
  <si>
    <t>N5</t>
  </si>
  <si>
    <t>N3</t>
  </si>
  <si>
    <t>SMXnitro</t>
  </si>
  <si>
    <t>SMXh</t>
  </si>
  <si>
    <t>Balance real</t>
  </si>
  <si>
    <t>Balance</t>
  </si>
  <si>
    <t>moles_SMXh</t>
  </si>
  <si>
    <t>moles_SMXN</t>
  </si>
  <si>
    <t>moles_SMX</t>
  </si>
  <si>
    <t>rate_SMX-SMXh</t>
  </si>
  <si>
    <t>rate_SMXn-SMX</t>
  </si>
  <si>
    <t>rate_SMX-SMXn</t>
  </si>
  <si>
    <t>time (d)</t>
  </si>
  <si>
    <t>nitro-SMX</t>
  </si>
  <si>
    <t>rate</t>
  </si>
  <si>
    <t>k</t>
  </si>
  <si>
    <t>total</t>
  </si>
  <si>
    <t>lagphase</t>
  </si>
  <si>
    <t>HNO3</t>
  </si>
  <si>
    <t>rate_SMXh-SMXn</t>
  </si>
  <si>
    <t>observation</t>
  </si>
  <si>
    <t>weight</t>
  </si>
  <si>
    <t>NAME</t>
  </si>
  <si>
    <t>X1</t>
  </si>
  <si>
    <t>X2</t>
  </si>
  <si>
    <t>X3</t>
  </si>
  <si>
    <t>X4</t>
  </si>
  <si>
    <t>X5</t>
  </si>
  <si>
    <t>X6</t>
  </si>
  <si>
    <t>X7</t>
  </si>
  <si>
    <t>N1</t>
  </si>
  <si>
    <t>N2</t>
  </si>
  <si>
    <t>N4</t>
  </si>
  <si>
    <t>N6</t>
  </si>
  <si>
    <t>N7</t>
  </si>
  <si>
    <t>group_1</t>
  </si>
  <si>
    <t>INFORMACIÓ PEST</t>
  </si>
  <si>
    <t>k1</t>
  </si>
  <si>
    <t xml:space="preserve">k2  </t>
  </si>
  <si>
    <t xml:space="preserve">k3  </t>
  </si>
  <si>
    <t>none</t>
  </si>
  <si>
    <t>k4</t>
  </si>
  <si>
    <t>factor</t>
  </si>
  <si>
    <t>conc</t>
  </si>
  <si>
    <t>PARAMETER INFORMATION</t>
  </si>
  <si>
    <t>H1</t>
  </si>
  <si>
    <t>H2</t>
  </si>
  <si>
    <t>H3</t>
  </si>
  <si>
    <t>H4</t>
  </si>
  <si>
    <t>H5</t>
  </si>
  <si>
    <t>H6</t>
  </si>
  <si>
    <t>H7</t>
  </si>
  <si>
    <t>NÚMERO FILA</t>
  </si>
  <si>
    <t>RESTO EL TÍTOL</t>
  </si>
  <si>
    <t>l</t>
  </si>
  <si>
    <t>w</t>
  </si>
  <si>
    <t>!X1!</t>
  </si>
  <si>
    <t>!X2!</t>
  </si>
  <si>
    <t>!X3!</t>
  </si>
  <si>
    <t>!X4!</t>
  </si>
  <si>
    <t>!X5!</t>
  </si>
  <si>
    <t>!X6!</t>
  </si>
  <si>
    <t>!X7!</t>
  </si>
  <si>
    <t>!N1!</t>
  </si>
  <si>
    <t>!N2!</t>
  </si>
  <si>
    <t>!N3!</t>
  </si>
  <si>
    <t>!N4!</t>
  </si>
  <si>
    <t>!N5!</t>
  </si>
  <si>
    <t>!N6!</t>
  </si>
  <si>
    <t>!N7!</t>
  </si>
  <si>
    <t>!H1!</t>
  </si>
  <si>
    <t>!H2!</t>
  </si>
  <si>
    <t>!H3!</t>
  </si>
  <si>
    <t>!H4!</t>
  </si>
  <si>
    <t>!H5!</t>
  </si>
  <si>
    <t>!H6!</t>
  </si>
  <si>
    <t>!H7!</t>
  </si>
  <si>
    <t>ka</t>
  </si>
  <si>
    <t>kb</t>
  </si>
  <si>
    <t>kc</t>
  </si>
  <si>
    <t>kf</t>
  </si>
  <si>
    <t>kd</t>
  </si>
  <si>
    <t>ke</t>
  </si>
  <si>
    <t>kg</t>
  </si>
  <si>
    <t>Na1</t>
  </si>
  <si>
    <t>Na2</t>
  </si>
  <si>
    <t>Na3</t>
  </si>
  <si>
    <t>Na4</t>
  </si>
  <si>
    <t>Na5</t>
  </si>
  <si>
    <t>Na6</t>
  </si>
  <si>
    <t>Na7</t>
  </si>
  <si>
    <t>Ni7</t>
  </si>
  <si>
    <t>Ni1</t>
  </si>
  <si>
    <t>Ni2</t>
  </si>
  <si>
    <t>Ni3</t>
  </si>
  <si>
    <t>Ni4</t>
  </si>
  <si>
    <t>Ni5</t>
  </si>
  <si>
    <t>Ni6</t>
  </si>
  <si>
    <t>PARAMETER INFORMATION_FIRST VERSION</t>
  </si>
  <si>
    <t>Lich_Time</t>
  </si>
  <si>
    <t>Lich_Nitrate</t>
  </si>
  <si>
    <t>Lich_Nitrite</t>
  </si>
  <si>
    <t>Lich_DOC</t>
  </si>
  <si>
    <t>Lich_DIC</t>
  </si>
  <si>
    <t>Lich_pH</t>
  </si>
  <si>
    <t>Lich_Mn</t>
  </si>
  <si>
    <t>Lich_Iron</t>
  </si>
  <si>
    <t>Lich_SMX</t>
  </si>
  <si>
    <t>Lich_E_SMX</t>
  </si>
  <si>
    <t>Lich_SMXn</t>
  </si>
  <si>
    <t>Lich_E_SMXn</t>
  </si>
  <si>
    <t>Lich_SMXH</t>
  </si>
  <si>
    <t>Lich_E_SMXH</t>
  </si>
  <si>
    <t>Lich_Abiotic</t>
  </si>
  <si>
    <t>Lich_E_Abiotic</t>
  </si>
  <si>
    <t>%</t>
  </si>
  <si>
    <t>V1 WR</t>
  </si>
  <si>
    <t>V2, pH 8</t>
  </si>
  <si>
    <t>(*)  A la versió 1 del WR el Ph inicial era 7.23, ara he posat 8 i tot queda millor. Els paràmetres s'han reajustat, però he vist que el dimensionless quedava una mica penjat i he tornat a l'inicial.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</si>
</sst>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0" xfId="0" applyFill="1"/>
    <xf numFmtId="11" fontId="0" fillId="2" borderId="0" xfId="0" applyNumberFormat="1" applyFill="1"/>
    <xf numFmtId="11" fontId="0" fillId="3" borderId="0" xfId="0" applyNumberFormat="1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11" fontId="3" fillId="6" borderId="0" xfId="0" applyNumberFormat="1" applyFont="1" applyFill="1" applyAlignment="1">
      <alignment horizontal="center"/>
    </xf>
    <xf numFmtId="11" fontId="3" fillId="3" borderId="0" xfId="0" applyNumberFormat="1" applyFont="1" applyFill="1" applyAlignment="1">
      <alignment horizontal="center"/>
    </xf>
    <xf numFmtId="11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1" xfId="0" applyBorder="1"/>
    <xf numFmtId="11" fontId="0" fillId="0" borderId="2" xfId="0" applyNumberFormat="1" applyBorder="1"/>
    <xf numFmtId="11" fontId="0" fillId="0" borderId="3" xfId="0" applyNumberFormat="1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4" fillId="4" borderId="0" xfId="0" applyFont="1" applyFill="1"/>
    <xf numFmtId="0" fontId="0" fillId="0" borderId="9" xfId="0" applyBorder="1"/>
    <xf numFmtId="0" fontId="0" fillId="0" borderId="10" xfId="0" applyBorder="1"/>
    <xf numFmtId="11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11" fontId="0" fillId="0" borderId="0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1" fontId="0" fillId="0" borderId="15" xfId="0" applyNumberFormat="1" applyBorder="1"/>
    <xf numFmtId="0" fontId="0" fillId="0" borderId="16" xfId="0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0" xfId="0" applyFill="1" applyBorder="1"/>
    <xf numFmtId="0" fontId="0" fillId="5" borderId="15" xfId="0" applyFill="1" applyBorder="1"/>
    <xf numFmtId="164" fontId="0" fillId="0" borderId="0" xfId="0" applyNumberFormat="1" applyBorder="1"/>
    <xf numFmtId="164" fontId="0" fillId="0" borderId="15" xfId="0" applyNumberFormat="1" applyBorder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739020089422801"/>
          <c:y val="7.1513814396388861E-2"/>
          <c:w val="0.66766471041608"/>
          <c:h val="0.71427238261883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EXP!$A$2:$A$9</c:f>
              <c:numCache>
                <c:formatCode>0.00E+00</c:formatCode>
                <c:ptCount val="8"/>
                <c:pt idx="0">
                  <c:v>0</c:v>
                </c:pt>
                <c:pt idx="1">
                  <c:v>2.2000000000000002</c:v>
                </c:pt>
                <c:pt idx="2">
                  <c:v>5</c:v>
                </c:pt>
                <c:pt idx="3">
                  <c:v>10</c:v>
                </c:pt>
                <c:pt idx="4">
                  <c:v>14.5</c:v>
                </c:pt>
                <c:pt idx="5">
                  <c:v>25</c:v>
                </c:pt>
                <c:pt idx="6">
                  <c:v>41</c:v>
                </c:pt>
                <c:pt idx="7">
                  <c:v>88</c:v>
                </c:pt>
              </c:numCache>
            </c:numRef>
          </c:xVal>
          <c:yVal>
            <c:numRef>
              <c:f>EXP!$R$2:$R$9</c:f>
              <c:numCache>
                <c:formatCode>0.00E+00</c:formatCode>
                <c:ptCount val="8"/>
                <c:pt idx="0">
                  <c:v>3.9999999999999998E-6</c:v>
                </c:pt>
                <c:pt idx="1">
                  <c:v>3.5440000000000003E-6</c:v>
                </c:pt>
                <c:pt idx="2">
                  <c:v>1.798E-6</c:v>
                </c:pt>
                <c:pt idx="3">
                  <c:v>2.0319999999999998E-6</c:v>
                </c:pt>
                <c:pt idx="4">
                  <c:v>1.8199999999999999E-6</c:v>
                </c:pt>
                <c:pt idx="5">
                  <c:v>1.702E-6</c:v>
                </c:pt>
                <c:pt idx="6">
                  <c:v>1.5075E-6</c:v>
                </c:pt>
                <c:pt idx="7">
                  <c:v>2.154E-6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431232"/>
        <c:axId val="333437392"/>
      </c:scatterChart>
      <c:valAx>
        <c:axId val="33343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333437392"/>
        <c:crosses val="autoZero"/>
        <c:crossBetween val="midCat"/>
      </c:valAx>
      <c:valAx>
        <c:axId val="333437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 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333431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65048118985127"/>
          <c:y val="6.0185185185185182E-2"/>
          <c:w val="0.7645369641294838"/>
          <c:h val="0.74908209390492841"/>
        </c:manualLayout>
      </c:layout>
      <c:scatterChart>
        <c:scatterStyle val="lineMarker"/>
        <c:varyColors val="0"/>
        <c:ser>
          <c:idx val="0"/>
          <c:order val="0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EXP!$A$2:$A$9</c:f>
              <c:numCache>
                <c:formatCode>0.00E+00</c:formatCode>
                <c:ptCount val="8"/>
                <c:pt idx="0">
                  <c:v>0</c:v>
                </c:pt>
                <c:pt idx="1">
                  <c:v>2.2000000000000002</c:v>
                </c:pt>
                <c:pt idx="2">
                  <c:v>5</c:v>
                </c:pt>
                <c:pt idx="3">
                  <c:v>10</c:v>
                </c:pt>
                <c:pt idx="4">
                  <c:v>14.5</c:v>
                </c:pt>
                <c:pt idx="5">
                  <c:v>25</c:v>
                </c:pt>
                <c:pt idx="6">
                  <c:v>41</c:v>
                </c:pt>
                <c:pt idx="7">
                  <c:v>88</c:v>
                </c:pt>
              </c:numCache>
            </c:numRef>
          </c:xVal>
          <c:yVal>
            <c:numRef>
              <c:f>EXP!$F$2:$F$9</c:f>
              <c:numCache>
                <c:formatCode>0.00E+00</c:formatCode>
                <c:ptCount val="8"/>
                <c:pt idx="0">
                  <c:v>7.3</c:v>
                </c:pt>
                <c:pt idx="1">
                  <c:v>8</c:v>
                </c:pt>
                <c:pt idx="2">
                  <c:v>7.6</c:v>
                </c:pt>
                <c:pt idx="3">
                  <c:v>7.8</c:v>
                </c:pt>
                <c:pt idx="4">
                  <c:v>7.9</c:v>
                </c:pt>
                <c:pt idx="5">
                  <c:v>7.8</c:v>
                </c:pt>
                <c:pt idx="6">
                  <c:v>8.1999999999999993</c:v>
                </c:pt>
                <c:pt idx="7">
                  <c:v>8.3000000000000007</c:v>
                </c:pt>
              </c:numCache>
            </c:numRef>
          </c:yVal>
          <c:smooth val="0"/>
        </c:ser>
        <c:ser>
          <c:idx val="1"/>
          <c:order val="1"/>
          <c:tx>
            <c:v>MOD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MODEL!$A$2:$A$2002</c:f>
              <c:numCache>
                <c:formatCode>0.00E+00</c:formatCode>
                <c:ptCount val="20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</c:numCache>
            </c:numRef>
          </c:xVal>
          <c:yVal>
            <c:numRef>
              <c:f>MODEL!$G$2:$G$2002</c:f>
              <c:numCache>
                <c:formatCode>0.00E+00</c:formatCode>
                <c:ptCount val="2001"/>
                <c:pt idx="0">
                  <c:v>7.23</c:v>
                </c:pt>
                <c:pt idx="1">
                  <c:v>7.23</c:v>
                </c:pt>
                <c:pt idx="2">
                  <c:v>7.23</c:v>
                </c:pt>
                <c:pt idx="3">
                  <c:v>7.23</c:v>
                </c:pt>
                <c:pt idx="4">
                  <c:v>7.23</c:v>
                </c:pt>
                <c:pt idx="5">
                  <c:v>7.23</c:v>
                </c:pt>
                <c:pt idx="6">
                  <c:v>7.23</c:v>
                </c:pt>
                <c:pt idx="7">
                  <c:v>7.23</c:v>
                </c:pt>
                <c:pt idx="8">
                  <c:v>7.23</c:v>
                </c:pt>
                <c:pt idx="9">
                  <c:v>7.23</c:v>
                </c:pt>
                <c:pt idx="10">
                  <c:v>7.23</c:v>
                </c:pt>
                <c:pt idx="11">
                  <c:v>7.23</c:v>
                </c:pt>
                <c:pt idx="12">
                  <c:v>7.23</c:v>
                </c:pt>
                <c:pt idx="13">
                  <c:v>7.23</c:v>
                </c:pt>
                <c:pt idx="14">
                  <c:v>7.23</c:v>
                </c:pt>
                <c:pt idx="15">
                  <c:v>7.23</c:v>
                </c:pt>
                <c:pt idx="16">
                  <c:v>7.23</c:v>
                </c:pt>
                <c:pt idx="17">
                  <c:v>7.23</c:v>
                </c:pt>
                <c:pt idx="18">
                  <c:v>7.23</c:v>
                </c:pt>
                <c:pt idx="19">
                  <c:v>7.23</c:v>
                </c:pt>
                <c:pt idx="20">
                  <c:v>7.23</c:v>
                </c:pt>
                <c:pt idx="21">
                  <c:v>7.23</c:v>
                </c:pt>
                <c:pt idx="22">
                  <c:v>7.23</c:v>
                </c:pt>
                <c:pt idx="23">
                  <c:v>7.23</c:v>
                </c:pt>
                <c:pt idx="24">
                  <c:v>7.23</c:v>
                </c:pt>
                <c:pt idx="25">
                  <c:v>7.23</c:v>
                </c:pt>
                <c:pt idx="26">
                  <c:v>7.23</c:v>
                </c:pt>
                <c:pt idx="27">
                  <c:v>7.23</c:v>
                </c:pt>
                <c:pt idx="28">
                  <c:v>7.23</c:v>
                </c:pt>
                <c:pt idx="29">
                  <c:v>7.23</c:v>
                </c:pt>
                <c:pt idx="30">
                  <c:v>7.23</c:v>
                </c:pt>
                <c:pt idx="31">
                  <c:v>7.23</c:v>
                </c:pt>
                <c:pt idx="32">
                  <c:v>7.23</c:v>
                </c:pt>
                <c:pt idx="33">
                  <c:v>7.23</c:v>
                </c:pt>
                <c:pt idx="34">
                  <c:v>7.23</c:v>
                </c:pt>
                <c:pt idx="35">
                  <c:v>7.23</c:v>
                </c:pt>
                <c:pt idx="36">
                  <c:v>7.23</c:v>
                </c:pt>
                <c:pt idx="37">
                  <c:v>7.23</c:v>
                </c:pt>
                <c:pt idx="38">
                  <c:v>7.23</c:v>
                </c:pt>
                <c:pt idx="39">
                  <c:v>7.23</c:v>
                </c:pt>
                <c:pt idx="40">
                  <c:v>7.23</c:v>
                </c:pt>
                <c:pt idx="41">
                  <c:v>7.23</c:v>
                </c:pt>
                <c:pt idx="42">
                  <c:v>7.23</c:v>
                </c:pt>
                <c:pt idx="43">
                  <c:v>7.23</c:v>
                </c:pt>
                <c:pt idx="44">
                  <c:v>7.23</c:v>
                </c:pt>
                <c:pt idx="45">
                  <c:v>7.23</c:v>
                </c:pt>
                <c:pt idx="46">
                  <c:v>7.23</c:v>
                </c:pt>
                <c:pt idx="47">
                  <c:v>7.23</c:v>
                </c:pt>
                <c:pt idx="48">
                  <c:v>7.23</c:v>
                </c:pt>
                <c:pt idx="49">
                  <c:v>7.23</c:v>
                </c:pt>
                <c:pt idx="50">
                  <c:v>7.23</c:v>
                </c:pt>
                <c:pt idx="51">
                  <c:v>7.23</c:v>
                </c:pt>
                <c:pt idx="52">
                  <c:v>7.23</c:v>
                </c:pt>
                <c:pt idx="53">
                  <c:v>7.23</c:v>
                </c:pt>
                <c:pt idx="54">
                  <c:v>7.23</c:v>
                </c:pt>
                <c:pt idx="55">
                  <c:v>7.23</c:v>
                </c:pt>
                <c:pt idx="56">
                  <c:v>7.23</c:v>
                </c:pt>
                <c:pt idx="57">
                  <c:v>7.23</c:v>
                </c:pt>
                <c:pt idx="58">
                  <c:v>7.23</c:v>
                </c:pt>
                <c:pt idx="59">
                  <c:v>7.23</c:v>
                </c:pt>
                <c:pt idx="60">
                  <c:v>7.23</c:v>
                </c:pt>
                <c:pt idx="61">
                  <c:v>7.23</c:v>
                </c:pt>
                <c:pt idx="62">
                  <c:v>7.2291999999999996</c:v>
                </c:pt>
                <c:pt idx="63">
                  <c:v>7.2282999999999999</c:v>
                </c:pt>
                <c:pt idx="64">
                  <c:v>7.2272999999999996</c:v>
                </c:pt>
                <c:pt idx="65">
                  <c:v>7.2262000000000004</c:v>
                </c:pt>
                <c:pt idx="66">
                  <c:v>7.2252000000000001</c:v>
                </c:pt>
                <c:pt idx="67">
                  <c:v>7.2241</c:v>
                </c:pt>
                <c:pt idx="68">
                  <c:v>7.2229999999999999</c:v>
                </c:pt>
                <c:pt idx="69">
                  <c:v>7.2218999999999998</c:v>
                </c:pt>
                <c:pt idx="70">
                  <c:v>7.2207999999999997</c:v>
                </c:pt>
                <c:pt idx="71">
                  <c:v>7.2196999999999996</c:v>
                </c:pt>
                <c:pt idx="72">
                  <c:v>7.2186000000000003</c:v>
                </c:pt>
                <c:pt idx="73">
                  <c:v>7.2175000000000002</c:v>
                </c:pt>
                <c:pt idx="74">
                  <c:v>7.2163000000000004</c:v>
                </c:pt>
                <c:pt idx="75">
                  <c:v>7.2152000000000003</c:v>
                </c:pt>
                <c:pt idx="76">
                  <c:v>7.2141000000000002</c:v>
                </c:pt>
                <c:pt idx="77">
                  <c:v>7.2130000000000001</c:v>
                </c:pt>
                <c:pt idx="78">
                  <c:v>7.2119</c:v>
                </c:pt>
                <c:pt idx="79">
                  <c:v>7.2107000000000001</c:v>
                </c:pt>
                <c:pt idx="80">
                  <c:v>7.2096</c:v>
                </c:pt>
                <c:pt idx="81">
                  <c:v>7.2084999999999999</c:v>
                </c:pt>
                <c:pt idx="82">
                  <c:v>7.2073999999999998</c:v>
                </c:pt>
                <c:pt idx="83">
                  <c:v>7.2062999999999997</c:v>
                </c:pt>
                <c:pt idx="84">
                  <c:v>7.2051999999999996</c:v>
                </c:pt>
                <c:pt idx="85">
                  <c:v>7.2039999999999997</c:v>
                </c:pt>
                <c:pt idx="86">
                  <c:v>7.2028999999999996</c:v>
                </c:pt>
                <c:pt idx="87">
                  <c:v>7.2018000000000004</c:v>
                </c:pt>
                <c:pt idx="88">
                  <c:v>7.2007000000000003</c:v>
                </c:pt>
                <c:pt idx="89">
                  <c:v>7.1996000000000002</c:v>
                </c:pt>
                <c:pt idx="90">
                  <c:v>7.1985000000000001</c:v>
                </c:pt>
                <c:pt idx="91">
                  <c:v>7.1974</c:v>
                </c:pt>
                <c:pt idx="92">
                  <c:v>7.1962999999999999</c:v>
                </c:pt>
                <c:pt idx="93">
                  <c:v>7.1951999999999998</c:v>
                </c:pt>
                <c:pt idx="94">
                  <c:v>7.1940999999999997</c:v>
                </c:pt>
                <c:pt idx="95">
                  <c:v>7.1929999999999996</c:v>
                </c:pt>
                <c:pt idx="96">
                  <c:v>7.1919000000000004</c:v>
                </c:pt>
                <c:pt idx="97">
                  <c:v>7.1908000000000003</c:v>
                </c:pt>
                <c:pt idx="98">
                  <c:v>7.1897000000000002</c:v>
                </c:pt>
                <c:pt idx="99">
                  <c:v>7.1886000000000001</c:v>
                </c:pt>
                <c:pt idx="100">
                  <c:v>7.1875999999999998</c:v>
                </c:pt>
                <c:pt idx="101">
                  <c:v>7.1864999999999997</c:v>
                </c:pt>
                <c:pt idx="102">
                  <c:v>7.1853999999999996</c:v>
                </c:pt>
                <c:pt idx="103">
                  <c:v>7.1843000000000004</c:v>
                </c:pt>
                <c:pt idx="104">
                  <c:v>7.1832000000000003</c:v>
                </c:pt>
                <c:pt idx="105">
                  <c:v>7.1821999999999999</c:v>
                </c:pt>
                <c:pt idx="106">
                  <c:v>7.1810999999999998</c:v>
                </c:pt>
                <c:pt idx="107">
                  <c:v>7.18</c:v>
                </c:pt>
                <c:pt idx="108">
                  <c:v>7.1790000000000003</c:v>
                </c:pt>
                <c:pt idx="109">
                  <c:v>7.1779000000000002</c:v>
                </c:pt>
                <c:pt idx="110">
                  <c:v>7.1768000000000001</c:v>
                </c:pt>
                <c:pt idx="111">
                  <c:v>7.1757999999999997</c:v>
                </c:pt>
                <c:pt idx="112">
                  <c:v>7.1746999999999996</c:v>
                </c:pt>
                <c:pt idx="113">
                  <c:v>7.1737000000000002</c:v>
                </c:pt>
                <c:pt idx="114">
                  <c:v>7.1726000000000001</c:v>
                </c:pt>
                <c:pt idx="115">
                  <c:v>7.1715999999999998</c:v>
                </c:pt>
                <c:pt idx="116">
                  <c:v>7.1704999999999997</c:v>
                </c:pt>
                <c:pt idx="117">
                  <c:v>7.1695000000000002</c:v>
                </c:pt>
                <c:pt idx="118">
                  <c:v>7.1684000000000001</c:v>
                </c:pt>
                <c:pt idx="119">
                  <c:v>7.1673999999999998</c:v>
                </c:pt>
                <c:pt idx="120">
                  <c:v>7.1664000000000003</c:v>
                </c:pt>
                <c:pt idx="121">
                  <c:v>7.1653000000000002</c:v>
                </c:pt>
                <c:pt idx="122">
                  <c:v>7.1642999999999999</c:v>
                </c:pt>
                <c:pt idx="123">
                  <c:v>7.1632999999999996</c:v>
                </c:pt>
                <c:pt idx="124">
                  <c:v>7.1622000000000003</c:v>
                </c:pt>
                <c:pt idx="125">
                  <c:v>7.1612</c:v>
                </c:pt>
                <c:pt idx="126">
                  <c:v>7.1601999999999997</c:v>
                </c:pt>
                <c:pt idx="127">
                  <c:v>7.1592000000000002</c:v>
                </c:pt>
                <c:pt idx="128">
                  <c:v>7.1581000000000001</c:v>
                </c:pt>
                <c:pt idx="129">
                  <c:v>7.1570999999999998</c:v>
                </c:pt>
                <c:pt idx="130">
                  <c:v>7.1561000000000003</c:v>
                </c:pt>
                <c:pt idx="131">
                  <c:v>7.1551</c:v>
                </c:pt>
                <c:pt idx="132">
                  <c:v>7.1540999999999997</c:v>
                </c:pt>
                <c:pt idx="133">
                  <c:v>7.1531000000000002</c:v>
                </c:pt>
                <c:pt idx="134">
                  <c:v>7.1520999999999999</c:v>
                </c:pt>
                <c:pt idx="135">
                  <c:v>7.1510999999999996</c:v>
                </c:pt>
                <c:pt idx="136">
                  <c:v>7.1501000000000001</c:v>
                </c:pt>
                <c:pt idx="137">
                  <c:v>7.1490999999999998</c:v>
                </c:pt>
                <c:pt idx="138">
                  <c:v>7.1481000000000003</c:v>
                </c:pt>
                <c:pt idx="139">
                  <c:v>7.1471</c:v>
                </c:pt>
                <c:pt idx="140">
                  <c:v>7.1460999999999997</c:v>
                </c:pt>
                <c:pt idx="141">
                  <c:v>7.1451000000000002</c:v>
                </c:pt>
                <c:pt idx="142">
                  <c:v>7.1440999999999999</c:v>
                </c:pt>
                <c:pt idx="143">
                  <c:v>7.1430999999999996</c:v>
                </c:pt>
                <c:pt idx="144">
                  <c:v>7.1421999999999999</c:v>
                </c:pt>
                <c:pt idx="145">
                  <c:v>7.1412000000000004</c:v>
                </c:pt>
                <c:pt idx="146">
                  <c:v>7.1402000000000001</c:v>
                </c:pt>
                <c:pt idx="147">
                  <c:v>7.1391999999999998</c:v>
                </c:pt>
                <c:pt idx="148">
                  <c:v>7.1383000000000001</c:v>
                </c:pt>
                <c:pt idx="149">
                  <c:v>7.1372999999999998</c:v>
                </c:pt>
                <c:pt idx="150">
                  <c:v>7.1363000000000003</c:v>
                </c:pt>
                <c:pt idx="151">
                  <c:v>7.1353999999999997</c:v>
                </c:pt>
                <c:pt idx="152">
                  <c:v>7.1344000000000003</c:v>
                </c:pt>
                <c:pt idx="153">
                  <c:v>7.1334999999999997</c:v>
                </c:pt>
                <c:pt idx="154">
                  <c:v>7.1325000000000003</c:v>
                </c:pt>
                <c:pt idx="155">
                  <c:v>7.1315</c:v>
                </c:pt>
                <c:pt idx="156">
                  <c:v>7.1306000000000003</c:v>
                </c:pt>
                <c:pt idx="157">
                  <c:v>7.1295999999999999</c:v>
                </c:pt>
                <c:pt idx="158">
                  <c:v>7.1287000000000003</c:v>
                </c:pt>
                <c:pt idx="159">
                  <c:v>7.1276999999999999</c:v>
                </c:pt>
                <c:pt idx="160">
                  <c:v>7.1268000000000002</c:v>
                </c:pt>
                <c:pt idx="161">
                  <c:v>7.1258999999999997</c:v>
                </c:pt>
                <c:pt idx="162">
                  <c:v>7.1249000000000002</c:v>
                </c:pt>
                <c:pt idx="163">
                  <c:v>7.1239999999999997</c:v>
                </c:pt>
                <c:pt idx="164">
                  <c:v>7.1231</c:v>
                </c:pt>
                <c:pt idx="165">
                  <c:v>7.1220999999999997</c:v>
                </c:pt>
                <c:pt idx="166">
                  <c:v>7.1212</c:v>
                </c:pt>
                <c:pt idx="167">
                  <c:v>7.1203000000000003</c:v>
                </c:pt>
                <c:pt idx="168">
                  <c:v>7.1193</c:v>
                </c:pt>
                <c:pt idx="169">
                  <c:v>7.1184000000000003</c:v>
                </c:pt>
                <c:pt idx="170">
                  <c:v>7.1174999999999997</c:v>
                </c:pt>
                <c:pt idx="171">
                  <c:v>7.1166</c:v>
                </c:pt>
                <c:pt idx="172">
                  <c:v>7.1157000000000004</c:v>
                </c:pt>
                <c:pt idx="173">
                  <c:v>7.1147</c:v>
                </c:pt>
                <c:pt idx="174">
                  <c:v>7.1138000000000003</c:v>
                </c:pt>
                <c:pt idx="175">
                  <c:v>7.1128999999999998</c:v>
                </c:pt>
                <c:pt idx="176">
                  <c:v>7.1120000000000001</c:v>
                </c:pt>
                <c:pt idx="177">
                  <c:v>7.1111000000000004</c:v>
                </c:pt>
                <c:pt idx="178">
                  <c:v>7.1101999999999999</c:v>
                </c:pt>
                <c:pt idx="179">
                  <c:v>7.1093000000000002</c:v>
                </c:pt>
                <c:pt idx="180">
                  <c:v>7.1083999999999996</c:v>
                </c:pt>
                <c:pt idx="181">
                  <c:v>7.1074999999999999</c:v>
                </c:pt>
                <c:pt idx="182">
                  <c:v>7.1066000000000003</c:v>
                </c:pt>
                <c:pt idx="183">
                  <c:v>7.1056999999999997</c:v>
                </c:pt>
                <c:pt idx="184">
                  <c:v>7.1048</c:v>
                </c:pt>
                <c:pt idx="185">
                  <c:v>7.1039000000000003</c:v>
                </c:pt>
                <c:pt idx="186">
                  <c:v>7.1031000000000004</c:v>
                </c:pt>
                <c:pt idx="187">
                  <c:v>7.1021999999999998</c:v>
                </c:pt>
                <c:pt idx="188">
                  <c:v>7.1013000000000002</c:v>
                </c:pt>
                <c:pt idx="189">
                  <c:v>7.1003999999999996</c:v>
                </c:pt>
                <c:pt idx="190">
                  <c:v>7.0994999999999999</c:v>
                </c:pt>
                <c:pt idx="191">
                  <c:v>7.0987</c:v>
                </c:pt>
                <c:pt idx="192">
                  <c:v>7.0978000000000003</c:v>
                </c:pt>
                <c:pt idx="193">
                  <c:v>7.0968999999999998</c:v>
                </c:pt>
                <c:pt idx="194">
                  <c:v>7.0960000000000001</c:v>
                </c:pt>
                <c:pt idx="195">
                  <c:v>7.0952000000000002</c:v>
                </c:pt>
                <c:pt idx="196">
                  <c:v>7.0942999999999996</c:v>
                </c:pt>
                <c:pt idx="197">
                  <c:v>7.0933999999999999</c:v>
                </c:pt>
                <c:pt idx="198">
                  <c:v>7.0926</c:v>
                </c:pt>
                <c:pt idx="199">
                  <c:v>7.0917000000000003</c:v>
                </c:pt>
                <c:pt idx="200">
                  <c:v>7.0909000000000004</c:v>
                </c:pt>
                <c:pt idx="201">
                  <c:v>7.09</c:v>
                </c:pt>
                <c:pt idx="202">
                  <c:v>7.0891999999999999</c:v>
                </c:pt>
                <c:pt idx="203">
                  <c:v>7.0883000000000003</c:v>
                </c:pt>
                <c:pt idx="204">
                  <c:v>7.0875000000000004</c:v>
                </c:pt>
                <c:pt idx="205">
                  <c:v>7.0865999999999998</c:v>
                </c:pt>
                <c:pt idx="206">
                  <c:v>7.0857999999999999</c:v>
                </c:pt>
                <c:pt idx="207">
                  <c:v>7.0849000000000002</c:v>
                </c:pt>
                <c:pt idx="208">
                  <c:v>7.0841000000000003</c:v>
                </c:pt>
                <c:pt idx="209">
                  <c:v>7.0831999999999997</c:v>
                </c:pt>
                <c:pt idx="210">
                  <c:v>7.0823999999999998</c:v>
                </c:pt>
                <c:pt idx="211">
                  <c:v>7.0815999999999999</c:v>
                </c:pt>
                <c:pt idx="212">
                  <c:v>7.0807000000000002</c:v>
                </c:pt>
                <c:pt idx="213">
                  <c:v>7.0799000000000003</c:v>
                </c:pt>
                <c:pt idx="214">
                  <c:v>7.0791000000000004</c:v>
                </c:pt>
                <c:pt idx="215">
                  <c:v>7.0781999999999998</c:v>
                </c:pt>
                <c:pt idx="216">
                  <c:v>7.0773999999999999</c:v>
                </c:pt>
                <c:pt idx="217">
                  <c:v>7.0766</c:v>
                </c:pt>
                <c:pt idx="218">
                  <c:v>7.0758000000000001</c:v>
                </c:pt>
                <c:pt idx="219">
                  <c:v>7.0749000000000004</c:v>
                </c:pt>
                <c:pt idx="220">
                  <c:v>7.0740999999999996</c:v>
                </c:pt>
                <c:pt idx="221">
                  <c:v>7.0732999999999997</c:v>
                </c:pt>
                <c:pt idx="222">
                  <c:v>7.0724999999999998</c:v>
                </c:pt>
                <c:pt idx="223">
                  <c:v>7.0716999999999999</c:v>
                </c:pt>
                <c:pt idx="224">
                  <c:v>7.0709</c:v>
                </c:pt>
                <c:pt idx="225">
                  <c:v>7.0701000000000001</c:v>
                </c:pt>
                <c:pt idx="226">
                  <c:v>7.0692000000000004</c:v>
                </c:pt>
                <c:pt idx="227">
                  <c:v>7.0683999999999996</c:v>
                </c:pt>
                <c:pt idx="228">
                  <c:v>7.0675999999999997</c:v>
                </c:pt>
                <c:pt idx="229">
                  <c:v>7.0667999999999997</c:v>
                </c:pt>
                <c:pt idx="230">
                  <c:v>7.0659999999999998</c:v>
                </c:pt>
                <c:pt idx="231">
                  <c:v>7.0651999999999999</c:v>
                </c:pt>
                <c:pt idx="232">
                  <c:v>7.0644</c:v>
                </c:pt>
                <c:pt idx="233">
                  <c:v>7.0636000000000001</c:v>
                </c:pt>
                <c:pt idx="234">
                  <c:v>7.0629</c:v>
                </c:pt>
                <c:pt idx="235">
                  <c:v>7.0621</c:v>
                </c:pt>
                <c:pt idx="236">
                  <c:v>7.0613000000000001</c:v>
                </c:pt>
                <c:pt idx="237">
                  <c:v>7.0605000000000002</c:v>
                </c:pt>
                <c:pt idx="238">
                  <c:v>7.0597000000000003</c:v>
                </c:pt>
                <c:pt idx="239">
                  <c:v>7.0589000000000004</c:v>
                </c:pt>
                <c:pt idx="240">
                  <c:v>7.0580999999999996</c:v>
                </c:pt>
                <c:pt idx="241">
                  <c:v>7.0572999999999997</c:v>
                </c:pt>
                <c:pt idx="242">
                  <c:v>7.0566000000000004</c:v>
                </c:pt>
                <c:pt idx="243">
                  <c:v>7.0557999999999996</c:v>
                </c:pt>
                <c:pt idx="244">
                  <c:v>7.0549999999999997</c:v>
                </c:pt>
                <c:pt idx="245">
                  <c:v>7.0541999999999998</c:v>
                </c:pt>
                <c:pt idx="246">
                  <c:v>7.0534999999999997</c:v>
                </c:pt>
                <c:pt idx="247">
                  <c:v>7.0526999999999997</c:v>
                </c:pt>
                <c:pt idx="248">
                  <c:v>7.0518999999999998</c:v>
                </c:pt>
                <c:pt idx="249">
                  <c:v>7.0511999999999997</c:v>
                </c:pt>
                <c:pt idx="250">
                  <c:v>7.0503999999999998</c:v>
                </c:pt>
                <c:pt idx="251">
                  <c:v>7.0495999999999999</c:v>
                </c:pt>
                <c:pt idx="252">
                  <c:v>7.0488999999999997</c:v>
                </c:pt>
                <c:pt idx="253">
                  <c:v>7.0480999999999998</c:v>
                </c:pt>
                <c:pt idx="254">
                  <c:v>7.0473999999999997</c:v>
                </c:pt>
                <c:pt idx="255">
                  <c:v>7.0465999999999998</c:v>
                </c:pt>
                <c:pt idx="256">
                  <c:v>7.0458999999999996</c:v>
                </c:pt>
                <c:pt idx="257">
                  <c:v>7.0450999999999997</c:v>
                </c:pt>
                <c:pt idx="258">
                  <c:v>7.0442999999999998</c:v>
                </c:pt>
                <c:pt idx="259">
                  <c:v>7.0435999999999996</c:v>
                </c:pt>
                <c:pt idx="260">
                  <c:v>7.0427999999999997</c:v>
                </c:pt>
                <c:pt idx="261">
                  <c:v>7.0420999999999996</c:v>
                </c:pt>
                <c:pt idx="262">
                  <c:v>7.0414000000000003</c:v>
                </c:pt>
                <c:pt idx="263">
                  <c:v>7.0406000000000004</c:v>
                </c:pt>
                <c:pt idx="264">
                  <c:v>7.0399000000000003</c:v>
                </c:pt>
                <c:pt idx="265">
                  <c:v>7.0391000000000004</c:v>
                </c:pt>
                <c:pt idx="266">
                  <c:v>7.0384000000000002</c:v>
                </c:pt>
                <c:pt idx="267">
                  <c:v>7.0377000000000001</c:v>
                </c:pt>
                <c:pt idx="268">
                  <c:v>7.0369000000000002</c:v>
                </c:pt>
                <c:pt idx="269">
                  <c:v>7.0362</c:v>
                </c:pt>
                <c:pt idx="270">
                  <c:v>7.0354999999999999</c:v>
                </c:pt>
                <c:pt idx="271">
                  <c:v>7.0347</c:v>
                </c:pt>
                <c:pt idx="272">
                  <c:v>7.0339999999999998</c:v>
                </c:pt>
                <c:pt idx="273">
                  <c:v>7.0332999999999997</c:v>
                </c:pt>
                <c:pt idx="274">
                  <c:v>7.0324999999999998</c:v>
                </c:pt>
                <c:pt idx="275">
                  <c:v>7.0317999999999996</c:v>
                </c:pt>
                <c:pt idx="276">
                  <c:v>7.0311000000000003</c:v>
                </c:pt>
                <c:pt idx="277">
                  <c:v>7.0304000000000002</c:v>
                </c:pt>
                <c:pt idx="278">
                  <c:v>7.0297000000000001</c:v>
                </c:pt>
                <c:pt idx="279">
                  <c:v>7.0289000000000001</c:v>
                </c:pt>
                <c:pt idx="280">
                  <c:v>7.0282</c:v>
                </c:pt>
                <c:pt idx="281">
                  <c:v>7.0274999999999999</c:v>
                </c:pt>
                <c:pt idx="282">
                  <c:v>7.0267999999999997</c:v>
                </c:pt>
                <c:pt idx="283">
                  <c:v>7.0260999999999996</c:v>
                </c:pt>
                <c:pt idx="284">
                  <c:v>7.0254000000000003</c:v>
                </c:pt>
                <c:pt idx="285">
                  <c:v>7.0247000000000002</c:v>
                </c:pt>
                <c:pt idx="286">
                  <c:v>7.024</c:v>
                </c:pt>
                <c:pt idx="287">
                  <c:v>7.0232999999999999</c:v>
                </c:pt>
                <c:pt idx="288">
                  <c:v>7.0225999999999997</c:v>
                </c:pt>
                <c:pt idx="289">
                  <c:v>7.0218999999999996</c:v>
                </c:pt>
                <c:pt idx="290">
                  <c:v>7.0212000000000003</c:v>
                </c:pt>
                <c:pt idx="291">
                  <c:v>7.0205000000000002</c:v>
                </c:pt>
                <c:pt idx="292">
                  <c:v>7.0198</c:v>
                </c:pt>
                <c:pt idx="293">
                  <c:v>7.0190999999999999</c:v>
                </c:pt>
                <c:pt idx="294">
                  <c:v>7.0183999999999997</c:v>
                </c:pt>
                <c:pt idx="295">
                  <c:v>7.0176999999999996</c:v>
                </c:pt>
                <c:pt idx="296">
                  <c:v>7.0170000000000003</c:v>
                </c:pt>
                <c:pt idx="297">
                  <c:v>7.0163000000000002</c:v>
                </c:pt>
                <c:pt idx="298">
                  <c:v>7.0156000000000001</c:v>
                </c:pt>
                <c:pt idx="299">
                  <c:v>7.0148999999999999</c:v>
                </c:pt>
                <c:pt idx="300">
                  <c:v>7.0141999999999998</c:v>
                </c:pt>
                <c:pt idx="301">
                  <c:v>7.0136000000000003</c:v>
                </c:pt>
                <c:pt idx="302">
                  <c:v>7.0129000000000001</c:v>
                </c:pt>
                <c:pt idx="303">
                  <c:v>7.0122</c:v>
                </c:pt>
                <c:pt idx="304">
                  <c:v>7.0114999999999998</c:v>
                </c:pt>
                <c:pt idx="305">
                  <c:v>7.0107999999999997</c:v>
                </c:pt>
                <c:pt idx="306">
                  <c:v>7.0102000000000002</c:v>
                </c:pt>
                <c:pt idx="307">
                  <c:v>7.0095000000000001</c:v>
                </c:pt>
                <c:pt idx="308">
                  <c:v>7.0087999999999999</c:v>
                </c:pt>
                <c:pt idx="309">
                  <c:v>7.0080999999999998</c:v>
                </c:pt>
                <c:pt idx="310">
                  <c:v>7.0075000000000003</c:v>
                </c:pt>
                <c:pt idx="311">
                  <c:v>7.0068000000000001</c:v>
                </c:pt>
                <c:pt idx="312">
                  <c:v>7.0061</c:v>
                </c:pt>
                <c:pt idx="313">
                  <c:v>7.0054999999999996</c:v>
                </c:pt>
                <c:pt idx="314">
                  <c:v>7.0048000000000004</c:v>
                </c:pt>
                <c:pt idx="315">
                  <c:v>7.0041000000000002</c:v>
                </c:pt>
                <c:pt idx="316">
                  <c:v>7.0034999999999998</c:v>
                </c:pt>
                <c:pt idx="317">
                  <c:v>7.0027999999999997</c:v>
                </c:pt>
                <c:pt idx="318">
                  <c:v>7.0022000000000002</c:v>
                </c:pt>
                <c:pt idx="319">
                  <c:v>7.0015000000000001</c:v>
                </c:pt>
                <c:pt idx="320">
                  <c:v>7.0007999999999999</c:v>
                </c:pt>
                <c:pt idx="321">
                  <c:v>7.0002000000000004</c:v>
                </c:pt>
                <c:pt idx="322">
                  <c:v>6.9995000000000003</c:v>
                </c:pt>
                <c:pt idx="323">
                  <c:v>6.9988999999999999</c:v>
                </c:pt>
                <c:pt idx="324">
                  <c:v>6.9981999999999998</c:v>
                </c:pt>
                <c:pt idx="325">
                  <c:v>6.9976000000000003</c:v>
                </c:pt>
                <c:pt idx="326">
                  <c:v>6.9969000000000001</c:v>
                </c:pt>
                <c:pt idx="327">
                  <c:v>6.9962999999999997</c:v>
                </c:pt>
                <c:pt idx="328">
                  <c:v>6.9955999999999996</c:v>
                </c:pt>
                <c:pt idx="329">
                  <c:v>6.9950000000000001</c:v>
                </c:pt>
                <c:pt idx="330">
                  <c:v>6.9943999999999997</c:v>
                </c:pt>
                <c:pt idx="331">
                  <c:v>6.9936999999999996</c:v>
                </c:pt>
                <c:pt idx="332">
                  <c:v>6.9931000000000001</c:v>
                </c:pt>
                <c:pt idx="333">
                  <c:v>6.9923999999999999</c:v>
                </c:pt>
                <c:pt idx="334">
                  <c:v>6.9917999999999996</c:v>
                </c:pt>
                <c:pt idx="335">
                  <c:v>6.9912000000000001</c:v>
                </c:pt>
                <c:pt idx="336">
                  <c:v>6.9904999999999999</c:v>
                </c:pt>
                <c:pt idx="337">
                  <c:v>6.9898999999999996</c:v>
                </c:pt>
                <c:pt idx="338">
                  <c:v>6.9893000000000001</c:v>
                </c:pt>
                <c:pt idx="339">
                  <c:v>6.9885999999999999</c:v>
                </c:pt>
                <c:pt idx="340">
                  <c:v>6.9880000000000004</c:v>
                </c:pt>
                <c:pt idx="341">
                  <c:v>6.9874000000000001</c:v>
                </c:pt>
                <c:pt idx="342">
                  <c:v>6.9866999999999999</c:v>
                </c:pt>
                <c:pt idx="343">
                  <c:v>6.9861000000000004</c:v>
                </c:pt>
                <c:pt idx="344">
                  <c:v>6.9855</c:v>
                </c:pt>
                <c:pt idx="345">
                  <c:v>6.9848999999999997</c:v>
                </c:pt>
                <c:pt idx="346">
                  <c:v>6.9843000000000002</c:v>
                </c:pt>
                <c:pt idx="347">
                  <c:v>6.9836</c:v>
                </c:pt>
                <c:pt idx="348">
                  <c:v>6.9829999999999997</c:v>
                </c:pt>
                <c:pt idx="349">
                  <c:v>6.9824000000000002</c:v>
                </c:pt>
                <c:pt idx="350">
                  <c:v>6.9817999999999998</c:v>
                </c:pt>
                <c:pt idx="351">
                  <c:v>6.9812000000000003</c:v>
                </c:pt>
                <c:pt idx="352">
                  <c:v>6.9805000000000001</c:v>
                </c:pt>
                <c:pt idx="353">
                  <c:v>6.9798999999999998</c:v>
                </c:pt>
                <c:pt idx="354">
                  <c:v>6.9793000000000003</c:v>
                </c:pt>
                <c:pt idx="355">
                  <c:v>6.9786999999999999</c:v>
                </c:pt>
                <c:pt idx="356">
                  <c:v>6.9781000000000004</c:v>
                </c:pt>
                <c:pt idx="357">
                  <c:v>6.9775</c:v>
                </c:pt>
                <c:pt idx="358">
                  <c:v>6.9768999999999997</c:v>
                </c:pt>
                <c:pt idx="359">
                  <c:v>6.9763000000000002</c:v>
                </c:pt>
                <c:pt idx="360">
                  <c:v>6.9756999999999998</c:v>
                </c:pt>
                <c:pt idx="361">
                  <c:v>6.9751000000000003</c:v>
                </c:pt>
                <c:pt idx="362">
                  <c:v>6.9744999999999999</c:v>
                </c:pt>
                <c:pt idx="363">
                  <c:v>6.9739000000000004</c:v>
                </c:pt>
                <c:pt idx="364">
                  <c:v>6.9733000000000001</c:v>
                </c:pt>
                <c:pt idx="365">
                  <c:v>6.9726999999999997</c:v>
                </c:pt>
                <c:pt idx="366">
                  <c:v>6.9721000000000002</c:v>
                </c:pt>
                <c:pt idx="367">
                  <c:v>6.9714999999999998</c:v>
                </c:pt>
                <c:pt idx="368">
                  <c:v>6.9709000000000003</c:v>
                </c:pt>
                <c:pt idx="369">
                  <c:v>6.9702999999999999</c:v>
                </c:pt>
                <c:pt idx="370">
                  <c:v>6.9696999999999996</c:v>
                </c:pt>
                <c:pt idx="371">
                  <c:v>6.9691000000000001</c:v>
                </c:pt>
                <c:pt idx="372">
                  <c:v>6.9684999999999997</c:v>
                </c:pt>
                <c:pt idx="373">
                  <c:v>6.968</c:v>
                </c:pt>
                <c:pt idx="374">
                  <c:v>6.9673999999999996</c:v>
                </c:pt>
                <c:pt idx="375">
                  <c:v>6.9668000000000001</c:v>
                </c:pt>
                <c:pt idx="376">
                  <c:v>6.9661999999999997</c:v>
                </c:pt>
                <c:pt idx="377">
                  <c:v>6.9656000000000002</c:v>
                </c:pt>
                <c:pt idx="378">
                  <c:v>6.9649999999999999</c:v>
                </c:pt>
                <c:pt idx="379">
                  <c:v>6.9644000000000004</c:v>
                </c:pt>
                <c:pt idx="380">
                  <c:v>6.9638999999999998</c:v>
                </c:pt>
                <c:pt idx="381">
                  <c:v>6.9633000000000003</c:v>
                </c:pt>
                <c:pt idx="382">
                  <c:v>6.9626999999999999</c:v>
                </c:pt>
                <c:pt idx="383">
                  <c:v>6.9621000000000004</c:v>
                </c:pt>
                <c:pt idx="384">
                  <c:v>6.9615999999999998</c:v>
                </c:pt>
                <c:pt idx="385">
                  <c:v>6.9610000000000003</c:v>
                </c:pt>
                <c:pt idx="386">
                  <c:v>6.9603999999999999</c:v>
                </c:pt>
                <c:pt idx="387">
                  <c:v>6.9598000000000004</c:v>
                </c:pt>
                <c:pt idx="388">
                  <c:v>6.9592999999999998</c:v>
                </c:pt>
                <c:pt idx="389">
                  <c:v>6.9587000000000003</c:v>
                </c:pt>
                <c:pt idx="390">
                  <c:v>6.9581</c:v>
                </c:pt>
                <c:pt idx="391">
                  <c:v>6.9576000000000002</c:v>
                </c:pt>
                <c:pt idx="392">
                  <c:v>6.9569999999999999</c:v>
                </c:pt>
                <c:pt idx="393">
                  <c:v>6.9564000000000004</c:v>
                </c:pt>
                <c:pt idx="394">
                  <c:v>6.9558999999999997</c:v>
                </c:pt>
                <c:pt idx="395">
                  <c:v>6.9553000000000003</c:v>
                </c:pt>
                <c:pt idx="396">
                  <c:v>6.9547999999999996</c:v>
                </c:pt>
                <c:pt idx="397">
                  <c:v>6.9542000000000002</c:v>
                </c:pt>
                <c:pt idx="398">
                  <c:v>6.9535999999999998</c:v>
                </c:pt>
                <c:pt idx="399">
                  <c:v>6.9531000000000001</c:v>
                </c:pt>
                <c:pt idx="400">
                  <c:v>6.9524999999999997</c:v>
                </c:pt>
                <c:pt idx="401">
                  <c:v>6.952</c:v>
                </c:pt>
                <c:pt idx="402">
                  <c:v>6.9513999999999996</c:v>
                </c:pt>
                <c:pt idx="403">
                  <c:v>6.9508999999999999</c:v>
                </c:pt>
                <c:pt idx="404">
                  <c:v>6.9503000000000004</c:v>
                </c:pt>
                <c:pt idx="405">
                  <c:v>6.9497999999999998</c:v>
                </c:pt>
                <c:pt idx="406">
                  <c:v>6.9492000000000003</c:v>
                </c:pt>
                <c:pt idx="407">
                  <c:v>6.9486999999999997</c:v>
                </c:pt>
                <c:pt idx="408">
                  <c:v>6.9481000000000002</c:v>
                </c:pt>
                <c:pt idx="409">
                  <c:v>6.9476000000000004</c:v>
                </c:pt>
                <c:pt idx="410">
                  <c:v>6.9470000000000001</c:v>
                </c:pt>
                <c:pt idx="411">
                  <c:v>6.9465000000000003</c:v>
                </c:pt>
                <c:pt idx="412">
                  <c:v>6.9459</c:v>
                </c:pt>
                <c:pt idx="413">
                  <c:v>6.9454000000000002</c:v>
                </c:pt>
                <c:pt idx="414">
                  <c:v>6.9448999999999996</c:v>
                </c:pt>
                <c:pt idx="415">
                  <c:v>6.9443000000000001</c:v>
                </c:pt>
                <c:pt idx="416">
                  <c:v>6.9438000000000004</c:v>
                </c:pt>
                <c:pt idx="417">
                  <c:v>6.9432999999999998</c:v>
                </c:pt>
                <c:pt idx="418">
                  <c:v>6.9427000000000003</c:v>
                </c:pt>
                <c:pt idx="419">
                  <c:v>6.9421999999999997</c:v>
                </c:pt>
                <c:pt idx="420">
                  <c:v>6.9416000000000002</c:v>
                </c:pt>
                <c:pt idx="421">
                  <c:v>6.9410999999999996</c:v>
                </c:pt>
                <c:pt idx="422">
                  <c:v>6.9405999999999999</c:v>
                </c:pt>
                <c:pt idx="423">
                  <c:v>6.9401000000000002</c:v>
                </c:pt>
                <c:pt idx="424">
                  <c:v>6.9394999999999998</c:v>
                </c:pt>
                <c:pt idx="425">
                  <c:v>6.9390000000000001</c:v>
                </c:pt>
                <c:pt idx="426">
                  <c:v>6.9385000000000003</c:v>
                </c:pt>
                <c:pt idx="427">
                  <c:v>6.9379</c:v>
                </c:pt>
                <c:pt idx="428">
                  <c:v>6.9374000000000002</c:v>
                </c:pt>
                <c:pt idx="429">
                  <c:v>6.9368999999999996</c:v>
                </c:pt>
                <c:pt idx="430">
                  <c:v>6.9363999999999999</c:v>
                </c:pt>
                <c:pt idx="431">
                  <c:v>6.9358000000000004</c:v>
                </c:pt>
                <c:pt idx="432">
                  <c:v>6.9352999999999998</c:v>
                </c:pt>
                <c:pt idx="433">
                  <c:v>6.9348000000000001</c:v>
                </c:pt>
                <c:pt idx="434">
                  <c:v>6.9343000000000004</c:v>
                </c:pt>
                <c:pt idx="435">
                  <c:v>6.9337999999999997</c:v>
                </c:pt>
                <c:pt idx="436">
                  <c:v>6.9332000000000003</c:v>
                </c:pt>
                <c:pt idx="437">
                  <c:v>6.9326999999999996</c:v>
                </c:pt>
                <c:pt idx="438">
                  <c:v>6.9321999999999999</c:v>
                </c:pt>
                <c:pt idx="439">
                  <c:v>6.9317000000000002</c:v>
                </c:pt>
                <c:pt idx="440">
                  <c:v>6.9311999999999996</c:v>
                </c:pt>
                <c:pt idx="441">
                  <c:v>6.9306999999999999</c:v>
                </c:pt>
                <c:pt idx="442">
                  <c:v>6.9302000000000001</c:v>
                </c:pt>
                <c:pt idx="443">
                  <c:v>6.9297000000000004</c:v>
                </c:pt>
                <c:pt idx="444">
                  <c:v>6.9291</c:v>
                </c:pt>
                <c:pt idx="445">
                  <c:v>6.9286000000000003</c:v>
                </c:pt>
                <c:pt idx="446">
                  <c:v>6.9280999999999997</c:v>
                </c:pt>
                <c:pt idx="447">
                  <c:v>6.9276</c:v>
                </c:pt>
                <c:pt idx="448">
                  <c:v>6.9271000000000003</c:v>
                </c:pt>
                <c:pt idx="449">
                  <c:v>6.9265999999999996</c:v>
                </c:pt>
                <c:pt idx="450">
                  <c:v>6.9260999999999999</c:v>
                </c:pt>
                <c:pt idx="451">
                  <c:v>6.9256000000000002</c:v>
                </c:pt>
                <c:pt idx="452">
                  <c:v>6.9250999999999996</c:v>
                </c:pt>
                <c:pt idx="453">
                  <c:v>6.9245999999999999</c:v>
                </c:pt>
                <c:pt idx="454">
                  <c:v>6.9241000000000001</c:v>
                </c:pt>
                <c:pt idx="455">
                  <c:v>6.9236000000000004</c:v>
                </c:pt>
                <c:pt idx="456">
                  <c:v>6.9230999999999998</c:v>
                </c:pt>
                <c:pt idx="457">
                  <c:v>6.9226000000000001</c:v>
                </c:pt>
                <c:pt idx="458">
                  <c:v>6.9221000000000004</c:v>
                </c:pt>
                <c:pt idx="459">
                  <c:v>6.9215999999999998</c:v>
                </c:pt>
                <c:pt idx="460">
                  <c:v>6.9211</c:v>
                </c:pt>
                <c:pt idx="461">
                  <c:v>6.9207000000000001</c:v>
                </c:pt>
                <c:pt idx="462">
                  <c:v>6.9202000000000004</c:v>
                </c:pt>
                <c:pt idx="463">
                  <c:v>6.9196999999999997</c:v>
                </c:pt>
                <c:pt idx="464">
                  <c:v>6.9192</c:v>
                </c:pt>
                <c:pt idx="465">
                  <c:v>6.9187000000000003</c:v>
                </c:pt>
                <c:pt idx="466">
                  <c:v>6.9181999999999997</c:v>
                </c:pt>
                <c:pt idx="467">
                  <c:v>6.9177</c:v>
                </c:pt>
                <c:pt idx="468">
                  <c:v>6.9172000000000002</c:v>
                </c:pt>
                <c:pt idx="469">
                  <c:v>6.9168000000000003</c:v>
                </c:pt>
                <c:pt idx="470">
                  <c:v>6.9162999999999997</c:v>
                </c:pt>
                <c:pt idx="471">
                  <c:v>6.9157999999999999</c:v>
                </c:pt>
                <c:pt idx="472">
                  <c:v>6.9153000000000002</c:v>
                </c:pt>
                <c:pt idx="473">
                  <c:v>6.9147999999999996</c:v>
                </c:pt>
                <c:pt idx="474">
                  <c:v>6.9142999999999999</c:v>
                </c:pt>
                <c:pt idx="475">
                  <c:v>6.9138999999999999</c:v>
                </c:pt>
                <c:pt idx="476">
                  <c:v>6.9134000000000002</c:v>
                </c:pt>
                <c:pt idx="477">
                  <c:v>6.9128999999999996</c:v>
                </c:pt>
                <c:pt idx="478">
                  <c:v>6.9123999999999999</c:v>
                </c:pt>
                <c:pt idx="479">
                  <c:v>6.9119999999999999</c:v>
                </c:pt>
                <c:pt idx="480">
                  <c:v>6.9115000000000002</c:v>
                </c:pt>
                <c:pt idx="481">
                  <c:v>6.9109999999999996</c:v>
                </c:pt>
                <c:pt idx="482">
                  <c:v>6.9104999999999999</c:v>
                </c:pt>
                <c:pt idx="483">
                  <c:v>6.9100999999999999</c:v>
                </c:pt>
                <c:pt idx="484">
                  <c:v>6.9096000000000002</c:v>
                </c:pt>
                <c:pt idx="485">
                  <c:v>6.9090999999999996</c:v>
                </c:pt>
                <c:pt idx="486">
                  <c:v>6.9086999999999996</c:v>
                </c:pt>
                <c:pt idx="487">
                  <c:v>6.9081999999999999</c:v>
                </c:pt>
                <c:pt idx="488">
                  <c:v>6.9077000000000002</c:v>
                </c:pt>
                <c:pt idx="489">
                  <c:v>6.9073000000000002</c:v>
                </c:pt>
                <c:pt idx="490">
                  <c:v>6.9067999999999996</c:v>
                </c:pt>
                <c:pt idx="491">
                  <c:v>6.9062999999999999</c:v>
                </c:pt>
                <c:pt idx="492">
                  <c:v>6.9058999999999999</c:v>
                </c:pt>
                <c:pt idx="493">
                  <c:v>6.9054000000000002</c:v>
                </c:pt>
                <c:pt idx="494">
                  <c:v>6.9050000000000002</c:v>
                </c:pt>
                <c:pt idx="495">
                  <c:v>6.9044999999999996</c:v>
                </c:pt>
                <c:pt idx="496">
                  <c:v>6.9039999999999999</c:v>
                </c:pt>
                <c:pt idx="497">
                  <c:v>6.9036</c:v>
                </c:pt>
                <c:pt idx="498">
                  <c:v>6.9031000000000002</c:v>
                </c:pt>
                <c:pt idx="499">
                  <c:v>6.9027000000000003</c:v>
                </c:pt>
                <c:pt idx="500">
                  <c:v>6.9021999999999997</c:v>
                </c:pt>
                <c:pt idx="501">
                  <c:v>6.9017999999999997</c:v>
                </c:pt>
                <c:pt idx="502">
                  <c:v>6.9013</c:v>
                </c:pt>
                <c:pt idx="503">
                  <c:v>6.9009</c:v>
                </c:pt>
                <c:pt idx="504">
                  <c:v>6.9004000000000003</c:v>
                </c:pt>
                <c:pt idx="505">
                  <c:v>6.9</c:v>
                </c:pt>
                <c:pt idx="506">
                  <c:v>6.8994999999999997</c:v>
                </c:pt>
                <c:pt idx="507">
                  <c:v>6.8990999999999998</c:v>
                </c:pt>
                <c:pt idx="508">
                  <c:v>6.8986000000000001</c:v>
                </c:pt>
                <c:pt idx="509">
                  <c:v>6.8982000000000001</c:v>
                </c:pt>
                <c:pt idx="510">
                  <c:v>6.8977000000000004</c:v>
                </c:pt>
                <c:pt idx="511">
                  <c:v>6.8973000000000004</c:v>
                </c:pt>
                <c:pt idx="512">
                  <c:v>6.8967999999999998</c:v>
                </c:pt>
                <c:pt idx="513">
                  <c:v>6.8963999999999999</c:v>
                </c:pt>
                <c:pt idx="514">
                  <c:v>6.8959000000000001</c:v>
                </c:pt>
                <c:pt idx="515">
                  <c:v>6.8955000000000002</c:v>
                </c:pt>
                <c:pt idx="516">
                  <c:v>6.8951000000000002</c:v>
                </c:pt>
                <c:pt idx="517">
                  <c:v>6.8945999999999996</c:v>
                </c:pt>
                <c:pt idx="518">
                  <c:v>6.8941999999999997</c:v>
                </c:pt>
                <c:pt idx="519">
                  <c:v>6.8936999999999999</c:v>
                </c:pt>
                <c:pt idx="520">
                  <c:v>6.8933</c:v>
                </c:pt>
                <c:pt idx="521">
                  <c:v>6.8929</c:v>
                </c:pt>
                <c:pt idx="522">
                  <c:v>6.8924000000000003</c:v>
                </c:pt>
                <c:pt idx="523">
                  <c:v>6.8920000000000003</c:v>
                </c:pt>
                <c:pt idx="524">
                  <c:v>6.8916000000000004</c:v>
                </c:pt>
                <c:pt idx="525">
                  <c:v>6.8910999999999998</c:v>
                </c:pt>
                <c:pt idx="526">
                  <c:v>6.8906999999999998</c:v>
                </c:pt>
                <c:pt idx="527">
                  <c:v>6.8902999999999999</c:v>
                </c:pt>
                <c:pt idx="528">
                  <c:v>6.8898000000000001</c:v>
                </c:pt>
                <c:pt idx="529">
                  <c:v>6.8894000000000002</c:v>
                </c:pt>
                <c:pt idx="530">
                  <c:v>6.8890000000000002</c:v>
                </c:pt>
                <c:pt idx="531">
                  <c:v>6.8884999999999996</c:v>
                </c:pt>
                <c:pt idx="532">
                  <c:v>6.8880999999999997</c:v>
                </c:pt>
                <c:pt idx="533">
                  <c:v>6.8876999999999997</c:v>
                </c:pt>
                <c:pt idx="534">
                  <c:v>6.8872999999999998</c:v>
                </c:pt>
                <c:pt idx="535">
                  <c:v>6.8868</c:v>
                </c:pt>
                <c:pt idx="536">
                  <c:v>6.8864000000000001</c:v>
                </c:pt>
                <c:pt idx="537">
                  <c:v>6.8860000000000001</c:v>
                </c:pt>
                <c:pt idx="538">
                  <c:v>6.8856000000000002</c:v>
                </c:pt>
                <c:pt idx="539">
                  <c:v>6.8852000000000002</c:v>
                </c:pt>
                <c:pt idx="540">
                  <c:v>6.8846999999999996</c:v>
                </c:pt>
                <c:pt idx="541">
                  <c:v>6.8842999999999996</c:v>
                </c:pt>
                <c:pt idx="542">
                  <c:v>6.8838999999999997</c:v>
                </c:pt>
                <c:pt idx="543">
                  <c:v>6.8834999999999997</c:v>
                </c:pt>
                <c:pt idx="544">
                  <c:v>6.8830999999999998</c:v>
                </c:pt>
                <c:pt idx="545">
                  <c:v>6.8826000000000001</c:v>
                </c:pt>
                <c:pt idx="546">
                  <c:v>6.8822000000000001</c:v>
                </c:pt>
                <c:pt idx="547">
                  <c:v>6.8818000000000001</c:v>
                </c:pt>
                <c:pt idx="548">
                  <c:v>6.8814000000000002</c:v>
                </c:pt>
                <c:pt idx="549">
                  <c:v>6.8810000000000002</c:v>
                </c:pt>
                <c:pt idx="550">
                  <c:v>6.8806000000000003</c:v>
                </c:pt>
                <c:pt idx="551">
                  <c:v>6.8802000000000003</c:v>
                </c:pt>
                <c:pt idx="552">
                  <c:v>6.8796999999999997</c:v>
                </c:pt>
                <c:pt idx="553">
                  <c:v>6.8792999999999997</c:v>
                </c:pt>
                <c:pt idx="554">
                  <c:v>6.8788999999999998</c:v>
                </c:pt>
                <c:pt idx="555">
                  <c:v>6.8784999999999998</c:v>
                </c:pt>
                <c:pt idx="556">
                  <c:v>6.8780999999999999</c:v>
                </c:pt>
                <c:pt idx="557">
                  <c:v>6.8776999999999999</c:v>
                </c:pt>
                <c:pt idx="558">
                  <c:v>6.8773</c:v>
                </c:pt>
                <c:pt idx="559">
                  <c:v>6.8769</c:v>
                </c:pt>
                <c:pt idx="560">
                  <c:v>6.8765000000000001</c:v>
                </c:pt>
                <c:pt idx="561">
                  <c:v>6.8761000000000001</c:v>
                </c:pt>
                <c:pt idx="562">
                  <c:v>6.8757000000000001</c:v>
                </c:pt>
                <c:pt idx="563">
                  <c:v>6.8753000000000002</c:v>
                </c:pt>
                <c:pt idx="564">
                  <c:v>6.8749000000000002</c:v>
                </c:pt>
                <c:pt idx="565">
                  <c:v>6.8745000000000003</c:v>
                </c:pt>
                <c:pt idx="566">
                  <c:v>6.8741000000000003</c:v>
                </c:pt>
                <c:pt idx="567">
                  <c:v>6.8737000000000004</c:v>
                </c:pt>
                <c:pt idx="568">
                  <c:v>6.8733000000000004</c:v>
                </c:pt>
                <c:pt idx="569">
                  <c:v>6.8728999999999996</c:v>
                </c:pt>
                <c:pt idx="570">
                  <c:v>6.8724999999999996</c:v>
                </c:pt>
                <c:pt idx="571">
                  <c:v>6.8720999999999997</c:v>
                </c:pt>
                <c:pt idx="572">
                  <c:v>6.8716999999999997</c:v>
                </c:pt>
                <c:pt idx="573">
                  <c:v>6.8712999999999997</c:v>
                </c:pt>
                <c:pt idx="574">
                  <c:v>6.8708999999999998</c:v>
                </c:pt>
                <c:pt idx="575">
                  <c:v>6.8704999999999998</c:v>
                </c:pt>
                <c:pt idx="576">
                  <c:v>6.8700999999999999</c:v>
                </c:pt>
                <c:pt idx="577">
                  <c:v>6.8696999999999999</c:v>
                </c:pt>
                <c:pt idx="578">
                  <c:v>6.8693999999999997</c:v>
                </c:pt>
                <c:pt idx="579">
                  <c:v>6.8689999999999998</c:v>
                </c:pt>
                <c:pt idx="580">
                  <c:v>6.8685999999999998</c:v>
                </c:pt>
                <c:pt idx="581">
                  <c:v>6.8681999999999999</c:v>
                </c:pt>
                <c:pt idx="582">
                  <c:v>6.8677999999999999</c:v>
                </c:pt>
                <c:pt idx="583">
                  <c:v>6.8673999999999999</c:v>
                </c:pt>
                <c:pt idx="584">
                  <c:v>6.867</c:v>
                </c:pt>
                <c:pt idx="585">
                  <c:v>6.8666</c:v>
                </c:pt>
                <c:pt idx="586">
                  <c:v>6.8662999999999998</c:v>
                </c:pt>
                <c:pt idx="587">
                  <c:v>6.8658999999999999</c:v>
                </c:pt>
                <c:pt idx="588">
                  <c:v>6.8654999999999999</c:v>
                </c:pt>
                <c:pt idx="589">
                  <c:v>6.8651</c:v>
                </c:pt>
                <c:pt idx="590">
                  <c:v>6.8647</c:v>
                </c:pt>
                <c:pt idx="591">
                  <c:v>6.8643999999999998</c:v>
                </c:pt>
                <c:pt idx="592">
                  <c:v>6.8639999999999999</c:v>
                </c:pt>
                <c:pt idx="593">
                  <c:v>6.8635999999999999</c:v>
                </c:pt>
                <c:pt idx="594">
                  <c:v>6.8632</c:v>
                </c:pt>
                <c:pt idx="595">
                  <c:v>6.8628</c:v>
                </c:pt>
                <c:pt idx="596">
                  <c:v>6.8624999999999998</c:v>
                </c:pt>
                <c:pt idx="597">
                  <c:v>6.8620999999999999</c:v>
                </c:pt>
                <c:pt idx="598">
                  <c:v>6.8616999999999999</c:v>
                </c:pt>
                <c:pt idx="599">
                  <c:v>6.8613</c:v>
                </c:pt>
                <c:pt idx="600">
                  <c:v>6.8609999999999998</c:v>
                </c:pt>
                <c:pt idx="601">
                  <c:v>6.8605999999999998</c:v>
                </c:pt>
                <c:pt idx="602">
                  <c:v>6.8601999999999999</c:v>
                </c:pt>
                <c:pt idx="603">
                  <c:v>6.8597999999999999</c:v>
                </c:pt>
                <c:pt idx="604">
                  <c:v>6.8594999999999997</c:v>
                </c:pt>
                <c:pt idx="605">
                  <c:v>6.8590999999999998</c:v>
                </c:pt>
                <c:pt idx="606">
                  <c:v>6.8586999999999998</c:v>
                </c:pt>
                <c:pt idx="607">
                  <c:v>6.8583999999999996</c:v>
                </c:pt>
                <c:pt idx="608">
                  <c:v>6.8579999999999997</c:v>
                </c:pt>
                <c:pt idx="609">
                  <c:v>6.8575999999999997</c:v>
                </c:pt>
                <c:pt idx="610">
                  <c:v>6.8573000000000004</c:v>
                </c:pt>
                <c:pt idx="611">
                  <c:v>6.8569000000000004</c:v>
                </c:pt>
                <c:pt idx="612">
                  <c:v>6.8564999999999996</c:v>
                </c:pt>
                <c:pt idx="613">
                  <c:v>6.8562000000000003</c:v>
                </c:pt>
                <c:pt idx="614">
                  <c:v>6.8558000000000003</c:v>
                </c:pt>
                <c:pt idx="615">
                  <c:v>6.8554000000000004</c:v>
                </c:pt>
                <c:pt idx="616">
                  <c:v>6.8551000000000002</c:v>
                </c:pt>
                <c:pt idx="617">
                  <c:v>6.8547000000000002</c:v>
                </c:pt>
                <c:pt idx="618">
                  <c:v>6.8544</c:v>
                </c:pt>
                <c:pt idx="619">
                  <c:v>6.8540000000000001</c:v>
                </c:pt>
                <c:pt idx="620">
                  <c:v>6.8536000000000001</c:v>
                </c:pt>
                <c:pt idx="621">
                  <c:v>6.8532999999999999</c:v>
                </c:pt>
                <c:pt idx="622">
                  <c:v>6.8529</c:v>
                </c:pt>
                <c:pt idx="623">
                  <c:v>6.8525999999999998</c:v>
                </c:pt>
                <c:pt idx="624">
                  <c:v>6.8521999999999998</c:v>
                </c:pt>
                <c:pt idx="625">
                  <c:v>6.8518999999999997</c:v>
                </c:pt>
                <c:pt idx="626">
                  <c:v>6.8514999999999997</c:v>
                </c:pt>
                <c:pt idx="627">
                  <c:v>6.8512000000000004</c:v>
                </c:pt>
                <c:pt idx="628">
                  <c:v>6.8507999999999996</c:v>
                </c:pt>
                <c:pt idx="629">
                  <c:v>6.8503999999999996</c:v>
                </c:pt>
                <c:pt idx="630">
                  <c:v>6.8501000000000003</c:v>
                </c:pt>
                <c:pt idx="631">
                  <c:v>6.8497000000000003</c:v>
                </c:pt>
                <c:pt idx="632">
                  <c:v>6.8494000000000002</c:v>
                </c:pt>
                <c:pt idx="633">
                  <c:v>6.8490000000000002</c:v>
                </c:pt>
                <c:pt idx="634">
                  <c:v>6.8487</c:v>
                </c:pt>
                <c:pt idx="635">
                  <c:v>6.8483000000000001</c:v>
                </c:pt>
                <c:pt idx="636">
                  <c:v>6.8479999999999999</c:v>
                </c:pt>
                <c:pt idx="637">
                  <c:v>6.8476999999999997</c:v>
                </c:pt>
                <c:pt idx="638">
                  <c:v>6.8472999999999997</c:v>
                </c:pt>
                <c:pt idx="639">
                  <c:v>6.8470000000000004</c:v>
                </c:pt>
                <c:pt idx="640">
                  <c:v>6.8465999999999996</c:v>
                </c:pt>
                <c:pt idx="641">
                  <c:v>6.8463000000000003</c:v>
                </c:pt>
                <c:pt idx="642">
                  <c:v>6.8459000000000003</c:v>
                </c:pt>
                <c:pt idx="643">
                  <c:v>6.8456000000000001</c:v>
                </c:pt>
                <c:pt idx="644">
                  <c:v>6.8452000000000002</c:v>
                </c:pt>
                <c:pt idx="645">
                  <c:v>6.8449</c:v>
                </c:pt>
                <c:pt idx="646">
                  <c:v>6.8445999999999998</c:v>
                </c:pt>
                <c:pt idx="647">
                  <c:v>6.8441999999999998</c:v>
                </c:pt>
                <c:pt idx="648">
                  <c:v>6.8438999999999997</c:v>
                </c:pt>
                <c:pt idx="649">
                  <c:v>6.8434999999999997</c:v>
                </c:pt>
                <c:pt idx="650">
                  <c:v>6.8432000000000004</c:v>
                </c:pt>
                <c:pt idx="651">
                  <c:v>6.8429000000000002</c:v>
                </c:pt>
                <c:pt idx="652">
                  <c:v>6.8425000000000002</c:v>
                </c:pt>
                <c:pt idx="653">
                  <c:v>6.8422000000000001</c:v>
                </c:pt>
                <c:pt idx="654">
                  <c:v>6.8418999999999999</c:v>
                </c:pt>
                <c:pt idx="655">
                  <c:v>6.8414999999999999</c:v>
                </c:pt>
                <c:pt idx="656">
                  <c:v>6.8411999999999997</c:v>
                </c:pt>
                <c:pt idx="657">
                  <c:v>6.8409000000000004</c:v>
                </c:pt>
                <c:pt idx="658">
                  <c:v>6.8404999999999996</c:v>
                </c:pt>
                <c:pt idx="659">
                  <c:v>6.8402000000000003</c:v>
                </c:pt>
                <c:pt idx="660">
                  <c:v>6.8399000000000001</c:v>
                </c:pt>
                <c:pt idx="661">
                  <c:v>6.8395000000000001</c:v>
                </c:pt>
                <c:pt idx="662">
                  <c:v>6.8391999999999999</c:v>
                </c:pt>
                <c:pt idx="663">
                  <c:v>6.8388999999999998</c:v>
                </c:pt>
                <c:pt idx="664">
                  <c:v>6.8384999999999998</c:v>
                </c:pt>
                <c:pt idx="665">
                  <c:v>6.8381999999999996</c:v>
                </c:pt>
                <c:pt idx="666">
                  <c:v>6.8379000000000003</c:v>
                </c:pt>
                <c:pt idx="667">
                  <c:v>6.8376000000000001</c:v>
                </c:pt>
                <c:pt idx="668">
                  <c:v>6.8372000000000002</c:v>
                </c:pt>
                <c:pt idx="669">
                  <c:v>6.8369</c:v>
                </c:pt>
                <c:pt idx="670">
                  <c:v>6.8365999999999998</c:v>
                </c:pt>
                <c:pt idx="671">
                  <c:v>6.8362999999999996</c:v>
                </c:pt>
                <c:pt idx="672">
                  <c:v>6.8358999999999996</c:v>
                </c:pt>
                <c:pt idx="673">
                  <c:v>6.8356000000000003</c:v>
                </c:pt>
                <c:pt idx="674">
                  <c:v>6.8353000000000002</c:v>
                </c:pt>
                <c:pt idx="675">
                  <c:v>6.835</c:v>
                </c:pt>
                <c:pt idx="676">
                  <c:v>6.8346</c:v>
                </c:pt>
                <c:pt idx="677">
                  <c:v>6.8342999999999998</c:v>
                </c:pt>
                <c:pt idx="678">
                  <c:v>6.8339999999999996</c:v>
                </c:pt>
                <c:pt idx="679">
                  <c:v>6.8337000000000003</c:v>
                </c:pt>
                <c:pt idx="680">
                  <c:v>6.8334000000000001</c:v>
                </c:pt>
                <c:pt idx="681">
                  <c:v>6.8331</c:v>
                </c:pt>
                <c:pt idx="682">
                  <c:v>6.8327</c:v>
                </c:pt>
                <c:pt idx="683">
                  <c:v>6.8323999999999998</c:v>
                </c:pt>
                <c:pt idx="684">
                  <c:v>6.8320999999999996</c:v>
                </c:pt>
                <c:pt idx="685">
                  <c:v>6.8318000000000003</c:v>
                </c:pt>
                <c:pt idx="686">
                  <c:v>6.8315000000000001</c:v>
                </c:pt>
                <c:pt idx="687">
                  <c:v>6.8311999999999999</c:v>
                </c:pt>
                <c:pt idx="688">
                  <c:v>6.8308</c:v>
                </c:pt>
                <c:pt idx="689">
                  <c:v>6.8304999999999998</c:v>
                </c:pt>
                <c:pt idx="690">
                  <c:v>6.8301999999999996</c:v>
                </c:pt>
                <c:pt idx="691">
                  <c:v>6.8299000000000003</c:v>
                </c:pt>
                <c:pt idx="692">
                  <c:v>6.8296000000000001</c:v>
                </c:pt>
                <c:pt idx="693">
                  <c:v>6.8292999999999999</c:v>
                </c:pt>
                <c:pt idx="694">
                  <c:v>6.8289999999999997</c:v>
                </c:pt>
                <c:pt idx="695">
                  <c:v>6.8287000000000004</c:v>
                </c:pt>
                <c:pt idx="696">
                  <c:v>6.8284000000000002</c:v>
                </c:pt>
                <c:pt idx="697">
                  <c:v>6.8281000000000001</c:v>
                </c:pt>
                <c:pt idx="698">
                  <c:v>6.8277999999999999</c:v>
                </c:pt>
                <c:pt idx="699">
                  <c:v>6.8273999999999999</c:v>
                </c:pt>
                <c:pt idx="700">
                  <c:v>6.8270999999999997</c:v>
                </c:pt>
                <c:pt idx="701">
                  <c:v>6.8268000000000004</c:v>
                </c:pt>
                <c:pt idx="702">
                  <c:v>6.8265000000000002</c:v>
                </c:pt>
                <c:pt idx="703">
                  <c:v>6.8262</c:v>
                </c:pt>
                <c:pt idx="704">
                  <c:v>6.8258999999999999</c:v>
                </c:pt>
                <c:pt idx="705">
                  <c:v>6.8255999999999997</c:v>
                </c:pt>
                <c:pt idx="706">
                  <c:v>6.8253000000000004</c:v>
                </c:pt>
                <c:pt idx="707">
                  <c:v>6.8250000000000002</c:v>
                </c:pt>
                <c:pt idx="708">
                  <c:v>6.8247</c:v>
                </c:pt>
                <c:pt idx="709">
                  <c:v>6.8243999999999998</c:v>
                </c:pt>
                <c:pt idx="710">
                  <c:v>6.8240999999999996</c:v>
                </c:pt>
                <c:pt idx="711">
                  <c:v>6.8238000000000003</c:v>
                </c:pt>
                <c:pt idx="712">
                  <c:v>6.8235000000000001</c:v>
                </c:pt>
                <c:pt idx="713">
                  <c:v>6.8231999999999999</c:v>
                </c:pt>
                <c:pt idx="714">
                  <c:v>6.8228999999999997</c:v>
                </c:pt>
                <c:pt idx="715">
                  <c:v>6.8226000000000004</c:v>
                </c:pt>
                <c:pt idx="716">
                  <c:v>6.8223000000000003</c:v>
                </c:pt>
                <c:pt idx="717">
                  <c:v>6.8220000000000001</c:v>
                </c:pt>
                <c:pt idx="718">
                  <c:v>6.8216999999999999</c:v>
                </c:pt>
                <c:pt idx="719">
                  <c:v>6.8215000000000003</c:v>
                </c:pt>
                <c:pt idx="720">
                  <c:v>6.8212000000000002</c:v>
                </c:pt>
                <c:pt idx="721">
                  <c:v>6.8209</c:v>
                </c:pt>
                <c:pt idx="722">
                  <c:v>6.8205999999999998</c:v>
                </c:pt>
                <c:pt idx="723">
                  <c:v>6.8202999999999996</c:v>
                </c:pt>
                <c:pt idx="724">
                  <c:v>6.82</c:v>
                </c:pt>
                <c:pt idx="725">
                  <c:v>6.8197000000000001</c:v>
                </c:pt>
                <c:pt idx="726">
                  <c:v>6.8193999999999999</c:v>
                </c:pt>
                <c:pt idx="727">
                  <c:v>6.8190999999999997</c:v>
                </c:pt>
                <c:pt idx="728">
                  <c:v>6.8188000000000004</c:v>
                </c:pt>
                <c:pt idx="729">
                  <c:v>6.8185000000000002</c:v>
                </c:pt>
                <c:pt idx="730">
                  <c:v>6.8182999999999998</c:v>
                </c:pt>
                <c:pt idx="731">
                  <c:v>6.8179999999999996</c:v>
                </c:pt>
                <c:pt idx="732">
                  <c:v>6.8177000000000003</c:v>
                </c:pt>
                <c:pt idx="733">
                  <c:v>6.8174000000000001</c:v>
                </c:pt>
                <c:pt idx="734">
                  <c:v>6.8170999999999999</c:v>
                </c:pt>
                <c:pt idx="735">
                  <c:v>6.8167999999999997</c:v>
                </c:pt>
                <c:pt idx="736">
                  <c:v>6.8164999999999996</c:v>
                </c:pt>
                <c:pt idx="737">
                  <c:v>6.8163</c:v>
                </c:pt>
                <c:pt idx="738">
                  <c:v>6.8159999999999998</c:v>
                </c:pt>
                <c:pt idx="739">
                  <c:v>6.8156999999999996</c:v>
                </c:pt>
                <c:pt idx="740">
                  <c:v>6.8154000000000003</c:v>
                </c:pt>
                <c:pt idx="741">
                  <c:v>6.8151000000000002</c:v>
                </c:pt>
                <c:pt idx="742">
                  <c:v>6.8148999999999997</c:v>
                </c:pt>
                <c:pt idx="743">
                  <c:v>6.8146000000000004</c:v>
                </c:pt>
                <c:pt idx="744">
                  <c:v>6.8143000000000002</c:v>
                </c:pt>
                <c:pt idx="745">
                  <c:v>6.8140000000000001</c:v>
                </c:pt>
                <c:pt idx="746">
                  <c:v>6.8136999999999999</c:v>
                </c:pt>
                <c:pt idx="747">
                  <c:v>6.8135000000000003</c:v>
                </c:pt>
                <c:pt idx="748">
                  <c:v>6.8132000000000001</c:v>
                </c:pt>
                <c:pt idx="749">
                  <c:v>6.8129</c:v>
                </c:pt>
                <c:pt idx="750">
                  <c:v>6.8125999999999998</c:v>
                </c:pt>
                <c:pt idx="751">
                  <c:v>6.8124000000000002</c:v>
                </c:pt>
                <c:pt idx="752">
                  <c:v>6.8121</c:v>
                </c:pt>
                <c:pt idx="753">
                  <c:v>6.8117999999999999</c:v>
                </c:pt>
                <c:pt idx="754">
                  <c:v>6.8114999999999997</c:v>
                </c:pt>
                <c:pt idx="755">
                  <c:v>6.8113000000000001</c:v>
                </c:pt>
                <c:pt idx="756">
                  <c:v>6.8109999999999999</c:v>
                </c:pt>
                <c:pt idx="757">
                  <c:v>6.8106999999999998</c:v>
                </c:pt>
                <c:pt idx="758">
                  <c:v>6.8103999999999996</c:v>
                </c:pt>
                <c:pt idx="759">
                  <c:v>6.8102</c:v>
                </c:pt>
                <c:pt idx="760">
                  <c:v>6.8098999999999998</c:v>
                </c:pt>
                <c:pt idx="761">
                  <c:v>6.8095999999999997</c:v>
                </c:pt>
                <c:pt idx="762">
                  <c:v>6.8094000000000001</c:v>
                </c:pt>
                <c:pt idx="763">
                  <c:v>6.8090999999999999</c:v>
                </c:pt>
                <c:pt idx="764">
                  <c:v>6.8087999999999997</c:v>
                </c:pt>
                <c:pt idx="765">
                  <c:v>6.8086000000000002</c:v>
                </c:pt>
                <c:pt idx="766">
                  <c:v>6.8083</c:v>
                </c:pt>
                <c:pt idx="767">
                  <c:v>6.8079999999999998</c:v>
                </c:pt>
                <c:pt idx="768">
                  <c:v>6.8078000000000003</c:v>
                </c:pt>
                <c:pt idx="769">
                  <c:v>6.8075000000000001</c:v>
                </c:pt>
                <c:pt idx="770">
                  <c:v>6.8071999999999999</c:v>
                </c:pt>
                <c:pt idx="771">
                  <c:v>6.8070000000000004</c:v>
                </c:pt>
                <c:pt idx="772">
                  <c:v>6.8067000000000002</c:v>
                </c:pt>
                <c:pt idx="773">
                  <c:v>6.8064</c:v>
                </c:pt>
                <c:pt idx="774">
                  <c:v>6.8061999999999996</c:v>
                </c:pt>
                <c:pt idx="775">
                  <c:v>6.8059000000000003</c:v>
                </c:pt>
                <c:pt idx="776">
                  <c:v>6.8056999999999999</c:v>
                </c:pt>
                <c:pt idx="777">
                  <c:v>6.8053999999999997</c:v>
                </c:pt>
                <c:pt idx="778">
                  <c:v>6.8051000000000004</c:v>
                </c:pt>
                <c:pt idx="779">
                  <c:v>6.8048999999999999</c:v>
                </c:pt>
                <c:pt idx="780">
                  <c:v>6.8045999999999998</c:v>
                </c:pt>
                <c:pt idx="781">
                  <c:v>6.8044000000000002</c:v>
                </c:pt>
                <c:pt idx="782">
                  <c:v>6.8041</c:v>
                </c:pt>
                <c:pt idx="783">
                  <c:v>6.8037999999999998</c:v>
                </c:pt>
                <c:pt idx="784">
                  <c:v>6.8036000000000003</c:v>
                </c:pt>
                <c:pt idx="785">
                  <c:v>6.8033000000000001</c:v>
                </c:pt>
                <c:pt idx="786">
                  <c:v>6.8030999999999997</c:v>
                </c:pt>
                <c:pt idx="787">
                  <c:v>6.8028000000000004</c:v>
                </c:pt>
                <c:pt idx="788">
                  <c:v>6.8026</c:v>
                </c:pt>
                <c:pt idx="789">
                  <c:v>6.8022999999999998</c:v>
                </c:pt>
                <c:pt idx="790">
                  <c:v>6.8021000000000003</c:v>
                </c:pt>
                <c:pt idx="791">
                  <c:v>6.8018000000000001</c:v>
                </c:pt>
                <c:pt idx="792">
                  <c:v>6.8015999999999996</c:v>
                </c:pt>
                <c:pt idx="793">
                  <c:v>6.8013000000000003</c:v>
                </c:pt>
                <c:pt idx="794">
                  <c:v>6.8010000000000002</c:v>
                </c:pt>
                <c:pt idx="795">
                  <c:v>6.8007999999999997</c:v>
                </c:pt>
                <c:pt idx="796">
                  <c:v>6.8005000000000004</c:v>
                </c:pt>
                <c:pt idx="797">
                  <c:v>6.8003</c:v>
                </c:pt>
                <c:pt idx="798">
                  <c:v>6.8</c:v>
                </c:pt>
                <c:pt idx="799">
                  <c:v>6.7998000000000003</c:v>
                </c:pt>
                <c:pt idx="800">
                  <c:v>6.7995999999999999</c:v>
                </c:pt>
                <c:pt idx="801">
                  <c:v>6.7992999999999997</c:v>
                </c:pt>
                <c:pt idx="802">
                  <c:v>6.7991000000000001</c:v>
                </c:pt>
                <c:pt idx="803">
                  <c:v>6.7988</c:v>
                </c:pt>
                <c:pt idx="804">
                  <c:v>6.7986000000000004</c:v>
                </c:pt>
                <c:pt idx="805">
                  <c:v>6.7983000000000002</c:v>
                </c:pt>
                <c:pt idx="806">
                  <c:v>6.7980999999999998</c:v>
                </c:pt>
                <c:pt idx="807">
                  <c:v>6.7977999999999996</c:v>
                </c:pt>
                <c:pt idx="808">
                  <c:v>6.7976000000000001</c:v>
                </c:pt>
                <c:pt idx="809">
                  <c:v>6.7972999999999999</c:v>
                </c:pt>
                <c:pt idx="810">
                  <c:v>6.7971000000000004</c:v>
                </c:pt>
                <c:pt idx="811">
                  <c:v>6.7968999999999999</c:v>
                </c:pt>
                <c:pt idx="812">
                  <c:v>6.7965999999999998</c:v>
                </c:pt>
                <c:pt idx="813">
                  <c:v>6.7964000000000002</c:v>
                </c:pt>
                <c:pt idx="814">
                  <c:v>6.7961</c:v>
                </c:pt>
                <c:pt idx="815">
                  <c:v>6.7958999999999996</c:v>
                </c:pt>
                <c:pt idx="816">
                  <c:v>6.7956000000000003</c:v>
                </c:pt>
                <c:pt idx="817">
                  <c:v>6.7953999999999999</c:v>
                </c:pt>
                <c:pt idx="818">
                  <c:v>6.7952000000000004</c:v>
                </c:pt>
                <c:pt idx="819">
                  <c:v>6.7949000000000002</c:v>
                </c:pt>
                <c:pt idx="820">
                  <c:v>6.7946999999999997</c:v>
                </c:pt>
                <c:pt idx="821">
                  <c:v>6.7945000000000002</c:v>
                </c:pt>
                <c:pt idx="822">
                  <c:v>6.7942</c:v>
                </c:pt>
                <c:pt idx="823">
                  <c:v>6.7939999999999996</c:v>
                </c:pt>
                <c:pt idx="824">
                  <c:v>6.7937000000000003</c:v>
                </c:pt>
                <c:pt idx="825">
                  <c:v>6.7934999999999999</c:v>
                </c:pt>
                <c:pt idx="826">
                  <c:v>6.7933000000000003</c:v>
                </c:pt>
                <c:pt idx="827">
                  <c:v>6.7930000000000001</c:v>
                </c:pt>
                <c:pt idx="828">
                  <c:v>6.7927999999999997</c:v>
                </c:pt>
                <c:pt idx="829">
                  <c:v>6.7926000000000002</c:v>
                </c:pt>
                <c:pt idx="830">
                  <c:v>6.7923</c:v>
                </c:pt>
                <c:pt idx="831">
                  <c:v>6.7920999999999996</c:v>
                </c:pt>
                <c:pt idx="832">
                  <c:v>6.7919</c:v>
                </c:pt>
                <c:pt idx="833">
                  <c:v>6.7915999999999999</c:v>
                </c:pt>
                <c:pt idx="834">
                  <c:v>6.7914000000000003</c:v>
                </c:pt>
                <c:pt idx="835">
                  <c:v>6.7911999999999999</c:v>
                </c:pt>
                <c:pt idx="836">
                  <c:v>6.7910000000000004</c:v>
                </c:pt>
                <c:pt idx="837">
                  <c:v>6.7907000000000002</c:v>
                </c:pt>
                <c:pt idx="838">
                  <c:v>6.7904999999999998</c:v>
                </c:pt>
                <c:pt idx="839">
                  <c:v>6.7903000000000002</c:v>
                </c:pt>
                <c:pt idx="840">
                  <c:v>6.79</c:v>
                </c:pt>
                <c:pt idx="841">
                  <c:v>6.7897999999999996</c:v>
                </c:pt>
                <c:pt idx="842">
                  <c:v>6.7896000000000001</c:v>
                </c:pt>
                <c:pt idx="843">
                  <c:v>6.7893999999999997</c:v>
                </c:pt>
                <c:pt idx="844">
                  <c:v>6.7891000000000004</c:v>
                </c:pt>
                <c:pt idx="845">
                  <c:v>6.7888999999999999</c:v>
                </c:pt>
                <c:pt idx="846">
                  <c:v>6.7887000000000004</c:v>
                </c:pt>
                <c:pt idx="847">
                  <c:v>6.7885</c:v>
                </c:pt>
                <c:pt idx="848">
                  <c:v>6.7881999999999998</c:v>
                </c:pt>
                <c:pt idx="849">
                  <c:v>6.7880000000000003</c:v>
                </c:pt>
                <c:pt idx="850">
                  <c:v>6.7877999999999998</c:v>
                </c:pt>
                <c:pt idx="851">
                  <c:v>6.7876000000000003</c:v>
                </c:pt>
                <c:pt idx="852">
                  <c:v>6.7873000000000001</c:v>
                </c:pt>
                <c:pt idx="853">
                  <c:v>6.7870999999999997</c:v>
                </c:pt>
                <c:pt idx="854">
                  <c:v>6.7869000000000002</c:v>
                </c:pt>
                <c:pt idx="855">
                  <c:v>6.7866999999999997</c:v>
                </c:pt>
                <c:pt idx="856">
                  <c:v>6.7865000000000002</c:v>
                </c:pt>
                <c:pt idx="857">
                  <c:v>6.7862</c:v>
                </c:pt>
                <c:pt idx="858">
                  <c:v>6.7859999999999996</c:v>
                </c:pt>
                <c:pt idx="859">
                  <c:v>6.7858000000000001</c:v>
                </c:pt>
                <c:pt idx="860">
                  <c:v>6.7855999999999996</c:v>
                </c:pt>
                <c:pt idx="861">
                  <c:v>6.7854000000000001</c:v>
                </c:pt>
                <c:pt idx="862">
                  <c:v>6.7851999999999997</c:v>
                </c:pt>
                <c:pt idx="863">
                  <c:v>6.7849000000000004</c:v>
                </c:pt>
                <c:pt idx="864">
                  <c:v>6.7847</c:v>
                </c:pt>
                <c:pt idx="865">
                  <c:v>6.7845000000000004</c:v>
                </c:pt>
                <c:pt idx="866">
                  <c:v>6.7843</c:v>
                </c:pt>
                <c:pt idx="867">
                  <c:v>6.7840999999999996</c:v>
                </c:pt>
                <c:pt idx="868">
                  <c:v>6.7839</c:v>
                </c:pt>
                <c:pt idx="869">
                  <c:v>6.7835999999999999</c:v>
                </c:pt>
                <c:pt idx="870">
                  <c:v>6.7834000000000003</c:v>
                </c:pt>
                <c:pt idx="871">
                  <c:v>6.7831999999999999</c:v>
                </c:pt>
                <c:pt idx="872">
                  <c:v>6.7830000000000004</c:v>
                </c:pt>
                <c:pt idx="873">
                  <c:v>6.7827999999999999</c:v>
                </c:pt>
                <c:pt idx="874">
                  <c:v>6.7826000000000004</c:v>
                </c:pt>
                <c:pt idx="875">
                  <c:v>6.7824</c:v>
                </c:pt>
                <c:pt idx="876">
                  <c:v>6.7821999999999996</c:v>
                </c:pt>
                <c:pt idx="877">
                  <c:v>6.782</c:v>
                </c:pt>
                <c:pt idx="878">
                  <c:v>6.7816999999999998</c:v>
                </c:pt>
                <c:pt idx="879">
                  <c:v>6.7815000000000003</c:v>
                </c:pt>
                <c:pt idx="880">
                  <c:v>6.7812999999999999</c:v>
                </c:pt>
                <c:pt idx="881">
                  <c:v>6.7811000000000003</c:v>
                </c:pt>
                <c:pt idx="882">
                  <c:v>6.7808999999999999</c:v>
                </c:pt>
                <c:pt idx="883">
                  <c:v>6.7807000000000004</c:v>
                </c:pt>
                <c:pt idx="884">
                  <c:v>6.7805</c:v>
                </c:pt>
                <c:pt idx="885">
                  <c:v>6.7803000000000004</c:v>
                </c:pt>
                <c:pt idx="886">
                  <c:v>6.7801</c:v>
                </c:pt>
                <c:pt idx="887">
                  <c:v>6.7798999999999996</c:v>
                </c:pt>
                <c:pt idx="888">
                  <c:v>6.7797000000000001</c:v>
                </c:pt>
                <c:pt idx="889">
                  <c:v>6.7794999999999996</c:v>
                </c:pt>
                <c:pt idx="890">
                  <c:v>6.7793000000000001</c:v>
                </c:pt>
                <c:pt idx="891">
                  <c:v>6.7790999999999997</c:v>
                </c:pt>
                <c:pt idx="892">
                  <c:v>6.7789000000000001</c:v>
                </c:pt>
                <c:pt idx="893">
                  <c:v>6.7786999999999997</c:v>
                </c:pt>
                <c:pt idx="894">
                  <c:v>6.7784000000000004</c:v>
                </c:pt>
                <c:pt idx="895">
                  <c:v>6.7782</c:v>
                </c:pt>
                <c:pt idx="896">
                  <c:v>6.7779999999999996</c:v>
                </c:pt>
                <c:pt idx="897">
                  <c:v>6.7778</c:v>
                </c:pt>
                <c:pt idx="898">
                  <c:v>6.7775999999999996</c:v>
                </c:pt>
                <c:pt idx="899">
                  <c:v>6.7774000000000001</c:v>
                </c:pt>
                <c:pt idx="900">
                  <c:v>6.7771999999999997</c:v>
                </c:pt>
                <c:pt idx="901">
                  <c:v>6.7770000000000001</c:v>
                </c:pt>
                <c:pt idx="902">
                  <c:v>6.7767999999999997</c:v>
                </c:pt>
                <c:pt idx="903">
                  <c:v>6.7766000000000002</c:v>
                </c:pt>
                <c:pt idx="904">
                  <c:v>6.7765000000000004</c:v>
                </c:pt>
                <c:pt idx="905">
                  <c:v>6.7763</c:v>
                </c:pt>
                <c:pt idx="906">
                  <c:v>6.7760999999999996</c:v>
                </c:pt>
                <c:pt idx="907">
                  <c:v>6.7759</c:v>
                </c:pt>
                <c:pt idx="908">
                  <c:v>6.7756999999999996</c:v>
                </c:pt>
                <c:pt idx="909">
                  <c:v>6.7755000000000001</c:v>
                </c:pt>
                <c:pt idx="910">
                  <c:v>6.7752999999999997</c:v>
                </c:pt>
                <c:pt idx="911">
                  <c:v>6.7751000000000001</c:v>
                </c:pt>
                <c:pt idx="912">
                  <c:v>6.7748999999999997</c:v>
                </c:pt>
                <c:pt idx="913">
                  <c:v>6.7747000000000002</c:v>
                </c:pt>
                <c:pt idx="914">
                  <c:v>6.7744999999999997</c:v>
                </c:pt>
                <c:pt idx="915">
                  <c:v>6.7743000000000002</c:v>
                </c:pt>
                <c:pt idx="916">
                  <c:v>6.7740999999999998</c:v>
                </c:pt>
                <c:pt idx="917">
                  <c:v>6.7739000000000003</c:v>
                </c:pt>
                <c:pt idx="918">
                  <c:v>6.7736999999999998</c:v>
                </c:pt>
                <c:pt idx="919">
                  <c:v>6.7735000000000003</c:v>
                </c:pt>
                <c:pt idx="920">
                  <c:v>6.7732999999999999</c:v>
                </c:pt>
                <c:pt idx="921">
                  <c:v>6.7732000000000001</c:v>
                </c:pt>
                <c:pt idx="922">
                  <c:v>6.7729999999999997</c:v>
                </c:pt>
                <c:pt idx="923">
                  <c:v>6.7728000000000002</c:v>
                </c:pt>
                <c:pt idx="924">
                  <c:v>6.7725999999999997</c:v>
                </c:pt>
                <c:pt idx="925">
                  <c:v>6.7724000000000002</c:v>
                </c:pt>
                <c:pt idx="926">
                  <c:v>6.7721999999999998</c:v>
                </c:pt>
                <c:pt idx="927">
                  <c:v>6.7720000000000002</c:v>
                </c:pt>
                <c:pt idx="928">
                  <c:v>6.7717999999999998</c:v>
                </c:pt>
                <c:pt idx="929">
                  <c:v>6.7716000000000003</c:v>
                </c:pt>
                <c:pt idx="930">
                  <c:v>6.7714999999999996</c:v>
                </c:pt>
                <c:pt idx="931">
                  <c:v>6.7713000000000001</c:v>
                </c:pt>
                <c:pt idx="932">
                  <c:v>6.7710999999999997</c:v>
                </c:pt>
                <c:pt idx="933">
                  <c:v>6.7709000000000001</c:v>
                </c:pt>
                <c:pt idx="934">
                  <c:v>6.7706999999999997</c:v>
                </c:pt>
                <c:pt idx="935">
                  <c:v>6.7705000000000002</c:v>
                </c:pt>
                <c:pt idx="936">
                  <c:v>6.7704000000000004</c:v>
                </c:pt>
                <c:pt idx="937">
                  <c:v>6.7702</c:v>
                </c:pt>
                <c:pt idx="938">
                  <c:v>6.77</c:v>
                </c:pt>
                <c:pt idx="939">
                  <c:v>6.7698</c:v>
                </c:pt>
                <c:pt idx="940">
                  <c:v>6.7695999999999996</c:v>
                </c:pt>
                <c:pt idx="941">
                  <c:v>6.7694000000000001</c:v>
                </c:pt>
                <c:pt idx="942">
                  <c:v>6.7693000000000003</c:v>
                </c:pt>
                <c:pt idx="943">
                  <c:v>6.7690999999999999</c:v>
                </c:pt>
                <c:pt idx="944">
                  <c:v>6.7689000000000004</c:v>
                </c:pt>
                <c:pt idx="945">
                  <c:v>6.7686999999999999</c:v>
                </c:pt>
                <c:pt idx="946">
                  <c:v>6.7685000000000004</c:v>
                </c:pt>
                <c:pt idx="947">
                  <c:v>6.7683999999999997</c:v>
                </c:pt>
                <c:pt idx="948">
                  <c:v>6.7682000000000002</c:v>
                </c:pt>
                <c:pt idx="949">
                  <c:v>6.7679999999999998</c:v>
                </c:pt>
                <c:pt idx="950">
                  <c:v>6.7678000000000003</c:v>
                </c:pt>
                <c:pt idx="951">
                  <c:v>6.7675999999999998</c:v>
                </c:pt>
                <c:pt idx="952">
                  <c:v>6.7675000000000001</c:v>
                </c:pt>
                <c:pt idx="953">
                  <c:v>6.7672999999999996</c:v>
                </c:pt>
                <c:pt idx="954">
                  <c:v>6.7671000000000001</c:v>
                </c:pt>
                <c:pt idx="955">
                  <c:v>6.7668999999999997</c:v>
                </c:pt>
                <c:pt idx="956">
                  <c:v>6.7667999999999999</c:v>
                </c:pt>
                <c:pt idx="957">
                  <c:v>6.7666000000000004</c:v>
                </c:pt>
                <c:pt idx="958">
                  <c:v>6.7664</c:v>
                </c:pt>
                <c:pt idx="959">
                  <c:v>6.7662000000000004</c:v>
                </c:pt>
                <c:pt idx="960">
                  <c:v>6.7660999999999998</c:v>
                </c:pt>
                <c:pt idx="961">
                  <c:v>6.7659000000000002</c:v>
                </c:pt>
                <c:pt idx="962">
                  <c:v>6.7656999999999998</c:v>
                </c:pt>
                <c:pt idx="963">
                  <c:v>6.7655000000000003</c:v>
                </c:pt>
                <c:pt idx="964">
                  <c:v>6.7653999999999996</c:v>
                </c:pt>
                <c:pt idx="965">
                  <c:v>6.7652000000000001</c:v>
                </c:pt>
                <c:pt idx="966">
                  <c:v>6.7649999999999997</c:v>
                </c:pt>
                <c:pt idx="967">
                  <c:v>6.7648999999999999</c:v>
                </c:pt>
                <c:pt idx="968">
                  <c:v>6.7647000000000004</c:v>
                </c:pt>
                <c:pt idx="969">
                  <c:v>6.7645</c:v>
                </c:pt>
                <c:pt idx="970">
                  <c:v>6.7643000000000004</c:v>
                </c:pt>
                <c:pt idx="971">
                  <c:v>6.7641999999999998</c:v>
                </c:pt>
                <c:pt idx="972">
                  <c:v>6.7640000000000002</c:v>
                </c:pt>
                <c:pt idx="973">
                  <c:v>6.7637999999999998</c:v>
                </c:pt>
                <c:pt idx="974">
                  <c:v>6.7637</c:v>
                </c:pt>
                <c:pt idx="975">
                  <c:v>6.7634999999999996</c:v>
                </c:pt>
                <c:pt idx="976">
                  <c:v>6.7633000000000001</c:v>
                </c:pt>
                <c:pt idx="977">
                  <c:v>6.7632000000000003</c:v>
                </c:pt>
                <c:pt idx="978">
                  <c:v>6.7629999999999999</c:v>
                </c:pt>
                <c:pt idx="979">
                  <c:v>6.7628000000000004</c:v>
                </c:pt>
                <c:pt idx="980">
                  <c:v>6.7626999999999997</c:v>
                </c:pt>
                <c:pt idx="981">
                  <c:v>6.7625000000000002</c:v>
                </c:pt>
                <c:pt idx="982">
                  <c:v>6.7622999999999998</c:v>
                </c:pt>
                <c:pt idx="983">
                  <c:v>6.7622</c:v>
                </c:pt>
                <c:pt idx="984">
                  <c:v>6.7619999999999996</c:v>
                </c:pt>
                <c:pt idx="985">
                  <c:v>6.7618</c:v>
                </c:pt>
                <c:pt idx="986">
                  <c:v>6.7617000000000003</c:v>
                </c:pt>
                <c:pt idx="987">
                  <c:v>6.7614999999999998</c:v>
                </c:pt>
                <c:pt idx="988">
                  <c:v>6.7613000000000003</c:v>
                </c:pt>
                <c:pt idx="989">
                  <c:v>6.7611999999999997</c:v>
                </c:pt>
                <c:pt idx="990">
                  <c:v>6.7610000000000001</c:v>
                </c:pt>
                <c:pt idx="991">
                  <c:v>6.7609000000000004</c:v>
                </c:pt>
                <c:pt idx="992">
                  <c:v>6.7606999999999999</c:v>
                </c:pt>
                <c:pt idx="993">
                  <c:v>6.7605000000000004</c:v>
                </c:pt>
                <c:pt idx="994">
                  <c:v>6.7603999999999997</c:v>
                </c:pt>
                <c:pt idx="995">
                  <c:v>6.7602000000000002</c:v>
                </c:pt>
                <c:pt idx="996">
                  <c:v>6.7601000000000004</c:v>
                </c:pt>
                <c:pt idx="997">
                  <c:v>6.7599</c:v>
                </c:pt>
                <c:pt idx="998">
                  <c:v>6.7596999999999996</c:v>
                </c:pt>
                <c:pt idx="999">
                  <c:v>6.7595999999999998</c:v>
                </c:pt>
                <c:pt idx="1000">
                  <c:v>6.7594000000000003</c:v>
                </c:pt>
                <c:pt idx="1001">
                  <c:v>6.7592999999999996</c:v>
                </c:pt>
                <c:pt idx="1002">
                  <c:v>6.7591000000000001</c:v>
                </c:pt>
                <c:pt idx="1003">
                  <c:v>6.7588999999999997</c:v>
                </c:pt>
                <c:pt idx="1004">
                  <c:v>6.7587999999999999</c:v>
                </c:pt>
                <c:pt idx="1005">
                  <c:v>6.7586000000000004</c:v>
                </c:pt>
                <c:pt idx="1006">
                  <c:v>6.7584999999999997</c:v>
                </c:pt>
                <c:pt idx="1007">
                  <c:v>6.7583000000000002</c:v>
                </c:pt>
                <c:pt idx="1008">
                  <c:v>6.7582000000000004</c:v>
                </c:pt>
                <c:pt idx="1009">
                  <c:v>6.758</c:v>
                </c:pt>
                <c:pt idx="1010">
                  <c:v>6.7579000000000002</c:v>
                </c:pt>
                <c:pt idx="1011">
                  <c:v>6.7576999999999998</c:v>
                </c:pt>
                <c:pt idx="1012">
                  <c:v>6.7575000000000003</c:v>
                </c:pt>
                <c:pt idx="1013">
                  <c:v>6.7573999999999996</c:v>
                </c:pt>
                <c:pt idx="1014">
                  <c:v>6.7572000000000001</c:v>
                </c:pt>
                <c:pt idx="1015">
                  <c:v>6.7571000000000003</c:v>
                </c:pt>
                <c:pt idx="1016">
                  <c:v>6.7568999999999999</c:v>
                </c:pt>
                <c:pt idx="1017">
                  <c:v>6.7568000000000001</c:v>
                </c:pt>
                <c:pt idx="1018">
                  <c:v>6.7565999999999997</c:v>
                </c:pt>
                <c:pt idx="1019">
                  <c:v>6.7565</c:v>
                </c:pt>
                <c:pt idx="1020">
                  <c:v>6.7563000000000004</c:v>
                </c:pt>
                <c:pt idx="1021">
                  <c:v>6.7561999999999998</c:v>
                </c:pt>
                <c:pt idx="1022">
                  <c:v>6.7560000000000002</c:v>
                </c:pt>
                <c:pt idx="1023">
                  <c:v>6.7558999999999996</c:v>
                </c:pt>
                <c:pt idx="1024">
                  <c:v>6.7557</c:v>
                </c:pt>
                <c:pt idx="1025">
                  <c:v>6.7556000000000003</c:v>
                </c:pt>
                <c:pt idx="1026">
                  <c:v>6.7553999999999998</c:v>
                </c:pt>
                <c:pt idx="1027">
                  <c:v>6.7553000000000001</c:v>
                </c:pt>
                <c:pt idx="1028">
                  <c:v>6.7550999999999997</c:v>
                </c:pt>
                <c:pt idx="1029">
                  <c:v>6.7549999999999999</c:v>
                </c:pt>
                <c:pt idx="1030">
                  <c:v>6.7548000000000004</c:v>
                </c:pt>
                <c:pt idx="1031">
                  <c:v>6.7546999999999997</c:v>
                </c:pt>
                <c:pt idx="1032">
                  <c:v>6.7545000000000002</c:v>
                </c:pt>
                <c:pt idx="1033">
                  <c:v>6.7544000000000004</c:v>
                </c:pt>
                <c:pt idx="1034">
                  <c:v>6.7542999999999997</c:v>
                </c:pt>
                <c:pt idx="1035">
                  <c:v>6.7541000000000002</c:v>
                </c:pt>
                <c:pt idx="1036">
                  <c:v>6.7539999999999996</c:v>
                </c:pt>
                <c:pt idx="1037">
                  <c:v>6.7538</c:v>
                </c:pt>
                <c:pt idx="1038">
                  <c:v>6.7537000000000003</c:v>
                </c:pt>
                <c:pt idx="1039">
                  <c:v>6.7534999999999998</c:v>
                </c:pt>
                <c:pt idx="1040">
                  <c:v>6.7534000000000001</c:v>
                </c:pt>
                <c:pt idx="1041">
                  <c:v>6.7531999999999996</c:v>
                </c:pt>
                <c:pt idx="1042">
                  <c:v>6.7530999999999999</c:v>
                </c:pt>
                <c:pt idx="1043">
                  <c:v>6.7530000000000001</c:v>
                </c:pt>
                <c:pt idx="1044">
                  <c:v>6.7527999999999997</c:v>
                </c:pt>
                <c:pt idx="1045">
                  <c:v>6.7526999999999999</c:v>
                </c:pt>
                <c:pt idx="1046">
                  <c:v>6.7525000000000004</c:v>
                </c:pt>
                <c:pt idx="1047">
                  <c:v>6.7523999999999997</c:v>
                </c:pt>
                <c:pt idx="1048">
                  <c:v>6.7522000000000002</c:v>
                </c:pt>
                <c:pt idx="1049">
                  <c:v>6.7521000000000004</c:v>
                </c:pt>
                <c:pt idx="1050">
                  <c:v>6.7519999999999998</c:v>
                </c:pt>
                <c:pt idx="1051">
                  <c:v>6.7518000000000002</c:v>
                </c:pt>
                <c:pt idx="1052">
                  <c:v>6.7516999999999996</c:v>
                </c:pt>
                <c:pt idx="1053">
                  <c:v>6.7515000000000001</c:v>
                </c:pt>
                <c:pt idx="1054">
                  <c:v>6.7514000000000003</c:v>
                </c:pt>
                <c:pt idx="1055">
                  <c:v>6.7512999999999996</c:v>
                </c:pt>
                <c:pt idx="1056">
                  <c:v>6.7511000000000001</c:v>
                </c:pt>
                <c:pt idx="1057">
                  <c:v>6.7510000000000003</c:v>
                </c:pt>
                <c:pt idx="1058">
                  <c:v>6.7508999999999997</c:v>
                </c:pt>
                <c:pt idx="1059">
                  <c:v>6.7507000000000001</c:v>
                </c:pt>
                <c:pt idx="1060">
                  <c:v>6.7506000000000004</c:v>
                </c:pt>
                <c:pt idx="1061">
                  <c:v>6.7504</c:v>
                </c:pt>
                <c:pt idx="1062">
                  <c:v>6.7503000000000002</c:v>
                </c:pt>
                <c:pt idx="1063">
                  <c:v>6.7502000000000004</c:v>
                </c:pt>
                <c:pt idx="1064">
                  <c:v>6.75</c:v>
                </c:pt>
                <c:pt idx="1065">
                  <c:v>6.7499000000000002</c:v>
                </c:pt>
                <c:pt idx="1066">
                  <c:v>6.7497999999999996</c:v>
                </c:pt>
                <c:pt idx="1067">
                  <c:v>6.7496</c:v>
                </c:pt>
                <c:pt idx="1068">
                  <c:v>6.7495000000000003</c:v>
                </c:pt>
                <c:pt idx="1069">
                  <c:v>6.7493999999999996</c:v>
                </c:pt>
                <c:pt idx="1070">
                  <c:v>6.7492000000000001</c:v>
                </c:pt>
                <c:pt idx="1071">
                  <c:v>6.7491000000000003</c:v>
                </c:pt>
                <c:pt idx="1072">
                  <c:v>6.7489999999999997</c:v>
                </c:pt>
                <c:pt idx="1073">
                  <c:v>6.7488000000000001</c:v>
                </c:pt>
                <c:pt idx="1074">
                  <c:v>6.7487000000000004</c:v>
                </c:pt>
                <c:pt idx="1075">
                  <c:v>6.7485999999999997</c:v>
                </c:pt>
                <c:pt idx="1076">
                  <c:v>6.7484000000000002</c:v>
                </c:pt>
                <c:pt idx="1077">
                  <c:v>6.7483000000000004</c:v>
                </c:pt>
                <c:pt idx="1078">
                  <c:v>6.7481999999999998</c:v>
                </c:pt>
                <c:pt idx="1079">
                  <c:v>6.7480000000000002</c:v>
                </c:pt>
                <c:pt idx="1080">
                  <c:v>6.7478999999999996</c:v>
                </c:pt>
                <c:pt idx="1081">
                  <c:v>6.7477999999999998</c:v>
                </c:pt>
                <c:pt idx="1082">
                  <c:v>6.7477</c:v>
                </c:pt>
                <c:pt idx="1083">
                  <c:v>6.7474999999999996</c:v>
                </c:pt>
                <c:pt idx="1084">
                  <c:v>6.7473999999999998</c:v>
                </c:pt>
                <c:pt idx="1085">
                  <c:v>6.7473000000000001</c:v>
                </c:pt>
                <c:pt idx="1086">
                  <c:v>6.7470999999999997</c:v>
                </c:pt>
                <c:pt idx="1087">
                  <c:v>6.7469999999999999</c:v>
                </c:pt>
                <c:pt idx="1088">
                  <c:v>6.7469000000000001</c:v>
                </c:pt>
                <c:pt idx="1089">
                  <c:v>6.7468000000000004</c:v>
                </c:pt>
                <c:pt idx="1090">
                  <c:v>6.7465999999999999</c:v>
                </c:pt>
                <c:pt idx="1091">
                  <c:v>6.7465000000000002</c:v>
                </c:pt>
                <c:pt idx="1092">
                  <c:v>6.7464000000000004</c:v>
                </c:pt>
                <c:pt idx="1093">
                  <c:v>6.7462</c:v>
                </c:pt>
                <c:pt idx="1094">
                  <c:v>6.7461000000000002</c:v>
                </c:pt>
                <c:pt idx="1095">
                  <c:v>6.7460000000000004</c:v>
                </c:pt>
                <c:pt idx="1096">
                  <c:v>6.7458999999999998</c:v>
                </c:pt>
                <c:pt idx="1097">
                  <c:v>6.7457000000000003</c:v>
                </c:pt>
                <c:pt idx="1098">
                  <c:v>6.7455999999999996</c:v>
                </c:pt>
                <c:pt idx="1099">
                  <c:v>6.7454999999999998</c:v>
                </c:pt>
                <c:pt idx="1100">
                  <c:v>6.7454000000000001</c:v>
                </c:pt>
                <c:pt idx="1101">
                  <c:v>6.7453000000000003</c:v>
                </c:pt>
                <c:pt idx="1102">
                  <c:v>6.7450999999999999</c:v>
                </c:pt>
                <c:pt idx="1103">
                  <c:v>6.7450000000000001</c:v>
                </c:pt>
                <c:pt idx="1104">
                  <c:v>6.7449000000000003</c:v>
                </c:pt>
                <c:pt idx="1105">
                  <c:v>6.7447999999999997</c:v>
                </c:pt>
                <c:pt idx="1106">
                  <c:v>6.7446000000000002</c:v>
                </c:pt>
                <c:pt idx="1107">
                  <c:v>6.7445000000000004</c:v>
                </c:pt>
                <c:pt idx="1108">
                  <c:v>6.7443999999999997</c:v>
                </c:pt>
                <c:pt idx="1109">
                  <c:v>6.7443</c:v>
                </c:pt>
                <c:pt idx="1110">
                  <c:v>6.7442000000000002</c:v>
                </c:pt>
                <c:pt idx="1111">
                  <c:v>6.7439999999999998</c:v>
                </c:pt>
                <c:pt idx="1112">
                  <c:v>6.7439</c:v>
                </c:pt>
                <c:pt idx="1113">
                  <c:v>6.7438000000000002</c:v>
                </c:pt>
                <c:pt idx="1114">
                  <c:v>6.7436999999999996</c:v>
                </c:pt>
                <c:pt idx="1115">
                  <c:v>6.7435999999999998</c:v>
                </c:pt>
                <c:pt idx="1116">
                  <c:v>6.7434000000000003</c:v>
                </c:pt>
                <c:pt idx="1117">
                  <c:v>6.7432999999999996</c:v>
                </c:pt>
                <c:pt idx="1118">
                  <c:v>6.7431999999999999</c:v>
                </c:pt>
                <c:pt idx="1119">
                  <c:v>6.7431000000000001</c:v>
                </c:pt>
                <c:pt idx="1120">
                  <c:v>6.7430000000000003</c:v>
                </c:pt>
                <c:pt idx="1121">
                  <c:v>6.7427999999999999</c:v>
                </c:pt>
                <c:pt idx="1122">
                  <c:v>6.7427000000000001</c:v>
                </c:pt>
                <c:pt idx="1123">
                  <c:v>6.7426000000000004</c:v>
                </c:pt>
                <c:pt idx="1124">
                  <c:v>6.7424999999999997</c:v>
                </c:pt>
                <c:pt idx="1125">
                  <c:v>6.7423999999999999</c:v>
                </c:pt>
                <c:pt idx="1126">
                  <c:v>6.7423000000000002</c:v>
                </c:pt>
                <c:pt idx="1127">
                  <c:v>6.7420999999999998</c:v>
                </c:pt>
                <c:pt idx="1128">
                  <c:v>6.742</c:v>
                </c:pt>
                <c:pt idx="1129">
                  <c:v>6.7419000000000002</c:v>
                </c:pt>
                <c:pt idx="1130">
                  <c:v>6.7417999999999996</c:v>
                </c:pt>
                <c:pt idx="1131">
                  <c:v>6.7416999999999998</c:v>
                </c:pt>
                <c:pt idx="1132">
                  <c:v>6.7416</c:v>
                </c:pt>
                <c:pt idx="1133">
                  <c:v>6.7415000000000003</c:v>
                </c:pt>
                <c:pt idx="1134">
                  <c:v>6.7412999999999998</c:v>
                </c:pt>
                <c:pt idx="1135">
                  <c:v>6.7412000000000001</c:v>
                </c:pt>
                <c:pt idx="1136">
                  <c:v>6.7411000000000003</c:v>
                </c:pt>
                <c:pt idx="1137">
                  <c:v>6.7409999999999997</c:v>
                </c:pt>
                <c:pt idx="1138">
                  <c:v>6.7408999999999999</c:v>
                </c:pt>
                <c:pt idx="1139">
                  <c:v>6.7408000000000001</c:v>
                </c:pt>
                <c:pt idx="1140">
                  <c:v>6.7407000000000004</c:v>
                </c:pt>
                <c:pt idx="1141">
                  <c:v>6.7405999999999997</c:v>
                </c:pt>
                <c:pt idx="1142">
                  <c:v>6.7404000000000002</c:v>
                </c:pt>
                <c:pt idx="1143">
                  <c:v>6.7403000000000004</c:v>
                </c:pt>
                <c:pt idx="1144">
                  <c:v>6.7401999999999997</c:v>
                </c:pt>
                <c:pt idx="1145">
                  <c:v>6.7401</c:v>
                </c:pt>
                <c:pt idx="1146">
                  <c:v>6.74</c:v>
                </c:pt>
                <c:pt idx="1147">
                  <c:v>6.7398999999999996</c:v>
                </c:pt>
                <c:pt idx="1148">
                  <c:v>6.7397999999999998</c:v>
                </c:pt>
                <c:pt idx="1149">
                  <c:v>6.7397</c:v>
                </c:pt>
                <c:pt idx="1150">
                  <c:v>6.7396000000000003</c:v>
                </c:pt>
                <c:pt idx="1151">
                  <c:v>6.7394999999999996</c:v>
                </c:pt>
                <c:pt idx="1152">
                  <c:v>6.7393999999999998</c:v>
                </c:pt>
                <c:pt idx="1153">
                  <c:v>6.7392000000000003</c:v>
                </c:pt>
                <c:pt idx="1154">
                  <c:v>6.7390999999999996</c:v>
                </c:pt>
                <c:pt idx="1155">
                  <c:v>6.7389999999999999</c:v>
                </c:pt>
                <c:pt idx="1156">
                  <c:v>6.7389000000000001</c:v>
                </c:pt>
                <c:pt idx="1157">
                  <c:v>6.7388000000000003</c:v>
                </c:pt>
                <c:pt idx="1158">
                  <c:v>6.7386999999999997</c:v>
                </c:pt>
                <c:pt idx="1159">
                  <c:v>6.7385999999999999</c:v>
                </c:pt>
                <c:pt idx="1160">
                  <c:v>6.7385000000000002</c:v>
                </c:pt>
                <c:pt idx="1161">
                  <c:v>6.7384000000000004</c:v>
                </c:pt>
                <c:pt idx="1162">
                  <c:v>6.7382999999999997</c:v>
                </c:pt>
                <c:pt idx="1163">
                  <c:v>6.7382</c:v>
                </c:pt>
                <c:pt idx="1164">
                  <c:v>6.7381000000000002</c:v>
                </c:pt>
                <c:pt idx="1165">
                  <c:v>6.7380000000000004</c:v>
                </c:pt>
                <c:pt idx="1166">
                  <c:v>6.7378999999999998</c:v>
                </c:pt>
                <c:pt idx="1167">
                  <c:v>6.7378</c:v>
                </c:pt>
                <c:pt idx="1168">
                  <c:v>6.7377000000000002</c:v>
                </c:pt>
                <c:pt idx="1169">
                  <c:v>6.7375999999999996</c:v>
                </c:pt>
                <c:pt idx="1170">
                  <c:v>6.7374000000000001</c:v>
                </c:pt>
                <c:pt idx="1171">
                  <c:v>6.7373000000000003</c:v>
                </c:pt>
                <c:pt idx="1172">
                  <c:v>6.7371999999999996</c:v>
                </c:pt>
                <c:pt idx="1173">
                  <c:v>6.7370999999999999</c:v>
                </c:pt>
                <c:pt idx="1174">
                  <c:v>6.7370000000000001</c:v>
                </c:pt>
                <c:pt idx="1175">
                  <c:v>6.7369000000000003</c:v>
                </c:pt>
                <c:pt idx="1176">
                  <c:v>6.7367999999999997</c:v>
                </c:pt>
                <c:pt idx="1177">
                  <c:v>6.7366999999999999</c:v>
                </c:pt>
                <c:pt idx="1178">
                  <c:v>6.7366000000000001</c:v>
                </c:pt>
                <c:pt idx="1179">
                  <c:v>6.7365000000000004</c:v>
                </c:pt>
                <c:pt idx="1180">
                  <c:v>6.7363999999999997</c:v>
                </c:pt>
                <c:pt idx="1181">
                  <c:v>6.7363</c:v>
                </c:pt>
                <c:pt idx="1182">
                  <c:v>6.7362000000000002</c:v>
                </c:pt>
                <c:pt idx="1183">
                  <c:v>6.7361000000000004</c:v>
                </c:pt>
                <c:pt idx="1184">
                  <c:v>6.7359999999999998</c:v>
                </c:pt>
                <c:pt idx="1185">
                  <c:v>6.7359</c:v>
                </c:pt>
                <c:pt idx="1186">
                  <c:v>6.7358000000000002</c:v>
                </c:pt>
                <c:pt idx="1187">
                  <c:v>6.7356999999999996</c:v>
                </c:pt>
                <c:pt idx="1188">
                  <c:v>6.7355999999999998</c:v>
                </c:pt>
                <c:pt idx="1189">
                  <c:v>6.7355</c:v>
                </c:pt>
                <c:pt idx="1190">
                  <c:v>6.7354000000000003</c:v>
                </c:pt>
                <c:pt idx="1191">
                  <c:v>6.7352999999999996</c:v>
                </c:pt>
                <c:pt idx="1192">
                  <c:v>6.7351999999999999</c:v>
                </c:pt>
                <c:pt idx="1193">
                  <c:v>6.7351000000000001</c:v>
                </c:pt>
                <c:pt idx="1194">
                  <c:v>6.7350000000000003</c:v>
                </c:pt>
                <c:pt idx="1195">
                  <c:v>6.7350000000000003</c:v>
                </c:pt>
                <c:pt idx="1196">
                  <c:v>6.7348999999999997</c:v>
                </c:pt>
                <c:pt idx="1197">
                  <c:v>6.7347999999999999</c:v>
                </c:pt>
                <c:pt idx="1198">
                  <c:v>6.7347000000000001</c:v>
                </c:pt>
                <c:pt idx="1199">
                  <c:v>6.7346000000000004</c:v>
                </c:pt>
                <c:pt idx="1200">
                  <c:v>6.7344999999999997</c:v>
                </c:pt>
                <c:pt idx="1201">
                  <c:v>6.7343999999999999</c:v>
                </c:pt>
                <c:pt idx="1202">
                  <c:v>6.7343000000000002</c:v>
                </c:pt>
                <c:pt idx="1203">
                  <c:v>6.7342000000000004</c:v>
                </c:pt>
                <c:pt idx="1204">
                  <c:v>6.7340999999999998</c:v>
                </c:pt>
                <c:pt idx="1205">
                  <c:v>6.734</c:v>
                </c:pt>
                <c:pt idx="1206">
                  <c:v>6.7339000000000002</c:v>
                </c:pt>
                <c:pt idx="1207">
                  <c:v>6.7337999999999996</c:v>
                </c:pt>
                <c:pt idx="1208">
                  <c:v>6.7336999999999998</c:v>
                </c:pt>
                <c:pt idx="1209">
                  <c:v>6.7336</c:v>
                </c:pt>
                <c:pt idx="1210">
                  <c:v>6.7335000000000003</c:v>
                </c:pt>
                <c:pt idx="1211">
                  <c:v>6.7333999999999996</c:v>
                </c:pt>
                <c:pt idx="1212">
                  <c:v>6.7332999999999998</c:v>
                </c:pt>
                <c:pt idx="1213">
                  <c:v>6.7332999999999998</c:v>
                </c:pt>
                <c:pt idx="1214">
                  <c:v>6.7332000000000001</c:v>
                </c:pt>
                <c:pt idx="1215">
                  <c:v>6.7331000000000003</c:v>
                </c:pt>
                <c:pt idx="1216">
                  <c:v>6.7329999999999997</c:v>
                </c:pt>
                <c:pt idx="1217">
                  <c:v>6.7328999999999999</c:v>
                </c:pt>
                <c:pt idx="1218">
                  <c:v>6.7328000000000001</c:v>
                </c:pt>
                <c:pt idx="1219">
                  <c:v>6.7327000000000004</c:v>
                </c:pt>
                <c:pt idx="1220">
                  <c:v>6.7325999999999997</c:v>
                </c:pt>
                <c:pt idx="1221">
                  <c:v>6.7324999999999999</c:v>
                </c:pt>
                <c:pt idx="1222">
                  <c:v>6.7324000000000002</c:v>
                </c:pt>
                <c:pt idx="1223">
                  <c:v>6.7323000000000004</c:v>
                </c:pt>
                <c:pt idx="1224">
                  <c:v>6.7323000000000004</c:v>
                </c:pt>
                <c:pt idx="1225">
                  <c:v>6.7321999999999997</c:v>
                </c:pt>
                <c:pt idx="1226">
                  <c:v>6.7321</c:v>
                </c:pt>
                <c:pt idx="1227">
                  <c:v>6.7320000000000002</c:v>
                </c:pt>
                <c:pt idx="1228">
                  <c:v>6.7319000000000004</c:v>
                </c:pt>
                <c:pt idx="1229">
                  <c:v>6.7317999999999998</c:v>
                </c:pt>
                <c:pt idx="1230">
                  <c:v>6.7317</c:v>
                </c:pt>
                <c:pt idx="1231">
                  <c:v>6.7316000000000003</c:v>
                </c:pt>
                <c:pt idx="1232">
                  <c:v>6.7314999999999996</c:v>
                </c:pt>
                <c:pt idx="1233">
                  <c:v>6.7314999999999996</c:v>
                </c:pt>
                <c:pt idx="1234">
                  <c:v>6.7313999999999998</c:v>
                </c:pt>
                <c:pt idx="1235">
                  <c:v>6.7313000000000001</c:v>
                </c:pt>
                <c:pt idx="1236">
                  <c:v>6.7312000000000003</c:v>
                </c:pt>
                <c:pt idx="1237">
                  <c:v>6.7310999999999996</c:v>
                </c:pt>
                <c:pt idx="1238">
                  <c:v>6.7309999999999999</c:v>
                </c:pt>
                <c:pt idx="1239">
                  <c:v>6.7309000000000001</c:v>
                </c:pt>
                <c:pt idx="1240">
                  <c:v>6.7309000000000001</c:v>
                </c:pt>
                <c:pt idx="1241">
                  <c:v>6.7308000000000003</c:v>
                </c:pt>
                <c:pt idx="1242">
                  <c:v>6.7306999999999997</c:v>
                </c:pt>
                <c:pt idx="1243">
                  <c:v>6.7305999999999999</c:v>
                </c:pt>
                <c:pt idx="1244">
                  <c:v>6.7305000000000001</c:v>
                </c:pt>
                <c:pt idx="1245">
                  <c:v>6.7304000000000004</c:v>
                </c:pt>
                <c:pt idx="1246">
                  <c:v>6.7304000000000004</c:v>
                </c:pt>
                <c:pt idx="1247">
                  <c:v>6.7302999999999997</c:v>
                </c:pt>
                <c:pt idx="1248">
                  <c:v>6.7302</c:v>
                </c:pt>
                <c:pt idx="1249">
                  <c:v>6.7301000000000002</c:v>
                </c:pt>
                <c:pt idx="1250">
                  <c:v>6.73</c:v>
                </c:pt>
                <c:pt idx="1251">
                  <c:v>6.7298999999999998</c:v>
                </c:pt>
                <c:pt idx="1252">
                  <c:v>6.7298</c:v>
                </c:pt>
                <c:pt idx="1253">
                  <c:v>6.7298</c:v>
                </c:pt>
                <c:pt idx="1254">
                  <c:v>6.7297000000000002</c:v>
                </c:pt>
                <c:pt idx="1255">
                  <c:v>6.7295999999999996</c:v>
                </c:pt>
                <c:pt idx="1256">
                  <c:v>6.7294999999999998</c:v>
                </c:pt>
                <c:pt idx="1257">
                  <c:v>6.7294</c:v>
                </c:pt>
                <c:pt idx="1258">
                  <c:v>6.7294</c:v>
                </c:pt>
                <c:pt idx="1259">
                  <c:v>6.7293000000000003</c:v>
                </c:pt>
                <c:pt idx="1260">
                  <c:v>6.7291999999999996</c:v>
                </c:pt>
                <c:pt idx="1261">
                  <c:v>6.7290999999999999</c:v>
                </c:pt>
                <c:pt idx="1262">
                  <c:v>6.7290000000000001</c:v>
                </c:pt>
                <c:pt idx="1263">
                  <c:v>6.7290000000000001</c:v>
                </c:pt>
                <c:pt idx="1264">
                  <c:v>6.7289000000000003</c:v>
                </c:pt>
                <c:pt idx="1265">
                  <c:v>6.7287999999999997</c:v>
                </c:pt>
                <c:pt idx="1266">
                  <c:v>6.7286999999999999</c:v>
                </c:pt>
                <c:pt idx="1267">
                  <c:v>6.7286000000000001</c:v>
                </c:pt>
                <c:pt idx="1268">
                  <c:v>6.7286000000000001</c:v>
                </c:pt>
                <c:pt idx="1269">
                  <c:v>6.7285000000000004</c:v>
                </c:pt>
                <c:pt idx="1270">
                  <c:v>6.7283999999999997</c:v>
                </c:pt>
                <c:pt idx="1271">
                  <c:v>6.7282999999999999</c:v>
                </c:pt>
                <c:pt idx="1272">
                  <c:v>6.7282000000000002</c:v>
                </c:pt>
                <c:pt idx="1273">
                  <c:v>6.7282000000000002</c:v>
                </c:pt>
                <c:pt idx="1274">
                  <c:v>6.7281000000000004</c:v>
                </c:pt>
                <c:pt idx="1275">
                  <c:v>6.7279999999999998</c:v>
                </c:pt>
                <c:pt idx="1276">
                  <c:v>6.7279</c:v>
                </c:pt>
                <c:pt idx="1277">
                  <c:v>6.7279</c:v>
                </c:pt>
                <c:pt idx="1278">
                  <c:v>6.7278000000000002</c:v>
                </c:pt>
                <c:pt idx="1279">
                  <c:v>6.7276999999999996</c:v>
                </c:pt>
                <c:pt idx="1280">
                  <c:v>6.7275999999999998</c:v>
                </c:pt>
                <c:pt idx="1281">
                  <c:v>6.7275</c:v>
                </c:pt>
                <c:pt idx="1282">
                  <c:v>6.7275</c:v>
                </c:pt>
                <c:pt idx="1283">
                  <c:v>6.7274000000000003</c:v>
                </c:pt>
                <c:pt idx="1284">
                  <c:v>6.7272999999999996</c:v>
                </c:pt>
                <c:pt idx="1285">
                  <c:v>6.7271999999999998</c:v>
                </c:pt>
                <c:pt idx="1286">
                  <c:v>6.7271999999999998</c:v>
                </c:pt>
                <c:pt idx="1287">
                  <c:v>6.7271000000000001</c:v>
                </c:pt>
                <c:pt idx="1288">
                  <c:v>6.7270000000000003</c:v>
                </c:pt>
                <c:pt idx="1289">
                  <c:v>6.7268999999999997</c:v>
                </c:pt>
                <c:pt idx="1290">
                  <c:v>6.7268999999999997</c:v>
                </c:pt>
                <c:pt idx="1291">
                  <c:v>6.7267999999999999</c:v>
                </c:pt>
                <c:pt idx="1292">
                  <c:v>6.7267000000000001</c:v>
                </c:pt>
                <c:pt idx="1293">
                  <c:v>6.7266000000000004</c:v>
                </c:pt>
                <c:pt idx="1294">
                  <c:v>6.7266000000000004</c:v>
                </c:pt>
                <c:pt idx="1295">
                  <c:v>6.7264999999999997</c:v>
                </c:pt>
                <c:pt idx="1296">
                  <c:v>6.7263999999999999</c:v>
                </c:pt>
                <c:pt idx="1297">
                  <c:v>6.7263999999999999</c:v>
                </c:pt>
                <c:pt idx="1298">
                  <c:v>6.7263000000000002</c:v>
                </c:pt>
                <c:pt idx="1299">
                  <c:v>6.7262000000000004</c:v>
                </c:pt>
                <c:pt idx="1300">
                  <c:v>6.7260999999999997</c:v>
                </c:pt>
                <c:pt idx="1301">
                  <c:v>6.7260999999999997</c:v>
                </c:pt>
                <c:pt idx="1302">
                  <c:v>6.726</c:v>
                </c:pt>
                <c:pt idx="1303">
                  <c:v>6.7259000000000002</c:v>
                </c:pt>
                <c:pt idx="1304">
                  <c:v>6.7257999999999996</c:v>
                </c:pt>
                <c:pt idx="1305">
                  <c:v>6.7257999999999996</c:v>
                </c:pt>
                <c:pt idx="1306">
                  <c:v>6.7256999999999998</c:v>
                </c:pt>
                <c:pt idx="1307">
                  <c:v>6.7256</c:v>
                </c:pt>
                <c:pt idx="1308">
                  <c:v>6.7256</c:v>
                </c:pt>
                <c:pt idx="1309">
                  <c:v>6.7255000000000003</c:v>
                </c:pt>
                <c:pt idx="1310">
                  <c:v>6.7253999999999996</c:v>
                </c:pt>
                <c:pt idx="1311">
                  <c:v>6.7253999999999996</c:v>
                </c:pt>
                <c:pt idx="1312">
                  <c:v>6.7252999999999998</c:v>
                </c:pt>
                <c:pt idx="1313">
                  <c:v>6.7252000000000001</c:v>
                </c:pt>
                <c:pt idx="1314">
                  <c:v>6.7251000000000003</c:v>
                </c:pt>
                <c:pt idx="1315">
                  <c:v>6.7251000000000003</c:v>
                </c:pt>
                <c:pt idx="1316">
                  <c:v>6.7249999999999996</c:v>
                </c:pt>
                <c:pt idx="1317">
                  <c:v>6.7248999999999999</c:v>
                </c:pt>
                <c:pt idx="1318">
                  <c:v>6.7248999999999999</c:v>
                </c:pt>
                <c:pt idx="1319">
                  <c:v>6.7248000000000001</c:v>
                </c:pt>
                <c:pt idx="1320">
                  <c:v>6.7247000000000003</c:v>
                </c:pt>
                <c:pt idx="1321">
                  <c:v>6.7247000000000003</c:v>
                </c:pt>
                <c:pt idx="1322">
                  <c:v>6.7245999999999997</c:v>
                </c:pt>
                <c:pt idx="1323">
                  <c:v>6.7244999999999999</c:v>
                </c:pt>
                <c:pt idx="1324">
                  <c:v>6.7244999999999999</c:v>
                </c:pt>
                <c:pt idx="1325">
                  <c:v>6.7244000000000002</c:v>
                </c:pt>
                <c:pt idx="1326">
                  <c:v>6.7243000000000004</c:v>
                </c:pt>
                <c:pt idx="1327">
                  <c:v>6.7243000000000004</c:v>
                </c:pt>
                <c:pt idx="1328">
                  <c:v>6.7241999999999997</c:v>
                </c:pt>
                <c:pt idx="1329">
                  <c:v>6.7241</c:v>
                </c:pt>
                <c:pt idx="1330">
                  <c:v>6.7241</c:v>
                </c:pt>
                <c:pt idx="1331">
                  <c:v>6.7240000000000002</c:v>
                </c:pt>
                <c:pt idx="1332">
                  <c:v>6.7239000000000004</c:v>
                </c:pt>
                <c:pt idx="1333">
                  <c:v>6.7239000000000004</c:v>
                </c:pt>
                <c:pt idx="1334">
                  <c:v>6.7237999999999998</c:v>
                </c:pt>
                <c:pt idx="1335">
                  <c:v>6.7237</c:v>
                </c:pt>
                <c:pt idx="1336">
                  <c:v>6.7237</c:v>
                </c:pt>
                <c:pt idx="1337">
                  <c:v>6.7236000000000002</c:v>
                </c:pt>
                <c:pt idx="1338">
                  <c:v>6.7234999999999996</c:v>
                </c:pt>
                <c:pt idx="1339">
                  <c:v>6.7234999999999996</c:v>
                </c:pt>
                <c:pt idx="1340">
                  <c:v>6.7233999999999998</c:v>
                </c:pt>
                <c:pt idx="1341">
                  <c:v>6.7233000000000001</c:v>
                </c:pt>
                <c:pt idx="1342">
                  <c:v>6.7233000000000001</c:v>
                </c:pt>
                <c:pt idx="1343">
                  <c:v>6.7232000000000003</c:v>
                </c:pt>
                <c:pt idx="1344">
                  <c:v>6.7232000000000003</c:v>
                </c:pt>
                <c:pt idx="1345">
                  <c:v>6.7230999999999996</c:v>
                </c:pt>
                <c:pt idx="1346">
                  <c:v>6.7229999999999999</c:v>
                </c:pt>
                <c:pt idx="1347">
                  <c:v>6.7229999999999999</c:v>
                </c:pt>
                <c:pt idx="1348">
                  <c:v>6.7229000000000001</c:v>
                </c:pt>
                <c:pt idx="1349">
                  <c:v>6.7228000000000003</c:v>
                </c:pt>
                <c:pt idx="1350">
                  <c:v>6.7228000000000003</c:v>
                </c:pt>
                <c:pt idx="1351">
                  <c:v>6.7226999999999997</c:v>
                </c:pt>
                <c:pt idx="1352">
                  <c:v>6.7225999999999999</c:v>
                </c:pt>
                <c:pt idx="1353">
                  <c:v>6.7225999999999999</c:v>
                </c:pt>
                <c:pt idx="1354">
                  <c:v>6.7225000000000001</c:v>
                </c:pt>
                <c:pt idx="1355">
                  <c:v>6.7225000000000001</c:v>
                </c:pt>
                <c:pt idx="1356">
                  <c:v>6.7224000000000004</c:v>
                </c:pt>
                <c:pt idx="1357">
                  <c:v>6.7222999999999997</c:v>
                </c:pt>
                <c:pt idx="1358">
                  <c:v>6.7222999999999997</c:v>
                </c:pt>
                <c:pt idx="1359">
                  <c:v>6.7222</c:v>
                </c:pt>
                <c:pt idx="1360">
                  <c:v>6.7222</c:v>
                </c:pt>
                <c:pt idx="1361">
                  <c:v>6.7221000000000002</c:v>
                </c:pt>
                <c:pt idx="1362">
                  <c:v>6.7220000000000004</c:v>
                </c:pt>
                <c:pt idx="1363">
                  <c:v>6.7220000000000004</c:v>
                </c:pt>
                <c:pt idx="1364">
                  <c:v>6.7218999999999998</c:v>
                </c:pt>
                <c:pt idx="1365">
                  <c:v>6.7218999999999998</c:v>
                </c:pt>
                <c:pt idx="1366">
                  <c:v>6.7218</c:v>
                </c:pt>
                <c:pt idx="1367">
                  <c:v>6.7217000000000002</c:v>
                </c:pt>
                <c:pt idx="1368">
                  <c:v>6.7217000000000002</c:v>
                </c:pt>
                <c:pt idx="1369">
                  <c:v>6.7215999999999996</c:v>
                </c:pt>
                <c:pt idx="1370">
                  <c:v>6.7215999999999996</c:v>
                </c:pt>
                <c:pt idx="1371">
                  <c:v>6.7214999999999998</c:v>
                </c:pt>
                <c:pt idx="1372">
                  <c:v>6.7214</c:v>
                </c:pt>
                <c:pt idx="1373">
                  <c:v>6.7214</c:v>
                </c:pt>
                <c:pt idx="1374">
                  <c:v>6.7213000000000003</c:v>
                </c:pt>
                <c:pt idx="1375">
                  <c:v>6.7213000000000003</c:v>
                </c:pt>
                <c:pt idx="1376">
                  <c:v>6.7211999999999996</c:v>
                </c:pt>
                <c:pt idx="1377">
                  <c:v>6.7211999999999996</c:v>
                </c:pt>
                <c:pt idx="1378">
                  <c:v>6.7210999999999999</c:v>
                </c:pt>
                <c:pt idx="1379">
                  <c:v>6.7210000000000001</c:v>
                </c:pt>
                <c:pt idx="1380">
                  <c:v>6.7210000000000001</c:v>
                </c:pt>
                <c:pt idx="1381">
                  <c:v>6.7209000000000003</c:v>
                </c:pt>
                <c:pt idx="1382">
                  <c:v>6.7209000000000003</c:v>
                </c:pt>
                <c:pt idx="1383">
                  <c:v>6.7207999999999997</c:v>
                </c:pt>
                <c:pt idx="1384">
                  <c:v>6.7207999999999997</c:v>
                </c:pt>
                <c:pt idx="1385">
                  <c:v>6.7206999999999999</c:v>
                </c:pt>
                <c:pt idx="1386">
                  <c:v>6.7206000000000001</c:v>
                </c:pt>
                <c:pt idx="1387">
                  <c:v>6.7206000000000001</c:v>
                </c:pt>
                <c:pt idx="1388">
                  <c:v>6.7205000000000004</c:v>
                </c:pt>
                <c:pt idx="1389">
                  <c:v>6.7205000000000004</c:v>
                </c:pt>
                <c:pt idx="1390">
                  <c:v>6.7203999999999997</c:v>
                </c:pt>
                <c:pt idx="1391">
                  <c:v>6.7203999999999997</c:v>
                </c:pt>
                <c:pt idx="1392">
                  <c:v>6.7202999999999999</c:v>
                </c:pt>
                <c:pt idx="1393">
                  <c:v>6.7202999999999999</c:v>
                </c:pt>
                <c:pt idx="1394">
                  <c:v>6.7202000000000002</c:v>
                </c:pt>
                <c:pt idx="1395">
                  <c:v>6.7201000000000004</c:v>
                </c:pt>
                <c:pt idx="1396">
                  <c:v>6.7201000000000004</c:v>
                </c:pt>
                <c:pt idx="1397">
                  <c:v>6.72</c:v>
                </c:pt>
                <c:pt idx="1398">
                  <c:v>6.72</c:v>
                </c:pt>
                <c:pt idx="1399">
                  <c:v>6.7199</c:v>
                </c:pt>
                <c:pt idx="1400">
                  <c:v>6.7199</c:v>
                </c:pt>
                <c:pt idx="1401">
                  <c:v>6.7198000000000002</c:v>
                </c:pt>
                <c:pt idx="1402">
                  <c:v>6.7198000000000002</c:v>
                </c:pt>
                <c:pt idx="1403">
                  <c:v>6.7196999999999996</c:v>
                </c:pt>
                <c:pt idx="1404">
                  <c:v>6.7196999999999996</c:v>
                </c:pt>
                <c:pt idx="1405">
                  <c:v>6.7195999999999998</c:v>
                </c:pt>
                <c:pt idx="1406">
                  <c:v>6.7195999999999998</c:v>
                </c:pt>
                <c:pt idx="1407">
                  <c:v>6.7195</c:v>
                </c:pt>
                <c:pt idx="1408">
                  <c:v>6.7194000000000003</c:v>
                </c:pt>
                <c:pt idx="1409">
                  <c:v>6.7194000000000003</c:v>
                </c:pt>
                <c:pt idx="1410">
                  <c:v>6.7192999999999996</c:v>
                </c:pt>
                <c:pt idx="1411">
                  <c:v>6.7192999999999996</c:v>
                </c:pt>
                <c:pt idx="1412">
                  <c:v>6.7191999999999998</c:v>
                </c:pt>
                <c:pt idx="1413">
                  <c:v>6.7191999999999998</c:v>
                </c:pt>
                <c:pt idx="1414">
                  <c:v>6.7191000000000001</c:v>
                </c:pt>
                <c:pt idx="1415">
                  <c:v>6.7191000000000001</c:v>
                </c:pt>
                <c:pt idx="1416">
                  <c:v>6.7190000000000003</c:v>
                </c:pt>
                <c:pt idx="1417">
                  <c:v>6.7190000000000003</c:v>
                </c:pt>
                <c:pt idx="1418">
                  <c:v>6.7188999999999997</c:v>
                </c:pt>
                <c:pt idx="1419">
                  <c:v>6.7188999999999997</c:v>
                </c:pt>
                <c:pt idx="1420">
                  <c:v>6.7187999999999999</c:v>
                </c:pt>
                <c:pt idx="1421">
                  <c:v>6.7187999999999999</c:v>
                </c:pt>
                <c:pt idx="1422">
                  <c:v>6.7187000000000001</c:v>
                </c:pt>
                <c:pt idx="1423">
                  <c:v>6.7187000000000001</c:v>
                </c:pt>
                <c:pt idx="1424">
                  <c:v>6.7186000000000003</c:v>
                </c:pt>
                <c:pt idx="1425">
                  <c:v>6.7186000000000003</c:v>
                </c:pt>
                <c:pt idx="1426">
                  <c:v>6.7184999999999997</c:v>
                </c:pt>
                <c:pt idx="1427">
                  <c:v>6.7184999999999997</c:v>
                </c:pt>
                <c:pt idx="1428">
                  <c:v>6.7183999999999999</c:v>
                </c:pt>
                <c:pt idx="1429">
                  <c:v>6.7183999999999999</c:v>
                </c:pt>
                <c:pt idx="1430">
                  <c:v>6.7183000000000002</c:v>
                </c:pt>
                <c:pt idx="1431">
                  <c:v>6.7183000000000002</c:v>
                </c:pt>
                <c:pt idx="1432">
                  <c:v>6.7182000000000004</c:v>
                </c:pt>
                <c:pt idx="1433">
                  <c:v>6.7182000000000004</c:v>
                </c:pt>
                <c:pt idx="1434">
                  <c:v>6.7180999999999997</c:v>
                </c:pt>
                <c:pt idx="1435">
                  <c:v>6.7180999999999997</c:v>
                </c:pt>
                <c:pt idx="1436">
                  <c:v>6.718</c:v>
                </c:pt>
                <c:pt idx="1437">
                  <c:v>6.718</c:v>
                </c:pt>
                <c:pt idx="1438">
                  <c:v>6.7179000000000002</c:v>
                </c:pt>
                <c:pt idx="1439">
                  <c:v>6.7179000000000002</c:v>
                </c:pt>
                <c:pt idx="1440">
                  <c:v>6.7178000000000004</c:v>
                </c:pt>
                <c:pt idx="1441">
                  <c:v>6.7178000000000004</c:v>
                </c:pt>
                <c:pt idx="1442">
                  <c:v>6.7178000000000004</c:v>
                </c:pt>
                <c:pt idx="1443">
                  <c:v>6.7176999999999998</c:v>
                </c:pt>
                <c:pt idx="1444">
                  <c:v>6.7176999999999998</c:v>
                </c:pt>
                <c:pt idx="1445">
                  <c:v>6.7176</c:v>
                </c:pt>
                <c:pt idx="1446">
                  <c:v>6.7176</c:v>
                </c:pt>
                <c:pt idx="1447">
                  <c:v>6.7175000000000002</c:v>
                </c:pt>
                <c:pt idx="1448">
                  <c:v>6.7175000000000002</c:v>
                </c:pt>
                <c:pt idx="1449">
                  <c:v>6.7173999999999996</c:v>
                </c:pt>
                <c:pt idx="1450">
                  <c:v>6.7173999999999996</c:v>
                </c:pt>
                <c:pt idx="1451">
                  <c:v>6.7172999999999998</c:v>
                </c:pt>
                <c:pt idx="1452">
                  <c:v>6.7172999999999998</c:v>
                </c:pt>
                <c:pt idx="1453">
                  <c:v>6.7172000000000001</c:v>
                </c:pt>
                <c:pt idx="1454">
                  <c:v>6.7172000000000001</c:v>
                </c:pt>
                <c:pt idx="1455">
                  <c:v>6.7171000000000003</c:v>
                </c:pt>
                <c:pt idx="1456">
                  <c:v>6.7171000000000003</c:v>
                </c:pt>
                <c:pt idx="1457">
                  <c:v>6.7171000000000003</c:v>
                </c:pt>
                <c:pt idx="1458">
                  <c:v>6.7169999999999996</c:v>
                </c:pt>
                <c:pt idx="1459">
                  <c:v>6.7169999999999996</c:v>
                </c:pt>
                <c:pt idx="1460">
                  <c:v>6.7168999999999999</c:v>
                </c:pt>
                <c:pt idx="1461">
                  <c:v>6.7168999999999999</c:v>
                </c:pt>
                <c:pt idx="1462">
                  <c:v>6.7168000000000001</c:v>
                </c:pt>
                <c:pt idx="1463">
                  <c:v>6.7168000000000001</c:v>
                </c:pt>
                <c:pt idx="1464">
                  <c:v>6.7167000000000003</c:v>
                </c:pt>
                <c:pt idx="1465">
                  <c:v>6.7167000000000003</c:v>
                </c:pt>
                <c:pt idx="1466">
                  <c:v>6.7167000000000003</c:v>
                </c:pt>
                <c:pt idx="1467">
                  <c:v>6.7165999999999997</c:v>
                </c:pt>
                <c:pt idx="1468">
                  <c:v>6.7165999999999997</c:v>
                </c:pt>
                <c:pt idx="1469">
                  <c:v>6.7164999999999999</c:v>
                </c:pt>
                <c:pt idx="1470">
                  <c:v>6.7164999999999999</c:v>
                </c:pt>
                <c:pt idx="1471">
                  <c:v>6.7164000000000001</c:v>
                </c:pt>
                <c:pt idx="1472">
                  <c:v>6.7164000000000001</c:v>
                </c:pt>
                <c:pt idx="1473">
                  <c:v>6.7164000000000001</c:v>
                </c:pt>
                <c:pt idx="1474">
                  <c:v>6.7163000000000004</c:v>
                </c:pt>
                <c:pt idx="1475">
                  <c:v>6.7163000000000004</c:v>
                </c:pt>
                <c:pt idx="1476">
                  <c:v>6.7161999999999997</c:v>
                </c:pt>
                <c:pt idx="1477">
                  <c:v>6.7161999999999997</c:v>
                </c:pt>
                <c:pt idx="1478">
                  <c:v>6.7161</c:v>
                </c:pt>
                <c:pt idx="1479">
                  <c:v>6.7161</c:v>
                </c:pt>
                <c:pt idx="1480">
                  <c:v>6.7161</c:v>
                </c:pt>
                <c:pt idx="1481">
                  <c:v>6.7160000000000002</c:v>
                </c:pt>
                <c:pt idx="1482">
                  <c:v>6.7160000000000002</c:v>
                </c:pt>
                <c:pt idx="1483">
                  <c:v>6.7159000000000004</c:v>
                </c:pt>
                <c:pt idx="1484">
                  <c:v>6.7159000000000004</c:v>
                </c:pt>
                <c:pt idx="1485">
                  <c:v>6.7157999999999998</c:v>
                </c:pt>
                <c:pt idx="1486">
                  <c:v>6.7157999999999998</c:v>
                </c:pt>
                <c:pt idx="1487">
                  <c:v>6.7157999999999998</c:v>
                </c:pt>
                <c:pt idx="1488">
                  <c:v>6.7157</c:v>
                </c:pt>
                <c:pt idx="1489">
                  <c:v>6.7157</c:v>
                </c:pt>
                <c:pt idx="1490">
                  <c:v>6.7156000000000002</c:v>
                </c:pt>
                <c:pt idx="1491">
                  <c:v>6.7156000000000002</c:v>
                </c:pt>
                <c:pt idx="1492">
                  <c:v>6.7156000000000002</c:v>
                </c:pt>
                <c:pt idx="1493">
                  <c:v>6.7154999999999996</c:v>
                </c:pt>
                <c:pt idx="1494">
                  <c:v>6.7154999999999996</c:v>
                </c:pt>
                <c:pt idx="1495">
                  <c:v>6.7153999999999998</c:v>
                </c:pt>
                <c:pt idx="1496">
                  <c:v>6.7153999999999998</c:v>
                </c:pt>
                <c:pt idx="1497">
                  <c:v>6.7153999999999998</c:v>
                </c:pt>
                <c:pt idx="1498">
                  <c:v>6.7153</c:v>
                </c:pt>
                <c:pt idx="1499">
                  <c:v>6.7153</c:v>
                </c:pt>
                <c:pt idx="1500">
                  <c:v>6.7152000000000003</c:v>
                </c:pt>
                <c:pt idx="1501">
                  <c:v>6.7152000000000003</c:v>
                </c:pt>
                <c:pt idx="1502">
                  <c:v>6.7152000000000003</c:v>
                </c:pt>
                <c:pt idx="1503">
                  <c:v>6.7150999999999996</c:v>
                </c:pt>
                <c:pt idx="1504">
                  <c:v>6.7150999999999996</c:v>
                </c:pt>
                <c:pt idx="1505">
                  <c:v>6.7149999999999999</c:v>
                </c:pt>
                <c:pt idx="1506">
                  <c:v>6.7149999999999999</c:v>
                </c:pt>
                <c:pt idx="1507">
                  <c:v>6.7149999999999999</c:v>
                </c:pt>
                <c:pt idx="1508">
                  <c:v>6.7149000000000001</c:v>
                </c:pt>
                <c:pt idx="1509">
                  <c:v>6.7149000000000001</c:v>
                </c:pt>
                <c:pt idx="1510">
                  <c:v>6.7149000000000001</c:v>
                </c:pt>
                <c:pt idx="1511">
                  <c:v>6.7148000000000003</c:v>
                </c:pt>
                <c:pt idx="1512">
                  <c:v>6.7148000000000003</c:v>
                </c:pt>
                <c:pt idx="1513">
                  <c:v>6.7146999999999997</c:v>
                </c:pt>
                <c:pt idx="1514">
                  <c:v>6.7146999999999997</c:v>
                </c:pt>
                <c:pt idx="1515">
                  <c:v>6.7146999999999997</c:v>
                </c:pt>
                <c:pt idx="1516">
                  <c:v>6.7145999999999999</c:v>
                </c:pt>
                <c:pt idx="1517">
                  <c:v>6.7145999999999999</c:v>
                </c:pt>
                <c:pt idx="1518">
                  <c:v>6.7145999999999999</c:v>
                </c:pt>
                <c:pt idx="1519">
                  <c:v>6.7145000000000001</c:v>
                </c:pt>
                <c:pt idx="1520">
                  <c:v>6.7145000000000001</c:v>
                </c:pt>
                <c:pt idx="1521">
                  <c:v>6.7144000000000004</c:v>
                </c:pt>
                <c:pt idx="1522">
                  <c:v>6.7144000000000004</c:v>
                </c:pt>
                <c:pt idx="1523">
                  <c:v>6.7144000000000004</c:v>
                </c:pt>
                <c:pt idx="1524">
                  <c:v>6.7142999999999997</c:v>
                </c:pt>
                <c:pt idx="1525">
                  <c:v>6.7142999999999997</c:v>
                </c:pt>
                <c:pt idx="1526">
                  <c:v>6.7142999999999997</c:v>
                </c:pt>
                <c:pt idx="1527">
                  <c:v>6.7141999999999999</c:v>
                </c:pt>
                <c:pt idx="1528">
                  <c:v>6.7141999999999999</c:v>
                </c:pt>
                <c:pt idx="1529">
                  <c:v>6.7141000000000002</c:v>
                </c:pt>
                <c:pt idx="1530">
                  <c:v>6.7141000000000002</c:v>
                </c:pt>
                <c:pt idx="1531">
                  <c:v>6.7141000000000002</c:v>
                </c:pt>
                <c:pt idx="1532">
                  <c:v>6.7140000000000004</c:v>
                </c:pt>
                <c:pt idx="1533">
                  <c:v>6.7140000000000004</c:v>
                </c:pt>
                <c:pt idx="1534">
                  <c:v>6.7140000000000004</c:v>
                </c:pt>
                <c:pt idx="1535">
                  <c:v>6.7138999999999998</c:v>
                </c:pt>
                <c:pt idx="1536">
                  <c:v>6.7138999999999998</c:v>
                </c:pt>
                <c:pt idx="1537">
                  <c:v>6.7138999999999998</c:v>
                </c:pt>
                <c:pt idx="1538">
                  <c:v>6.7138</c:v>
                </c:pt>
                <c:pt idx="1539">
                  <c:v>6.7138</c:v>
                </c:pt>
                <c:pt idx="1540">
                  <c:v>6.7138</c:v>
                </c:pt>
                <c:pt idx="1541">
                  <c:v>6.7137000000000002</c:v>
                </c:pt>
                <c:pt idx="1542">
                  <c:v>6.7137000000000002</c:v>
                </c:pt>
                <c:pt idx="1543">
                  <c:v>6.7137000000000002</c:v>
                </c:pt>
                <c:pt idx="1544">
                  <c:v>6.7135999999999996</c:v>
                </c:pt>
                <c:pt idx="1545">
                  <c:v>6.7135999999999996</c:v>
                </c:pt>
                <c:pt idx="1546">
                  <c:v>6.7134999999999998</c:v>
                </c:pt>
                <c:pt idx="1547">
                  <c:v>6.7134999999999998</c:v>
                </c:pt>
                <c:pt idx="1548">
                  <c:v>6.7134999999999998</c:v>
                </c:pt>
                <c:pt idx="1549">
                  <c:v>6.7134</c:v>
                </c:pt>
                <c:pt idx="1550">
                  <c:v>6.7134</c:v>
                </c:pt>
                <c:pt idx="1551">
                  <c:v>6.7134</c:v>
                </c:pt>
                <c:pt idx="1552">
                  <c:v>6.7133000000000003</c:v>
                </c:pt>
                <c:pt idx="1553">
                  <c:v>6.7133000000000003</c:v>
                </c:pt>
                <c:pt idx="1554">
                  <c:v>6.7133000000000003</c:v>
                </c:pt>
                <c:pt idx="1555">
                  <c:v>6.7131999999999996</c:v>
                </c:pt>
                <c:pt idx="1556">
                  <c:v>6.7131999999999996</c:v>
                </c:pt>
                <c:pt idx="1557">
                  <c:v>6.7131999999999996</c:v>
                </c:pt>
                <c:pt idx="1558">
                  <c:v>6.7130999999999998</c:v>
                </c:pt>
                <c:pt idx="1559">
                  <c:v>6.7130999999999998</c:v>
                </c:pt>
                <c:pt idx="1560">
                  <c:v>6.7130999999999998</c:v>
                </c:pt>
                <c:pt idx="1561">
                  <c:v>6.7130000000000001</c:v>
                </c:pt>
                <c:pt idx="1562">
                  <c:v>6.7130000000000001</c:v>
                </c:pt>
                <c:pt idx="1563">
                  <c:v>6.7130000000000001</c:v>
                </c:pt>
                <c:pt idx="1564">
                  <c:v>6.7130000000000001</c:v>
                </c:pt>
                <c:pt idx="1565">
                  <c:v>6.7129000000000003</c:v>
                </c:pt>
                <c:pt idx="1566">
                  <c:v>6.7129000000000003</c:v>
                </c:pt>
                <c:pt idx="1567">
                  <c:v>6.7129000000000003</c:v>
                </c:pt>
                <c:pt idx="1568">
                  <c:v>6.7127999999999997</c:v>
                </c:pt>
                <c:pt idx="1569">
                  <c:v>6.7127999999999997</c:v>
                </c:pt>
                <c:pt idx="1570">
                  <c:v>6.7127999999999997</c:v>
                </c:pt>
                <c:pt idx="1571">
                  <c:v>6.7126999999999999</c:v>
                </c:pt>
                <c:pt idx="1572">
                  <c:v>6.7126999999999999</c:v>
                </c:pt>
                <c:pt idx="1573">
                  <c:v>6.7126999999999999</c:v>
                </c:pt>
                <c:pt idx="1574">
                  <c:v>6.7126000000000001</c:v>
                </c:pt>
                <c:pt idx="1575">
                  <c:v>6.7126000000000001</c:v>
                </c:pt>
                <c:pt idx="1576">
                  <c:v>6.7126000000000001</c:v>
                </c:pt>
                <c:pt idx="1577">
                  <c:v>6.7125000000000004</c:v>
                </c:pt>
                <c:pt idx="1578">
                  <c:v>6.7125000000000004</c:v>
                </c:pt>
                <c:pt idx="1579">
                  <c:v>6.7125000000000004</c:v>
                </c:pt>
                <c:pt idx="1580">
                  <c:v>6.7123999999999997</c:v>
                </c:pt>
                <c:pt idx="1581">
                  <c:v>6.7123999999999997</c:v>
                </c:pt>
                <c:pt idx="1582">
                  <c:v>6.7123999999999997</c:v>
                </c:pt>
                <c:pt idx="1583">
                  <c:v>6.7123999999999997</c:v>
                </c:pt>
                <c:pt idx="1584">
                  <c:v>6.7122999999999999</c:v>
                </c:pt>
                <c:pt idx="1585">
                  <c:v>6.7122999999999999</c:v>
                </c:pt>
                <c:pt idx="1586">
                  <c:v>6.7122999999999999</c:v>
                </c:pt>
                <c:pt idx="1587">
                  <c:v>6.7122000000000002</c:v>
                </c:pt>
                <c:pt idx="1588">
                  <c:v>6.7122000000000002</c:v>
                </c:pt>
                <c:pt idx="1589">
                  <c:v>6.7122000000000002</c:v>
                </c:pt>
                <c:pt idx="1590">
                  <c:v>6.7121000000000004</c:v>
                </c:pt>
                <c:pt idx="1591">
                  <c:v>6.7121000000000004</c:v>
                </c:pt>
                <c:pt idx="1592">
                  <c:v>6.7121000000000004</c:v>
                </c:pt>
                <c:pt idx="1593">
                  <c:v>6.7121000000000004</c:v>
                </c:pt>
                <c:pt idx="1594">
                  <c:v>6.7119999999999997</c:v>
                </c:pt>
                <c:pt idx="1595">
                  <c:v>6.7119999999999997</c:v>
                </c:pt>
                <c:pt idx="1596">
                  <c:v>6.7119999999999997</c:v>
                </c:pt>
                <c:pt idx="1597">
                  <c:v>6.7119</c:v>
                </c:pt>
                <c:pt idx="1598">
                  <c:v>6.7119</c:v>
                </c:pt>
                <c:pt idx="1599">
                  <c:v>6.7119</c:v>
                </c:pt>
                <c:pt idx="1600">
                  <c:v>6.7118000000000002</c:v>
                </c:pt>
                <c:pt idx="1601">
                  <c:v>6.7118000000000002</c:v>
                </c:pt>
                <c:pt idx="1602">
                  <c:v>6.7118000000000002</c:v>
                </c:pt>
                <c:pt idx="1603">
                  <c:v>6.7118000000000002</c:v>
                </c:pt>
                <c:pt idx="1604">
                  <c:v>6.7117000000000004</c:v>
                </c:pt>
                <c:pt idx="1605">
                  <c:v>6.7117000000000004</c:v>
                </c:pt>
                <c:pt idx="1606">
                  <c:v>6.7117000000000004</c:v>
                </c:pt>
                <c:pt idx="1607">
                  <c:v>6.7115999999999998</c:v>
                </c:pt>
                <c:pt idx="1608">
                  <c:v>6.7115999999999998</c:v>
                </c:pt>
                <c:pt idx="1609">
                  <c:v>6.7115999999999998</c:v>
                </c:pt>
                <c:pt idx="1610">
                  <c:v>6.7115999999999998</c:v>
                </c:pt>
                <c:pt idx="1611">
                  <c:v>6.7115</c:v>
                </c:pt>
                <c:pt idx="1612">
                  <c:v>6.7115</c:v>
                </c:pt>
                <c:pt idx="1613">
                  <c:v>6.7115</c:v>
                </c:pt>
                <c:pt idx="1614">
                  <c:v>6.7114000000000003</c:v>
                </c:pt>
                <c:pt idx="1615">
                  <c:v>6.7114000000000003</c:v>
                </c:pt>
                <c:pt idx="1616">
                  <c:v>6.7114000000000003</c:v>
                </c:pt>
                <c:pt idx="1617">
                  <c:v>6.7114000000000003</c:v>
                </c:pt>
                <c:pt idx="1618">
                  <c:v>6.7112999999999996</c:v>
                </c:pt>
                <c:pt idx="1619">
                  <c:v>6.7112999999999996</c:v>
                </c:pt>
                <c:pt idx="1620">
                  <c:v>6.7112999999999996</c:v>
                </c:pt>
                <c:pt idx="1621">
                  <c:v>6.7112999999999996</c:v>
                </c:pt>
                <c:pt idx="1622">
                  <c:v>6.7111999999999998</c:v>
                </c:pt>
                <c:pt idx="1623">
                  <c:v>6.7111999999999998</c:v>
                </c:pt>
                <c:pt idx="1624">
                  <c:v>6.7111999999999998</c:v>
                </c:pt>
                <c:pt idx="1625">
                  <c:v>6.7111000000000001</c:v>
                </c:pt>
                <c:pt idx="1626">
                  <c:v>6.7111000000000001</c:v>
                </c:pt>
                <c:pt idx="1627">
                  <c:v>6.7111000000000001</c:v>
                </c:pt>
                <c:pt idx="1628">
                  <c:v>6.7111000000000001</c:v>
                </c:pt>
                <c:pt idx="1629">
                  <c:v>6.7110000000000003</c:v>
                </c:pt>
                <c:pt idx="1630">
                  <c:v>6.7110000000000003</c:v>
                </c:pt>
                <c:pt idx="1631">
                  <c:v>6.7110000000000003</c:v>
                </c:pt>
                <c:pt idx="1632">
                  <c:v>6.7110000000000003</c:v>
                </c:pt>
                <c:pt idx="1633">
                  <c:v>6.7108999999999996</c:v>
                </c:pt>
                <c:pt idx="1634">
                  <c:v>6.7108999999999996</c:v>
                </c:pt>
                <c:pt idx="1635">
                  <c:v>6.7108999999999996</c:v>
                </c:pt>
                <c:pt idx="1636">
                  <c:v>6.7108999999999996</c:v>
                </c:pt>
                <c:pt idx="1637">
                  <c:v>6.7107999999999999</c:v>
                </c:pt>
                <c:pt idx="1638">
                  <c:v>6.7107999999999999</c:v>
                </c:pt>
                <c:pt idx="1639">
                  <c:v>6.7107999999999999</c:v>
                </c:pt>
                <c:pt idx="1640">
                  <c:v>6.7107000000000001</c:v>
                </c:pt>
                <c:pt idx="1641">
                  <c:v>6.7107000000000001</c:v>
                </c:pt>
                <c:pt idx="1642">
                  <c:v>6.7107000000000001</c:v>
                </c:pt>
                <c:pt idx="1643">
                  <c:v>6.7107000000000001</c:v>
                </c:pt>
                <c:pt idx="1644">
                  <c:v>6.7106000000000003</c:v>
                </c:pt>
                <c:pt idx="1645">
                  <c:v>6.7106000000000003</c:v>
                </c:pt>
                <c:pt idx="1646">
                  <c:v>6.7106000000000003</c:v>
                </c:pt>
                <c:pt idx="1647">
                  <c:v>6.7106000000000003</c:v>
                </c:pt>
                <c:pt idx="1648">
                  <c:v>6.7104999999999997</c:v>
                </c:pt>
                <c:pt idx="1649">
                  <c:v>6.7104999999999997</c:v>
                </c:pt>
                <c:pt idx="1650">
                  <c:v>6.7104999999999997</c:v>
                </c:pt>
                <c:pt idx="1651">
                  <c:v>6.7104999999999997</c:v>
                </c:pt>
                <c:pt idx="1652">
                  <c:v>6.7103999999999999</c:v>
                </c:pt>
                <c:pt idx="1653">
                  <c:v>6.7103999999999999</c:v>
                </c:pt>
                <c:pt idx="1654">
                  <c:v>6.7103999999999999</c:v>
                </c:pt>
                <c:pt idx="1655">
                  <c:v>6.7103999999999999</c:v>
                </c:pt>
                <c:pt idx="1656">
                  <c:v>6.7103000000000002</c:v>
                </c:pt>
                <c:pt idx="1657">
                  <c:v>6.7103000000000002</c:v>
                </c:pt>
                <c:pt idx="1658">
                  <c:v>6.7103000000000002</c:v>
                </c:pt>
                <c:pt idx="1659">
                  <c:v>6.7103000000000002</c:v>
                </c:pt>
                <c:pt idx="1660">
                  <c:v>6.7102000000000004</c:v>
                </c:pt>
                <c:pt idx="1661">
                  <c:v>6.7102000000000004</c:v>
                </c:pt>
                <c:pt idx="1662">
                  <c:v>6.7102000000000004</c:v>
                </c:pt>
                <c:pt idx="1663">
                  <c:v>6.7102000000000004</c:v>
                </c:pt>
                <c:pt idx="1664">
                  <c:v>6.7100999999999997</c:v>
                </c:pt>
                <c:pt idx="1665">
                  <c:v>6.7100999999999997</c:v>
                </c:pt>
                <c:pt idx="1666">
                  <c:v>6.7100999999999997</c:v>
                </c:pt>
                <c:pt idx="1667">
                  <c:v>6.7100999999999997</c:v>
                </c:pt>
                <c:pt idx="1668">
                  <c:v>6.7100999999999997</c:v>
                </c:pt>
                <c:pt idx="1669">
                  <c:v>6.71</c:v>
                </c:pt>
                <c:pt idx="1670">
                  <c:v>6.71</c:v>
                </c:pt>
                <c:pt idx="1671">
                  <c:v>6.71</c:v>
                </c:pt>
                <c:pt idx="1672">
                  <c:v>6.71</c:v>
                </c:pt>
                <c:pt idx="1673">
                  <c:v>6.7099000000000002</c:v>
                </c:pt>
                <c:pt idx="1674">
                  <c:v>6.7099000000000002</c:v>
                </c:pt>
                <c:pt idx="1675">
                  <c:v>6.7099000000000002</c:v>
                </c:pt>
                <c:pt idx="1676">
                  <c:v>6.7099000000000002</c:v>
                </c:pt>
                <c:pt idx="1677">
                  <c:v>6.7098000000000004</c:v>
                </c:pt>
                <c:pt idx="1678">
                  <c:v>6.7098000000000004</c:v>
                </c:pt>
                <c:pt idx="1679">
                  <c:v>6.7098000000000004</c:v>
                </c:pt>
                <c:pt idx="1680">
                  <c:v>6.7098000000000004</c:v>
                </c:pt>
                <c:pt idx="1681">
                  <c:v>6.7096999999999998</c:v>
                </c:pt>
                <c:pt idx="1682">
                  <c:v>6.7096999999999998</c:v>
                </c:pt>
                <c:pt idx="1683">
                  <c:v>6.7096999999999998</c:v>
                </c:pt>
                <c:pt idx="1684">
                  <c:v>6.7096999999999998</c:v>
                </c:pt>
                <c:pt idx="1685">
                  <c:v>6.7096999999999998</c:v>
                </c:pt>
                <c:pt idx="1686">
                  <c:v>6.7096</c:v>
                </c:pt>
                <c:pt idx="1687">
                  <c:v>6.7096</c:v>
                </c:pt>
                <c:pt idx="1688">
                  <c:v>6.7096</c:v>
                </c:pt>
                <c:pt idx="1689">
                  <c:v>6.7096</c:v>
                </c:pt>
                <c:pt idx="1690">
                  <c:v>6.7095000000000002</c:v>
                </c:pt>
                <c:pt idx="1691">
                  <c:v>6.7095000000000002</c:v>
                </c:pt>
                <c:pt idx="1692">
                  <c:v>6.7095000000000002</c:v>
                </c:pt>
                <c:pt idx="1693">
                  <c:v>6.7095000000000002</c:v>
                </c:pt>
                <c:pt idx="1694">
                  <c:v>6.7095000000000002</c:v>
                </c:pt>
                <c:pt idx="1695">
                  <c:v>6.7093999999999996</c:v>
                </c:pt>
                <c:pt idx="1696">
                  <c:v>6.7093999999999996</c:v>
                </c:pt>
                <c:pt idx="1697">
                  <c:v>6.7093999999999996</c:v>
                </c:pt>
                <c:pt idx="1698">
                  <c:v>6.7093999999999996</c:v>
                </c:pt>
                <c:pt idx="1699">
                  <c:v>6.7092999999999998</c:v>
                </c:pt>
                <c:pt idx="1700">
                  <c:v>6.7092999999999998</c:v>
                </c:pt>
                <c:pt idx="1701">
                  <c:v>6.7092999999999998</c:v>
                </c:pt>
                <c:pt idx="1702">
                  <c:v>6.7092999999999998</c:v>
                </c:pt>
                <c:pt idx="1703">
                  <c:v>6.7092999999999998</c:v>
                </c:pt>
                <c:pt idx="1704">
                  <c:v>6.7092000000000001</c:v>
                </c:pt>
                <c:pt idx="1705">
                  <c:v>6.7092000000000001</c:v>
                </c:pt>
                <c:pt idx="1706">
                  <c:v>6.7092000000000001</c:v>
                </c:pt>
                <c:pt idx="1707">
                  <c:v>6.7092000000000001</c:v>
                </c:pt>
                <c:pt idx="1708">
                  <c:v>6.7091000000000003</c:v>
                </c:pt>
                <c:pt idx="1709">
                  <c:v>6.7091000000000003</c:v>
                </c:pt>
                <c:pt idx="1710">
                  <c:v>6.7091000000000003</c:v>
                </c:pt>
                <c:pt idx="1711">
                  <c:v>6.7091000000000003</c:v>
                </c:pt>
                <c:pt idx="1712">
                  <c:v>6.7091000000000003</c:v>
                </c:pt>
                <c:pt idx="1713">
                  <c:v>6.7089999999999996</c:v>
                </c:pt>
                <c:pt idx="1714">
                  <c:v>6.7089999999999996</c:v>
                </c:pt>
                <c:pt idx="1715">
                  <c:v>6.7089999999999996</c:v>
                </c:pt>
                <c:pt idx="1716">
                  <c:v>6.7089999999999996</c:v>
                </c:pt>
                <c:pt idx="1717">
                  <c:v>6.7089999999999996</c:v>
                </c:pt>
                <c:pt idx="1718">
                  <c:v>6.7088999999999999</c:v>
                </c:pt>
                <c:pt idx="1719">
                  <c:v>6.7088999999999999</c:v>
                </c:pt>
                <c:pt idx="1720">
                  <c:v>6.7088999999999999</c:v>
                </c:pt>
                <c:pt idx="1721">
                  <c:v>6.7088999999999999</c:v>
                </c:pt>
                <c:pt idx="1722">
                  <c:v>6.7088999999999999</c:v>
                </c:pt>
                <c:pt idx="1723">
                  <c:v>6.7088000000000001</c:v>
                </c:pt>
                <c:pt idx="1724">
                  <c:v>6.7088000000000001</c:v>
                </c:pt>
                <c:pt idx="1725">
                  <c:v>6.7088000000000001</c:v>
                </c:pt>
                <c:pt idx="1726">
                  <c:v>6.7088000000000001</c:v>
                </c:pt>
                <c:pt idx="1727">
                  <c:v>6.7088000000000001</c:v>
                </c:pt>
                <c:pt idx="1728">
                  <c:v>6.7087000000000003</c:v>
                </c:pt>
                <c:pt idx="1729">
                  <c:v>6.7087000000000003</c:v>
                </c:pt>
                <c:pt idx="1730">
                  <c:v>6.7087000000000003</c:v>
                </c:pt>
                <c:pt idx="1731">
                  <c:v>6.7087000000000003</c:v>
                </c:pt>
                <c:pt idx="1732">
                  <c:v>6.7087000000000003</c:v>
                </c:pt>
                <c:pt idx="1733">
                  <c:v>6.7085999999999997</c:v>
                </c:pt>
                <c:pt idx="1734">
                  <c:v>6.7085999999999997</c:v>
                </c:pt>
                <c:pt idx="1735">
                  <c:v>6.7085999999999997</c:v>
                </c:pt>
                <c:pt idx="1736">
                  <c:v>6.7085999999999997</c:v>
                </c:pt>
                <c:pt idx="1737">
                  <c:v>6.7085999999999997</c:v>
                </c:pt>
                <c:pt idx="1738">
                  <c:v>6.7084999999999999</c:v>
                </c:pt>
                <c:pt idx="1739">
                  <c:v>6.7084999999999999</c:v>
                </c:pt>
                <c:pt idx="1740">
                  <c:v>6.7084999999999999</c:v>
                </c:pt>
                <c:pt idx="1741">
                  <c:v>6.7084999999999999</c:v>
                </c:pt>
                <c:pt idx="1742">
                  <c:v>6.7084999999999999</c:v>
                </c:pt>
                <c:pt idx="1743">
                  <c:v>6.7084000000000001</c:v>
                </c:pt>
                <c:pt idx="1744">
                  <c:v>6.7084000000000001</c:v>
                </c:pt>
                <c:pt idx="1745">
                  <c:v>6.7084000000000001</c:v>
                </c:pt>
                <c:pt idx="1746">
                  <c:v>6.7084000000000001</c:v>
                </c:pt>
                <c:pt idx="1747">
                  <c:v>6.7084000000000001</c:v>
                </c:pt>
                <c:pt idx="1748">
                  <c:v>6.7083000000000004</c:v>
                </c:pt>
                <c:pt idx="1749">
                  <c:v>6.7083000000000004</c:v>
                </c:pt>
                <c:pt idx="1750">
                  <c:v>6.7083000000000004</c:v>
                </c:pt>
                <c:pt idx="1751">
                  <c:v>6.7083000000000004</c:v>
                </c:pt>
                <c:pt idx="1752">
                  <c:v>6.7083000000000004</c:v>
                </c:pt>
                <c:pt idx="1753">
                  <c:v>6.7081999999999997</c:v>
                </c:pt>
                <c:pt idx="1754">
                  <c:v>6.7081999999999997</c:v>
                </c:pt>
                <c:pt idx="1755">
                  <c:v>6.7081999999999997</c:v>
                </c:pt>
                <c:pt idx="1756">
                  <c:v>6.7081999999999997</c:v>
                </c:pt>
                <c:pt idx="1757">
                  <c:v>6.7081999999999997</c:v>
                </c:pt>
                <c:pt idx="1758">
                  <c:v>6.7081</c:v>
                </c:pt>
                <c:pt idx="1759">
                  <c:v>6.7081</c:v>
                </c:pt>
                <c:pt idx="1760">
                  <c:v>6.7081</c:v>
                </c:pt>
                <c:pt idx="1761">
                  <c:v>6.7081</c:v>
                </c:pt>
                <c:pt idx="1762">
                  <c:v>6.7081</c:v>
                </c:pt>
                <c:pt idx="1763">
                  <c:v>6.7081</c:v>
                </c:pt>
                <c:pt idx="1764">
                  <c:v>6.7080000000000002</c:v>
                </c:pt>
                <c:pt idx="1765">
                  <c:v>6.7080000000000002</c:v>
                </c:pt>
                <c:pt idx="1766">
                  <c:v>6.7080000000000002</c:v>
                </c:pt>
                <c:pt idx="1767">
                  <c:v>6.7080000000000002</c:v>
                </c:pt>
                <c:pt idx="1768">
                  <c:v>6.7080000000000002</c:v>
                </c:pt>
                <c:pt idx="1769">
                  <c:v>6.7079000000000004</c:v>
                </c:pt>
                <c:pt idx="1770">
                  <c:v>6.7079000000000004</c:v>
                </c:pt>
                <c:pt idx="1771">
                  <c:v>6.7079000000000004</c:v>
                </c:pt>
                <c:pt idx="1772">
                  <c:v>6.7079000000000004</c:v>
                </c:pt>
                <c:pt idx="1773">
                  <c:v>6.7079000000000004</c:v>
                </c:pt>
                <c:pt idx="1774">
                  <c:v>6.7079000000000004</c:v>
                </c:pt>
                <c:pt idx="1775">
                  <c:v>6.7077999999999998</c:v>
                </c:pt>
                <c:pt idx="1776">
                  <c:v>6.7077999999999998</c:v>
                </c:pt>
                <c:pt idx="1777">
                  <c:v>6.7077999999999998</c:v>
                </c:pt>
                <c:pt idx="1778">
                  <c:v>6.7077999999999998</c:v>
                </c:pt>
                <c:pt idx="1779">
                  <c:v>6.7077999999999998</c:v>
                </c:pt>
                <c:pt idx="1780">
                  <c:v>6.7077</c:v>
                </c:pt>
                <c:pt idx="1781">
                  <c:v>6.7077</c:v>
                </c:pt>
                <c:pt idx="1782">
                  <c:v>6.7077</c:v>
                </c:pt>
                <c:pt idx="1783">
                  <c:v>6.7077</c:v>
                </c:pt>
                <c:pt idx="1784">
                  <c:v>6.7077</c:v>
                </c:pt>
                <c:pt idx="1785">
                  <c:v>6.7077</c:v>
                </c:pt>
                <c:pt idx="1786">
                  <c:v>6.7076000000000002</c:v>
                </c:pt>
                <c:pt idx="1787">
                  <c:v>6.7076000000000002</c:v>
                </c:pt>
                <c:pt idx="1788">
                  <c:v>6.7076000000000002</c:v>
                </c:pt>
                <c:pt idx="1789">
                  <c:v>6.7076000000000002</c:v>
                </c:pt>
                <c:pt idx="1790">
                  <c:v>6.7076000000000002</c:v>
                </c:pt>
                <c:pt idx="1791">
                  <c:v>6.7076000000000002</c:v>
                </c:pt>
                <c:pt idx="1792">
                  <c:v>6.7074999999999996</c:v>
                </c:pt>
                <c:pt idx="1793">
                  <c:v>6.7074999999999996</c:v>
                </c:pt>
                <c:pt idx="1794">
                  <c:v>6.7074999999999996</c:v>
                </c:pt>
                <c:pt idx="1795">
                  <c:v>6.7074999999999996</c:v>
                </c:pt>
                <c:pt idx="1796">
                  <c:v>6.7074999999999996</c:v>
                </c:pt>
                <c:pt idx="1797">
                  <c:v>6.7074999999999996</c:v>
                </c:pt>
                <c:pt idx="1798">
                  <c:v>6.7073999999999998</c:v>
                </c:pt>
                <c:pt idx="1799">
                  <c:v>6.7073999999999998</c:v>
                </c:pt>
                <c:pt idx="1800">
                  <c:v>6.7073999999999998</c:v>
                </c:pt>
                <c:pt idx="1801">
                  <c:v>6.7073999999999998</c:v>
                </c:pt>
                <c:pt idx="1802">
                  <c:v>6.7073999999999998</c:v>
                </c:pt>
                <c:pt idx="1803">
                  <c:v>6.7073999999999998</c:v>
                </c:pt>
                <c:pt idx="1804">
                  <c:v>6.7073</c:v>
                </c:pt>
                <c:pt idx="1805">
                  <c:v>6.7073</c:v>
                </c:pt>
                <c:pt idx="1806">
                  <c:v>6.7073</c:v>
                </c:pt>
                <c:pt idx="1807">
                  <c:v>6.7073</c:v>
                </c:pt>
                <c:pt idx="1808">
                  <c:v>6.7073</c:v>
                </c:pt>
                <c:pt idx="1809">
                  <c:v>6.7073</c:v>
                </c:pt>
                <c:pt idx="1810">
                  <c:v>6.7072000000000003</c:v>
                </c:pt>
                <c:pt idx="1811">
                  <c:v>6.7072000000000003</c:v>
                </c:pt>
                <c:pt idx="1812">
                  <c:v>6.7072000000000003</c:v>
                </c:pt>
                <c:pt idx="1813">
                  <c:v>6.7072000000000003</c:v>
                </c:pt>
                <c:pt idx="1814">
                  <c:v>6.7072000000000003</c:v>
                </c:pt>
                <c:pt idx="1815">
                  <c:v>6.7072000000000003</c:v>
                </c:pt>
                <c:pt idx="1816">
                  <c:v>6.7070999999999996</c:v>
                </c:pt>
                <c:pt idx="1817">
                  <c:v>6.7070999999999996</c:v>
                </c:pt>
                <c:pt idx="1818">
                  <c:v>6.7070999999999996</c:v>
                </c:pt>
                <c:pt idx="1819">
                  <c:v>6.7070999999999996</c:v>
                </c:pt>
                <c:pt idx="1820">
                  <c:v>6.7070999999999996</c:v>
                </c:pt>
                <c:pt idx="1821">
                  <c:v>6.7070999999999996</c:v>
                </c:pt>
                <c:pt idx="1822">
                  <c:v>6.7069999999999999</c:v>
                </c:pt>
                <c:pt idx="1823">
                  <c:v>6.7069999999999999</c:v>
                </c:pt>
                <c:pt idx="1824">
                  <c:v>6.7069999999999999</c:v>
                </c:pt>
                <c:pt idx="1825">
                  <c:v>6.7069999999999999</c:v>
                </c:pt>
                <c:pt idx="1826">
                  <c:v>6.7069999999999999</c:v>
                </c:pt>
                <c:pt idx="1827">
                  <c:v>6.7069999999999999</c:v>
                </c:pt>
                <c:pt idx="1828">
                  <c:v>6.7069000000000001</c:v>
                </c:pt>
                <c:pt idx="1829">
                  <c:v>6.7069000000000001</c:v>
                </c:pt>
                <c:pt idx="1830">
                  <c:v>6.7069000000000001</c:v>
                </c:pt>
                <c:pt idx="1831">
                  <c:v>6.7069000000000001</c:v>
                </c:pt>
                <c:pt idx="1832">
                  <c:v>6.7069000000000001</c:v>
                </c:pt>
                <c:pt idx="1833">
                  <c:v>6.7069000000000001</c:v>
                </c:pt>
                <c:pt idx="1834">
                  <c:v>6.7069000000000001</c:v>
                </c:pt>
                <c:pt idx="1835">
                  <c:v>6.7068000000000003</c:v>
                </c:pt>
                <c:pt idx="1836">
                  <c:v>6.7068000000000003</c:v>
                </c:pt>
                <c:pt idx="1837">
                  <c:v>6.7068000000000003</c:v>
                </c:pt>
                <c:pt idx="1838">
                  <c:v>6.7068000000000003</c:v>
                </c:pt>
                <c:pt idx="1839">
                  <c:v>6.7068000000000003</c:v>
                </c:pt>
                <c:pt idx="1840">
                  <c:v>6.7068000000000003</c:v>
                </c:pt>
                <c:pt idx="1841">
                  <c:v>6.7066999999999997</c:v>
                </c:pt>
                <c:pt idx="1842">
                  <c:v>6.7066999999999997</c:v>
                </c:pt>
                <c:pt idx="1843">
                  <c:v>6.7066999999999997</c:v>
                </c:pt>
                <c:pt idx="1844">
                  <c:v>6.7066999999999997</c:v>
                </c:pt>
                <c:pt idx="1845">
                  <c:v>6.7066999999999997</c:v>
                </c:pt>
                <c:pt idx="1846">
                  <c:v>6.7066999999999997</c:v>
                </c:pt>
                <c:pt idx="1847">
                  <c:v>6.7066999999999997</c:v>
                </c:pt>
                <c:pt idx="1848">
                  <c:v>6.7065999999999999</c:v>
                </c:pt>
                <c:pt idx="1849">
                  <c:v>6.7065999999999999</c:v>
                </c:pt>
                <c:pt idx="1850">
                  <c:v>6.7065999999999999</c:v>
                </c:pt>
                <c:pt idx="1851">
                  <c:v>6.7065999999999999</c:v>
                </c:pt>
                <c:pt idx="1852">
                  <c:v>6.7065999999999999</c:v>
                </c:pt>
                <c:pt idx="1853">
                  <c:v>6.7065999999999999</c:v>
                </c:pt>
                <c:pt idx="1854">
                  <c:v>6.7065999999999999</c:v>
                </c:pt>
                <c:pt idx="1855">
                  <c:v>6.7065000000000001</c:v>
                </c:pt>
                <c:pt idx="1856">
                  <c:v>6.7065000000000001</c:v>
                </c:pt>
                <c:pt idx="1857">
                  <c:v>6.7065000000000001</c:v>
                </c:pt>
                <c:pt idx="1858">
                  <c:v>6.7065000000000001</c:v>
                </c:pt>
                <c:pt idx="1859">
                  <c:v>6.7065000000000001</c:v>
                </c:pt>
                <c:pt idx="1860">
                  <c:v>6.7065000000000001</c:v>
                </c:pt>
                <c:pt idx="1861">
                  <c:v>6.7065000000000001</c:v>
                </c:pt>
                <c:pt idx="1862">
                  <c:v>6.7064000000000004</c:v>
                </c:pt>
                <c:pt idx="1863">
                  <c:v>6.7064000000000004</c:v>
                </c:pt>
                <c:pt idx="1864">
                  <c:v>6.7064000000000004</c:v>
                </c:pt>
                <c:pt idx="1865">
                  <c:v>6.7064000000000004</c:v>
                </c:pt>
                <c:pt idx="1866">
                  <c:v>6.7064000000000004</c:v>
                </c:pt>
                <c:pt idx="1867">
                  <c:v>6.7064000000000004</c:v>
                </c:pt>
                <c:pt idx="1868">
                  <c:v>6.7064000000000004</c:v>
                </c:pt>
                <c:pt idx="1869">
                  <c:v>6.7062999999999997</c:v>
                </c:pt>
                <c:pt idx="1870">
                  <c:v>6.7062999999999997</c:v>
                </c:pt>
                <c:pt idx="1871">
                  <c:v>6.7062999999999997</c:v>
                </c:pt>
                <c:pt idx="1872">
                  <c:v>6.7062999999999997</c:v>
                </c:pt>
                <c:pt idx="1873">
                  <c:v>6.7062999999999997</c:v>
                </c:pt>
                <c:pt idx="1874">
                  <c:v>6.7062999999999997</c:v>
                </c:pt>
                <c:pt idx="1875">
                  <c:v>6.7062999999999997</c:v>
                </c:pt>
                <c:pt idx="1876">
                  <c:v>6.7061999999999999</c:v>
                </c:pt>
                <c:pt idx="1877">
                  <c:v>6.7061999999999999</c:v>
                </c:pt>
                <c:pt idx="1878">
                  <c:v>6.7061999999999999</c:v>
                </c:pt>
                <c:pt idx="1879">
                  <c:v>6.7061999999999999</c:v>
                </c:pt>
                <c:pt idx="1880">
                  <c:v>6.7061999999999999</c:v>
                </c:pt>
                <c:pt idx="1881">
                  <c:v>6.7061999999999999</c:v>
                </c:pt>
                <c:pt idx="1882">
                  <c:v>6.7061999999999999</c:v>
                </c:pt>
                <c:pt idx="1883">
                  <c:v>6.7061000000000002</c:v>
                </c:pt>
                <c:pt idx="1884">
                  <c:v>6.7061000000000002</c:v>
                </c:pt>
                <c:pt idx="1885">
                  <c:v>6.7061000000000002</c:v>
                </c:pt>
                <c:pt idx="1886">
                  <c:v>6.7061000000000002</c:v>
                </c:pt>
                <c:pt idx="1887">
                  <c:v>6.7061000000000002</c:v>
                </c:pt>
                <c:pt idx="1888">
                  <c:v>6.7061000000000002</c:v>
                </c:pt>
                <c:pt idx="1889">
                  <c:v>6.7061000000000002</c:v>
                </c:pt>
                <c:pt idx="1890">
                  <c:v>6.7061000000000002</c:v>
                </c:pt>
                <c:pt idx="1891">
                  <c:v>6.7060000000000004</c:v>
                </c:pt>
                <c:pt idx="1892">
                  <c:v>6.7060000000000004</c:v>
                </c:pt>
                <c:pt idx="1893">
                  <c:v>6.7060000000000004</c:v>
                </c:pt>
                <c:pt idx="1894">
                  <c:v>6.7060000000000004</c:v>
                </c:pt>
                <c:pt idx="1895">
                  <c:v>6.7060000000000004</c:v>
                </c:pt>
                <c:pt idx="1896">
                  <c:v>6.7060000000000004</c:v>
                </c:pt>
                <c:pt idx="1897">
                  <c:v>6.7060000000000004</c:v>
                </c:pt>
                <c:pt idx="1898">
                  <c:v>6.7058999999999997</c:v>
                </c:pt>
                <c:pt idx="1899">
                  <c:v>6.7058999999999997</c:v>
                </c:pt>
                <c:pt idx="1900">
                  <c:v>6.7058999999999997</c:v>
                </c:pt>
                <c:pt idx="1901">
                  <c:v>6.7058999999999997</c:v>
                </c:pt>
                <c:pt idx="1902">
                  <c:v>6.7058999999999997</c:v>
                </c:pt>
                <c:pt idx="1903">
                  <c:v>6.7058999999999997</c:v>
                </c:pt>
                <c:pt idx="1904">
                  <c:v>6.7058999999999997</c:v>
                </c:pt>
                <c:pt idx="1905">
                  <c:v>6.7058999999999997</c:v>
                </c:pt>
                <c:pt idx="1906">
                  <c:v>6.7058</c:v>
                </c:pt>
                <c:pt idx="1907">
                  <c:v>6.7058</c:v>
                </c:pt>
                <c:pt idx="1908">
                  <c:v>6.7058</c:v>
                </c:pt>
                <c:pt idx="1909">
                  <c:v>6.7058</c:v>
                </c:pt>
                <c:pt idx="1910">
                  <c:v>6.7058</c:v>
                </c:pt>
                <c:pt idx="1911">
                  <c:v>6.7058</c:v>
                </c:pt>
                <c:pt idx="1912">
                  <c:v>6.7058</c:v>
                </c:pt>
                <c:pt idx="1913">
                  <c:v>6.7058</c:v>
                </c:pt>
                <c:pt idx="1914">
                  <c:v>6.7057000000000002</c:v>
                </c:pt>
                <c:pt idx="1915">
                  <c:v>6.7057000000000002</c:v>
                </c:pt>
                <c:pt idx="1916">
                  <c:v>6.7057000000000002</c:v>
                </c:pt>
                <c:pt idx="1917">
                  <c:v>6.7057000000000002</c:v>
                </c:pt>
                <c:pt idx="1918">
                  <c:v>6.7057000000000002</c:v>
                </c:pt>
                <c:pt idx="1919">
                  <c:v>6.7057000000000002</c:v>
                </c:pt>
                <c:pt idx="1920">
                  <c:v>6.7057000000000002</c:v>
                </c:pt>
                <c:pt idx="1921">
                  <c:v>6.7057000000000002</c:v>
                </c:pt>
                <c:pt idx="1922">
                  <c:v>6.7055999999999996</c:v>
                </c:pt>
                <c:pt idx="1923">
                  <c:v>6.7055999999999996</c:v>
                </c:pt>
                <c:pt idx="1924">
                  <c:v>6.7055999999999996</c:v>
                </c:pt>
                <c:pt idx="1925">
                  <c:v>6.7055999999999996</c:v>
                </c:pt>
                <c:pt idx="1926">
                  <c:v>6.7055999999999996</c:v>
                </c:pt>
                <c:pt idx="1927">
                  <c:v>6.7055999999999996</c:v>
                </c:pt>
                <c:pt idx="1928">
                  <c:v>6.7055999999999996</c:v>
                </c:pt>
                <c:pt idx="1929">
                  <c:v>6.7055999999999996</c:v>
                </c:pt>
                <c:pt idx="1930">
                  <c:v>6.7054999999999998</c:v>
                </c:pt>
                <c:pt idx="1931">
                  <c:v>6.7054999999999998</c:v>
                </c:pt>
                <c:pt idx="1932">
                  <c:v>6.7054999999999998</c:v>
                </c:pt>
                <c:pt idx="1933">
                  <c:v>6.7054999999999998</c:v>
                </c:pt>
                <c:pt idx="1934">
                  <c:v>6.7054999999999998</c:v>
                </c:pt>
                <c:pt idx="1935">
                  <c:v>6.7054999999999998</c:v>
                </c:pt>
                <c:pt idx="1936">
                  <c:v>6.7054999999999998</c:v>
                </c:pt>
                <c:pt idx="1937">
                  <c:v>6.7054999999999998</c:v>
                </c:pt>
                <c:pt idx="1938">
                  <c:v>6.7054</c:v>
                </c:pt>
                <c:pt idx="1939">
                  <c:v>6.7054</c:v>
                </c:pt>
                <c:pt idx="1940">
                  <c:v>6.7054</c:v>
                </c:pt>
                <c:pt idx="1941">
                  <c:v>6.7054</c:v>
                </c:pt>
                <c:pt idx="1942">
                  <c:v>6.7054</c:v>
                </c:pt>
                <c:pt idx="1943">
                  <c:v>6.7054</c:v>
                </c:pt>
                <c:pt idx="1944">
                  <c:v>6.7054</c:v>
                </c:pt>
                <c:pt idx="1945">
                  <c:v>6.7054</c:v>
                </c:pt>
                <c:pt idx="1946">
                  <c:v>6.7054</c:v>
                </c:pt>
                <c:pt idx="1947">
                  <c:v>6.7053000000000003</c:v>
                </c:pt>
                <c:pt idx="1948">
                  <c:v>6.7053000000000003</c:v>
                </c:pt>
                <c:pt idx="1949">
                  <c:v>6.7053000000000003</c:v>
                </c:pt>
                <c:pt idx="1950">
                  <c:v>6.7053000000000003</c:v>
                </c:pt>
                <c:pt idx="1951">
                  <c:v>6.7053000000000003</c:v>
                </c:pt>
                <c:pt idx="1952">
                  <c:v>6.7053000000000003</c:v>
                </c:pt>
                <c:pt idx="1953">
                  <c:v>6.7053000000000003</c:v>
                </c:pt>
                <c:pt idx="1954">
                  <c:v>6.7053000000000003</c:v>
                </c:pt>
                <c:pt idx="1955">
                  <c:v>6.7053000000000003</c:v>
                </c:pt>
                <c:pt idx="1956">
                  <c:v>6.7051999999999996</c:v>
                </c:pt>
                <c:pt idx="1957">
                  <c:v>6.7051999999999996</c:v>
                </c:pt>
                <c:pt idx="1958">
                  <c:v>6.7051999999999996</c:v>
                </c:pt>
                <c:pt idx="1959">
                  <c:v>6.7051999999999996</c:v>
                </c:pt>
                <c:pt idx="1960">
                  <c:v>6.7051999999999996</c:v>
                </c:pt>
                <c:pt idx="1961">
                  <c:v>6.7051999999999996</c:v>
                </c:pt>
                <c:pt idx="1962">
                  <c:v>6.7051999999999996</c:v>
                </c:pt>
                <c:pt idx="1963">
                  <c:v>6.7051999999999996</c:v>
                </c:pt>
                <c:pt idx="1964">
                  <c:v>6.7051999999999996</c:v>
                </c:pt>
                <c:pt idx="1965">
                  <c:v>6.7050999999999998</c:v>
                </c:pt>
                <c:pt idx="1966">
                  <c:v>6.7050999999999998</c:v>
                </c:pt>
                <c:pt idx="1967">
                  <c:v>6.7050999999999998</c:v>
                </c:pt>
                <c:pt idx="1968">
                  <c:v>6.7050999999999998</c:v>
                </c:pt>
                <c:pt idx="1969">
                  <c:v>6.7050999999999998</c:v>
                </c:pt>
                <c:pt idx="1970">
                  <c:v>6.7050999999999998</c:v>
                </c:pt>
                <c:pt idx="1971">
                  <c:v>6.7050999999999998</c:v>
                </c:pt>
                <c:pt idx="1972">
                  <c:v>6.7050999999999998</c:v>
                </c:pt>
                <c:pt idx="1973">
                  <c:v>6.7050999999999998</c:v>
                </c:pt>
                <c:pt idx="1974">
                  <c:v>6.7050000000000001</c:v>
                </c:pt>
                <c:pt idx="1975">
                  <c:v>6.7050000000000001</c:v>
                </c:pt>
                <c:pt idx="1976">
                  <c:v>6.7050000000000001</c:v>
                </c:pt>
                <c:pt idx="1977">
                  <c:v>6.7050000000000001</c:v>
                </c:pt>
                <c:pt idx="1978">
                  <c:v>6.7050000000000001</c:v>
                </c:pt>
                <c:pt idx="1979">
                  <c:v>6.7050000000000001</c:v>
                </c:pt>
                <c:pt idx="1980">
                  <c:v>6.7050000000000001</c:v>
                </c:pt>
                <c:pt idx="1981">
                  <c:v>6.7050000000000001</c:v>
                </c:pt>
                <c:pt idx="1982">
                  <c:v>6.7050000000000001</c:v>
                </c:pt>
                <c:pt idx="1983">
                  <c:v>6.7049000000000003</c:v>
                </c:pt>
                <c:pt idx="1984">
                  <c:v>6.7049000000000003</c:v>
                </c:pt>
                <c:pt idx="1985">
                  <c:v>6.7049000000000003</c:v>
                </c:pt>
                <c:pt idx="1986">
                  <c:v>6.7049000000000003</c:v>
                </c:pt>
                <c:pt idx="1987">
                  <c:v>6.7049000000000003</c:v>
                </c:pt>
                <c:pt idx="1988">
                  <c:v>6.7049000000000003</c:v>
                </c:pt>
                <c:pt idx="1989">
                  <c:v>6.7049000000000003</c:v>
                </c:pt>
                <c:pt idx="1990">
                  <c:v>6.7049000000000003</c:v>
                </c:pt>
                <c:pt idx="1991">
                  <c:v>6.7049000000000003</c:v>
                </c:pt>
                <c:pt idx="1992">
                  <c:v>6.7049000000000003</c:v>
                </c:pt>
                <c:pt idx="1993">
                  <c:v>6.7047999999999996</c:v>
                </c:pt>
                <c:pt idx="1994">
                  <c:v>6.7047999999999996</c:v>
                </c:pt>
                <c:pt idx="1995">
                  <c:v>6.7047999999999996</c:v>
                </c:pt>
                <c:pt idx="1996">
                  <c:v>6.7047999999999996</c:v>
                </c:pt>
                <c:pt idx="1997">
                  <c:v>6.7047999999999996</c:v>
                </c:pt>
                <c:pt idx="1998">
                  <c:v>6.7047999999999996</c:v>
                </c:pt>
                <c:pt idx="1999">
                  <c:v>6.7047999999999996</c:v>
                </c:pt>
                <c:pt idx="2000">
                  <c:v>6.7047999999999996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439632"/>
        <c:axId val="333434032"/>
      </c:scatterChart>
      <c:valAx>
        <c:axId val="333439632"/>
        <c:scaling>
          <c:logBase val="10"/>
          <c:orientation val="minMax"/>
          <c:max val="1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300" b="1">
                    <a:solidFill>
                      <a:sysClr val="windowText" lastClr="000000"/>
                    </a:solidFill>
                  </a:rPr>
                  <a:t>Time</a:t>
                </a:r>
                <a:r>
                  <a:rPr lang="es-ES" sz="1300" b="1" baseline="0">
                    <a:solidFill>
                      <a:sysClr val="windowText" lastClr="000000"/>
                    </a:solidFill>
                  </a:rPr>
                  <a:t> (d)</a:t>
                </a:r>
                <a:endParaRPr lang="es-ES" sz="13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3434032"/>
        <c:crosses val="autoZero"/>
        <c:crossBetween val="midCat"/>
      </c:valAx>
      <c:valAx>
        <c:axId val="333434032"/>
        <c:scaling>
          <c:orientation val="minMax"/>
          <c:max val="1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300" b="1">
                    <a:solidFill>
                      <a:sysClr val="windowText" lastClr="000000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3439632"/>
        <c:crossesAt val="1.0000000000000002E-2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8727034120735"/>
          <c:y val="6.9444444444444448E-2"/>
          <c:w val="0.78790507436570434"/>
          <c:h val="0.66111913094196562"/>
        </c:manualLayout>
      </c:layout>
      <c:scatterChart>
        <c:scatterStyle val="lineMarker"/>
        <c:varyColors val="0"/>
        <c:ser>
          <c:idx val="0"/>
          <c:order val="0"/>
          <c:tx>
            <c:v>nitro-SMX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5"/>
          </c:errBars>
          <c:xVal>
            <c:numRef>
              <c:f>MOD_SMXN_Nodler!$A$2:$A$8</c:f>
              <c:numCache>
                <c:formatCode>General</c:formatCode>
                <c:ptCount val="7"/>
                <c:pt idx="0">
                  <c:v>2.0940990861504801E-2</c:v>
                </c:pt>
                <c:pt idx="1">
                  <c:v>2.9611029033271548</c:v>
                </c:pt>
                <c:pt idx="2">
                  <c:v>6.9360695336715956</c:v>
                </c:pt>
                <c:pt idx="3">
                  <c:v>14.03927703164935</c:v>
                </c:pt>
                <c:pt idx="4">
                  <c:v>20.750260160753701</c:v>
                </c:pt>
                <c:pt idx="5">
                  <c:v>27.927560550047751</c:v>
                </c:pt>
                <c:pt idx="6">
                  <c:v>34.902899316117001</c:v>
                </c:pt>
              </c:numCache>
            </c:numRef>
          </c:xVal>
          <c:yVal>
            <c:numRef>
              <c:f>MOD_SMXN_Nodler!$B$2:$B$8</c:f>
              <c:numCache>
                <c:formatCode>0.00E+00</c:formatCode>
                <c:ptCount val="7"/>
                <c:pt idx="0">
                  <c:v>3.4057694407490801E-6</c:v>
                </c:pt>
                <c:pt idx="1">
                  <c:v>3.39286947840832E-6</c:v>
                </c:pt>
                <c:pt idx="2">
                  <c:v>3.2186341950392299E-6</c:v>
                </c:pt>
                <c:pt idx="3">
                  <c:v>1.12001154289254E-6</c:v>
                </c:pt>
                <c:pt idx="4">
                  <c:v>1.52069809987944E-7</c:v>
                </c:pt>
                <c:pt idx="5">
                  <c:v>0</c:v>
                </c:pt>
                <c:pt idx="6" formatCode="General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SMX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"/>
          </c:errBars>
          <c:xVal>
            <c:numRef>
              <c:f>MOD_SMXN_Nodler!$A$2:$A$8</c:f>
              <c:numCache>
                <c:formatCode>General</c:formatCode>
                <c:ptCount val="7"/>
                <c:pt idx="0">
                  <c:v>2.0940990861504801E-2</c:v>
                </c:pt>
                <c:pt idx="1">
                  <c:v>2.9611029033271548</c:v>
                </c:pt>
                <c:pt idx="2">
                  <c:v>6.9360695336715956</c:v>
                </c:pt>
                <c:pt idx="3">
                  <c:v>14.03927703164935</c:v>
                </c:pt>
                <c:pt idx="4">
                  <c:v>20.750260160753701</c:v>
                </c:pt>
                <c:pt idx="5">
                  <c:v>27.927560550047751</c:v>
                </c:pt>
                <c:pt idx="6">
                  <c:v>34.902899316117001</c:v>
                </c:pt>
              </c:numCache>
            </c:numRef>
          </c:xVal>
          <c:yVal>
            <c:numRef>
              <c:f>MOD_SMXN_Nodler!$C$2:$C$8</c:f>
              <c:numCache>
                <c:formatCode>0.00E+00</c:formatCode>
                <c:ptCount val="7"/>
                <c:pt idx="0" formatCode="General">
                  <c:v>0</c:v>
                </c:pt>
                <c:pt idx="1">
                  <c:v>3.4230915788136801E-8</c:v>
                </c:pt>
                <c:pt idx="2">
                  <c:v>1.29225801707367E-7</c:v>
                </c:pt>
                <c:pt idx="3">
                  <c:v>1.2142343028917401E-6</c:v>
                </c:pt>
                <c:pt idx="4">
                  <c:v>2.3664879523844501E-6</c:v>
                </c:pt>
                <c:pt idx="5">
                  <c:v>2.73133694772941E-6</c:v>
                </c:pt>
                <c:pt idx="6">
                  <c:v>2.75959363670194E-6</c:v>
                </c:pt>
              </c:numCache>
            </c:numRef>
          </c:yVal>
          <c:smooth val="0"/>
        </c:ser>
        <c:ser>
          <c:idx val="3"/>
          <c:order val="2"/>
          <c:tx>
            <c:v>SMX_model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MOD_SMXN_Nodler!$A$11:$A$505</c:f>
              <c:numCache>
                <c:formatCode>General</c:formatCode>
                <c:ptCount val="4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</c:numCache>
            </c:numRef>
          </c:xVal>
          <c:yVal>
            <c:numRef>
              <c:f>MOD_SMXN_Nodler!$D$11:$D$505</c:f>
              <c:numCache>
                <c:formatCode>General</c:formatCode>
                <c:ptCount val="4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8.6999999999999694E-8</c:v>
                </c:pt>
                <c:pt idx="117">
                  <c:v>1.7138999999999942E-7</c:v>
                </c:pt>
                <c:pt idx="118">
                  <c:v>2.5324830000000058E-7</c:v>
                </c:pt>
                <c:pt idx="119">
                  <c:v>3.3265085100000029E-7</c:v>
                </c:pt>
                <c:pt idx="120">
                  <c:v>4.0967132546999998E-7</c:v>
                </c:pt>
                <c:pt idx="121">
                  <c:v>4.8438118570589969E-7</c:v>
                </c:pt>
                <c:pt idx="122">
                  <c:v>5.5684975013472245E-7</c:v>
                </c:pt>
                <c:pt idx="123">
                  <c:v>6.2714425763068181E-7</c:v>
                </c:pt>
                <c:pt idx="124">
                  <c:v>6.953299299017611E-7</c:v>
                </c:pt>
                <c:pt idx="125">
                  <c:v>7.6147003200470798E-7</c:v>
                </c:pt>
                <c:pt idx="126">
                  <c:v>8.2562593104456656E-7</c:v>
                </c:pt>
                <c:pt idx="127">
                  <c:v>8.8785715311322936E-7</c:v>
                </c:pt>
                <c:pt idx="128">
                  <c:v>9.4822143851983336E-7</c:v>
                </c:pt>
                <c:pt idx="129">
                  <c:v>1.0067747953642381E-6</c:v>
                </c:pt>
                <c:pt idx="130">
                  <c:v>1.0635715515033109E-6</c:v>
                </c:pt>
                <c:pt idx="131">
                  <c:v>1.1186644049582113E-6</c:v>
                </c:pt>
                <c:pt idx="132">
                  <c:v>1.1721044728094648E-6</c:v>
                </c:pt>
                <c:pt idx="133">
                  <c:v>1.2239413386251815E-6</c:v>
                </c:pt>
                <c:pt idx="134">
                  <c:v>1.2742230984664258E-6</c:v>
                </c:pt>
                <c:pt idx="135">
                  <c:v>1.322996405512433E-6</c:v>
                </c:pt>
                <c:pt idx="136">
                  <c:v>1.3703065133470597E-6</c:v>
                </c:pt>
                <c:pt idx="137">
                  <c:v>1.4161973179466478E-6</c:v>
                </c:pt>
                <c:pt idx="138">
                  <c:v>1.460711398408249E-6</c:v>
                </c:pt>
                <c:pt idx="139">
                  <c:v>1.5038900564560015E-6</c:v>
                </c:pt>
                <c:pt idx="140">
                  <c:v>1.5457733547623214E-6</c:v>
                </c:pt>
                <c:pt idx="141">
                  <c:v>1.5864001541194517E-6</c:v>
                </c:pt>
                <c:pt idx="142">
                  <c:v>1.6258081494958679E-6</c:v>
                </c:pt>
                <c:pt idx="143">
                  <c:v>1.6640339050109925E-6</c:v>
                </c:pt>
                <c:pt idx="144">
                  <c:v>1.7011128878606627E-6</c:v>
                </c:pt>
                <c:pt idx="145">
                  <c:v>1.7370795012248427E-6</c:v>
                </c:pt>
                <c:pt idx="146">
                  <c:v>1.7719671161880973E-6</c:v>
                </c:pt>
                <c:pt idx="147">
                  <c:v>1.8058081027024543E-6</c:v>
                </c:pt>
                <c:pt idx="148">
                  <c:v>1.8386338596213812E-6</c:v>
                </c:pt>
                <c:pt idx="149">
                  <c:v>1.8704748438327397E-6</c:v>
                </c:pt>
                <c:pt idx="150">
                  <c:v>1.9013605985177575E-6</c:v>
                </c:pt>
                <c:pt idx="151">
                  <c:v>1.9313197805622247E-6</c:v>
                </c:pt>
                <c:pt idx="152">
                  <c:v>1.9603801871453578E-6</c:v>
                </c:pt>
                <c:pt idx="153">
                  <c:v>1.9885687815309974E-6</c:v>
                </c:pt>
                <c:pt idx="154">
                  <c:v>2.0159117180850675E-6</c:v>
                </c:pt>
                <c:pt idx="155">
                  <c:v>2.0424343665425154E-6</c:v>
                </c:pt>
                <c:pt idx="156">
                  <c:v>2.0681613355462397E-6</c:v>
                </c:pt>
                <c:pt idx="157">
                  <c:v>2.0931164954798524E-6</c:v>
                </c:pt>
                <c:pt idx="158">
                  <c:v>2.1173230006154571E-6</c:v>
                </c:pt>
                <c:pt idx="159">
                  <c:v>2.1408033105969933E-6</c:v>
                </c:pt>
                <c:pt idx="160">
                  <c:v>2.1635792112790834E-6</c:v>
                </c:pt>
                <c:pt idx="161">
                  <c:v>2.1856718349407112E-6</c:v>
                </c:pt>
                <c:pt idx="162">
                  <c:v>2.2071016798924892E-6</c:v>
                </c:pt>
                <c:pt idx="163">
                  <c:v>2.2278886294957151E-6</c:v>
                </c:pt>
                <c:pt idx="164">
                  <c:v>2.2480519706108431E-6</c:v>
                </c:pt>
                <c:pt idx="165">
                  <c:v>2.2676104114925182E-6</c:v>
                </c:pt>
                <c:pt idx="166">
                  <c:v>2.2865820991477431E-6</c:v>
                </c:pt>
                <c:pt idx="167">
                  <c:v>2.3049846361733103E-6</c:v>
                </c:pt>
                <c:pt idx="168">
                  <c:v>2.3228350970881111E-6</c:v>
                </c:pt>
                <c:pt idx="169">
                  <c:v>2.3401500441754672E-6</c:v>
                </c:pt>
                <c:pt idx="170">
                  <c:v>2.3569455428502035E-6</c:v>
                </c:pt>
                <c:pt idx="171">
                  <c:v>2.3732371765646976E-6</c:v>
                </c:pt>
                <c:pt idx="172">
                  <c:v>2.3890400612677563E-6</c:v>
                </c:pt>
                <c:pt idx="173">
                  <c:v>2.404368859429724E-6</c:v>
                </c:pt>
                <c:pt idx="174">
                  <c:v>2.4192377936468319E-6</c:v>
                </c:pt>
                <c:pt idx="175">
                  <c:v>2.433660659837427E-6</c:v>
                </c:pt>
                <c:pt idx="176">
                  <c:v>2.4476508400423045E-6</c:v>
                </c:pt>
                <c:pt idx="177">
                  <c:v>2.461221314841035E-6</c:v>
                </c:pt>
                <c:pt idx="178">
                  <c:v>2.4743846753958041E-6</c:v>
                </c:pt>
                <c:pt idx="179">
                  <c:v>2.4871531351339295E-6</c:v>
                </c:pt>
                <c:pt idx="180">
                  <c:v>2.4995385410799119E-6</c:v>
                </c:pt>
                <c:pt idx="181">
                  <c:v>2.5115523848475148E-6</c:v>
                </c:pt>
                <c:pt idx="182">
                  <c:v>2.5232058133020893E-6</c:v>
                </c:pt>
                <c:pt idx="183">
                  <c:v>2.534509638903027E-6</c:v>
                </c:pt>
                <c:pt idx="184">
                  <c:v>2.5454743497359361E-6</c:v>
                </c:pt>
                <c:pt idx="185">
                  <c:v>2.5561101192438582E-6</c:v>
                </c:pt>
                <c:pt idx="186">
                  <c:v>2.5664268156665426E-6</c:v>
                </c:pt>
                <c:pt idx="187">
                  <c:v>2.5764340111965462E-6</c:v>
                </c:pt>
                <c:pt idx="188">
                  <c:v>2.5861409908606498E-6</c:v>
                </c:pt>
                <c:pt idx="189">
                  <c:v>2.5955567611348302E-6</c:v>
                </c:pt>
                <c:pt idx="190">
                  <c:v>2.6046900583007856E-6</c:v>
                </c:pt>
                <c:pt idx="191">
                  <c:v>2.6135493565517623E-6</c:v>
                </c:pt>
                <c:pt idx="192">
                  <c:v>2.6221428758552094E-6</c:v>
                </c:pt>
                <c:pt idx="193">
                  <c:v>2.6304785895795533E-6</c:v>
                </c:pt>
                <c:pt idx="194">
                  <c:v>2.6385642318921667E-6</c:v>
                </c:pt>
                <c:pt idx="195">
                  <c:v>2.6464073049354018E-6</c:v>
                </c:pt>
                <c:pt idx="196">
                  <c:v>2.6540150857873399E-6</c:v>
                </c:pt>
                <c:pt idx="197">
                  <c:v>2.6613946332137195E-6</c:v>
                </c:pt>
                <c:pt idx="198">
                  <c:v>2.6685527942173082E-6</c:v>
                </c:pt>
                <c:pt idx="199">
                  <c:v>2.6754962103907889E-6</c:v>
                </c:pt>
                <c:pt idx="200">
                  <c:v>2.6822313240790655E-6</c:v>
                </c:pt>
                <c:pt idx="201">
                  <c:v>2.6887643843566936E-6</c:v>
                </c:pt>
                <c:pt idx="202">
                  <c:v>2.6951014528259927E-6</c:v>
                </c:pt>
                <c:pt idx="203">
                  <c:v>2.7012484092412132E-6</c:v>
                </c:pt>
                <c:pt idx="204">
                  <c:v>2.7072109569639769E-6</c:v>
                </c:pt>
                <c:pt idx="205">
                  <c:v>2.7129946282550578E-6</c:v>
                </c:pt>
                <c:pt idx="206">
                  <c:v>2.7186047894074063E-6</c:v>
                </c:pt>
                <c:pt idx="207">
                  <c:v>2.7240466457251841E-6</c:v>
                </c:pt>
                <c:pt idx="208">
                  <c:v>2.7293252463534285E-6</c:v>
                </c:pt>
                <c:pt idx="209">
                  <c:v>2.7344454889628256E-6</c:v>
                </c:pt>
                <c:pt idx="210">
                  <c:v>2.7394121242939411E-6</c:v>
                </c:pt>
                <c:pt idx="211">
                  <c:v>2.7442297605651229E-6</c:v>
                </c:pt>
                <c:pt idx="212">
                  <c:v>2.7489028677481694E-6</c:v>
                </c:pt>
                <c:pt idx="213">
                  <c:v>2.7534357817157245E-6</c:v>
                </c:pt>
                <c:pt idx="214">
                  <c:v>2.7578327082642528E-6</c:v>
                </c:pt>
                <c:pt idx="215">
                  <c:v>2.7620977270163254E-6</c:v>
                </c:pt>
                <c:pt idx="216">
                  <c:v>2.7662347952058358E-6</c:v>
                </c:pt>
                <c:pt idx="217">
                  <c:v>2.7702477513496606E-6</c:v>
                </c:pt>
                <c:pt idx="218">
                  <c:v>2.7741403188091708E-6</c:v>
                </c:pt>
                <c:pt idx="219">
                  <c:v>2.7779161092448954E-6</c:v>
                </c:pt>
                <c:pt idx="220">
                  <c:v>2.7815786259675488E-6</c:v>
                </c:pt>
                <c:pt idx="221">
                  <c:v>2.7851312671885227E-6</c:v>
                </c:pt>
                <c:pt idx="222">
                  <c:v>2.7885773291728668E-6</c:v>
                </c:pt>
                <c:pt idx="223">
                  <c:v>2.7919200092976808E-6</c:v>
                </c:pt>
                <c:pt idx="224">
                  <c:v>2.7951624090187502E-6</c:v>
                </c:pt>
                <c:pt idx="225">
                  <c:v>2.7983075367481878E-6</c:v>
                </c:pt>
                <c:pt idx="226">
                  <c:v>2.8013583106457421E-6</c:v>
                </c:pt>
                <c:pt idx="227">
                  <c:v>2.8043175613263699E-6</c:v>
                </c:pt>
                <c:pt idx="228">
                  <c:v>2.8071880344865789E-6</c:v>
                </c:pt>
                <c:pt idx="229">
                  <c:v>2.8099723934519813E-6</c:v>
                </c:pt>
                <c:pt idx="230">
                  <c:v>2.8126732216484219E-6</c:v>
                </c:pt>
                <c:pt idx="231">
                  <c:v>2.8152930249989691E-6</c:v>
                </c:pt>
                <c:pt idx="232">
                  <c:v>2.817834234249E-6</c:v>
                </c:pt>
                <c:pt idx="233">
                  <c:v>2.8202992072215301E-6</c:v>
                </c:pt>
                <c:pt idx="234">
                  <c:v>2.8226902310048843E-6</c:v>
                </c:pt>
                <c:pt idx="235">
                  <c:v>2.8250095240747378E-6</c:v>
                </c:pt>
                <c:pt idx="236">
                  <c:v>2.8272592383524959E-6</c:v>
                </c:pt>
                <c:pt idx="237">
                  <c:v>2.8294414612019211E-6</c:v>
                </c:pt>
                <c:pt idx="238">
                  <c:v>2.8315582173658637E-6</c:v>
                </c:pt>
                <c:pt idx="239">
                  <c:v>2.8336114708448876E-6</c:v>
                </c:pt>
                <c:pt idx="240">
                  <c:v>2.8356031267195411E-6</c:v>
                </c:pt>
                <c:pt idx="241">
                  <c:v>2.837535032917955E-6</c:v>
                </c:pt>
                <c:pt idx="242">
                  <c:v>2.8394089819304163E-6</c:v>
                </c:pt>
                <c:pt idx="243">
                  <c:v>2.8412267124725037E-6</c:v>
                </c:pt>
                <c:pt idx="244">
                  <c:v>2.8429899110983287E-6</c:v>
                </c:pt>
                <c:pt idx="245">
                  <c:v>2.8447002137653788E-6</c:v>
                </c:pt>
                <c:pt idx="246">
                  <c:v>2.8463592073524177E-6</c:v>
                </c:pt>
                <c:pt idx="247">
                  <c:v>2.8479684311318454E-6</c:v>
                </c:pt>
                <c:pt idx="248">
                  <c:v>2.8495293781978902E-6</c:v>
                </c:pt>
                <c:pt idx="249">
                  <c:v>2.8510434968519535E-6</c:v>
                </c:pt>
                <c:pt idx="250">
                  <c:v>2.8525121919463951E-6</c:v>
                </c:pt>
                <c:pt idx="251">
                  <c:v>2.8539368261880035E-6</c:v>
                </c:pt>
                <c:pt idx="252">
                  <c:v>2.8553187214023636E-6</c:v>
                </c:pt>
                <c:pt idx="253">
                  <c:v>2.8566591597602928E-6</c:v>
                </c:pt>
                <c:pt idx="254">
                  <c:v>2.857959384967484E-6</c:v>
                </c:pt>
                <c:pt idx="255">
                  <c:v>2.8592206034184597E-6</c:v>
                </c:pt>
                <c:pt idx="256">
                  <c:v>2.860443985315906E-6</c:v>
                </c:pt>
                <c:pt idx="257">
                  <c:v>2.8616306657564288E-6</c:v>
                </c:pt>
                <c:pt idx="258">
                  <c:v>2.862781745783736E-6</c:v>
                </c:pt>
                <c:pt idx="259">
                  <c:v>2.8638982934102238E-6</c:v>
                </c:pt>
                <c:pt idx="260">
                  <c:v>2.864981344607917E-6</c:v>
                </c:pt>
                <c:pt idx="261">
                  <c:v>2.8660319042696795E-6</c:v>
                </c:pt>
                <c:pt idx="262">
                  <c:v>2.8670509471415893E-6</c:v>
                </c:pt>
                <c:pt idx="263">
                  <c:v>2.8680394187273416E-6</c:v>
                </c:pt>
                <c:pt idx="264">
                  <c:v>2.8689982361655216E-6</c:v>
                </c:pt>
                <c:pt idx="265">
                  <c:v>2.8699282890805561E-6</c:v>
                </c:pt>
                <c:pt idx="266">
                  <c:v>2.8708304404081394E-6</c:v>
                </c:pt>
                <c:pt idx="267">
                  <c:v>2.8717055271958952E-6</c:v>
                </c:pt>
                <c:pt idx="268">
                  <c:v>2.8725543613800185E-6</c:v>
                </c:pt>
                <c:pt idx="269">
                  <c:v>2.8733777305386179E-6</c:v>
                </c:pt>
                <c:pt idx="270">
                  <c:v>2.8741763986224592E-6</c:v>
                </c:pt>
                <c:pt idx="271">
                  <c:v>2.8749511066637853E-6</c:v>
                </c:pt>
                <c:pt idx="272">
                  <c:v>2.8757025734638718E-6</c:v>
                </c:pt>
                <c:pt idx="273">
                  <c:v>2.8764314962599557E-6</c:v>
                </c:pt>
                <c:pt idx="274">
                  <c:v>2.8771385513721572E-6</c:v>
                </c:pt>
                <c:pt idx="275">
                  <c:v>2.8778243948309927E-6</c:v>
                </c:pt>
                <c:pt idx="276">
                  <c:v>2.8784896629860629E-6</c:v>
                </c:pt>
                <c:pt idx="277">
                  <c:v>2.8791349730964811E-6</c:v>
                </c:pt>
                <c:pt idx="278">
                  <c:v>2.8797609239035865E-6</c:v>
                </c:pt>
                <c:pt idx="279">
                  <c:v>2.8803680961864788E-6</c:v>
                </c:pt>
                <c:pt idx="280">
                  <c:v>2.8809570533008847E-6</c:v>
                </c:pt>
                <c:pt idx="281">
                  <c:v>2.8815283417018583E-6</c:v>
                </c:pt>
                <c:pt idx="282">
                  <c:v>2.8820824914508028E-6</c:v>
                </c:pt>
                <c:pt idx="283">
                  <c:v>2.8826200167072788E-6</c:v>
                </c:pt>
                <c:pt idx="284">
                  <c:v>2.8831414162060605E-6</c:v>
                </c:pt>
                <c:pt idx="285">
                  <c:v>2.8836471737198786E-6</c:v>
                </c:pt>
                <c:pt idx="286">
                  <c:v>2.8841377585082825E-6</c:v>
                </c:pt>
                <c:pt idx="287">
                  <c:v>2.884613625753034E-6</c:v>
                </c:pt>
                <c:pt idx="288">
                  <c:v>2.8850752169804432E-6</c:v>
                </c:pt>
                <c:pt idx="289">
                  <c:v>2.88552296047103E-6</c:v>
                </c:pt>
                <c:pt idx="290">
                  <c:v>2.8859572716568991E-6</c:v>
                </c:pt>
                <c:pt idx="291">
                  <c:v>2.8863785535071924E-6</c:v>
                </c:pt>
                <c:pt idx="292">
                  <c:v>2.8867871969019768E-6</c:v>
                </c:pt>
                <c:pt idx="293">
                  <c:v>2.8871835809949175E-6</c:v>
                </c:pt>
                <c:pt idx="294">
                  <c:v>2.8875680735650699E-6</c:v>
                </c:pt>
                <c:pt idx="295">
                  <c:v>2.8879410313581177E-6</c:v>
                </c:pt>
                <c:pt idx="296">
                  <c:v>2.8883028004173741E-6</c:v>
                </c:pt>
                <c:pt idx="297">
                  <c:v>2.8886537164048532E-6</c:v>
                </c:pt>
                <c:pt idx="298">
                  <c:v>2.8889941049127076E-6</c:v>
                </c:pt>
                <c:pt idx="299">
                  <c:v>2.8893242817653264E-6</c:v>
                </c:pt>
                <c:pt idx="300">
                  <c:v>2.8896445533123667E-6</c:v>
                </c:pt>
                <c:pt idx="301">
                  <c:v>2.8899552167129959E-6</c:v>
                </c:pt>
                <c:pt idx="302">
                  <c:v>2.8902565602116063E-6</c:v>
                </c:pt>
                <c:pt idx="303">
                  <c:v>2.8905488634052583E-6</c:v>
                </c:pt>
                <c:pt idx="304">
                  <c:v>2.8908323975031007E-6</c:v>
                </c:pt>
                <c:pt idx="305">
                  <c:v>2.891107425578008E-6</c:v>
                </c:pt>
                <c:pt idx="306">
                  <c:v>2.8913742028106679E-6</c:v>
                </c:pt>
                <c:pt idx="307">
                  <c:v>2.8916329767263479E-6</c:v>
                </c:pt>
                <c:pt idx="308">
                  <c:v>2.8918839874245573E-6</c:v>
                </c:pt>
                <c:pt idx="309">
                  <c:v>2.8921274678018205E-6</c:v>
                </c:pt>
                <c:pt idx="310">
                  <c:v>2.8923636437677659E-6</c:v>
                </c:pt>
                <c:pt idx="311">
                  <c:v>2.8925927344547332E-6</c:v>
                </c:pt>
                <c:pt idx="312">
                  <c:v>2.8928149524210911E-6</c:v>
                </c:pt>
                <c:pt idx="313">
                  <c:v>2.8930305038484584E-6</c:v>
                </c:pt>
                <c:pt idx="314">
                  <c:v>2.8932395887330047E-6</c:v>
                </c:pt>
                <c:pt idx="315">
                  <c:v>2.8934424010710145E-6</c:v>
                </c:pt>
                <c:pt idx="316">
                  <c:v>2.893639129038884E-6</c:v>
                </c:pt>
                <c:pt idx="317">
                  <c:v>2.8938299551677177E-6</c:v>
                </c:pt>
                <c:pt idx="318">
                  <c:v>2.8940150565126863E-6</c:v>
                </c:pt>
                <c:pt idx="319">
                  <c:v>2.894194604817306E-6</c:v>
                </c:pt>
                <c:pt idx="320">
                  <c:v>2.894368766672787E-6</c:v>
                </c:pt>
                <c:pt idx="321">
                  <c:v>2.8945377036726035E-6</c:v>
                </c:pt>
                <c:pt idx="322">
                  <c:v>2.8947015725624254E-6</c:v>
                </c:pt>
                <c:pt idx="323">
                  <c:v>2.8948605253855527E-6</c:v>
                </c:pt>
                <c:pt idx="324">
                  <c:v>2.8950147096239864E-6</c:v>
                </c:pt>
                <c:pt idx="325">
                  <c:v>2.8951642683352669E-6</c:v>
                </c:pt>
                <c:pt idx="326">
                  <c:v>2.8953093402852092E-6</c:v>
                </c:pt>
                <c:pt idx="327">
                  <c:v>2.8954500600766528E-6</c:v>
                </c:pt>
                <c:pt idx="328">
                  <c:v>2.8955865582743531E-6</c:v>
                </c:pt>
                <c:pt idx="329">
                  <c:v>2.8957189615261228E-6</c:v>
                </c:pt>
                <c:pt idx="330">
                  <c:v>2.8958473926803392E-6</c:v>
                </c:pt>
                <c:pt idx="331">
                  <c:v>2.8959719708999289E-6</c:v>
                </c:pt>
                <c:pt idx="332">
                  <c:v>2.8960928117729311E-6</c:v>
                </c:pt>
                <c:pt idx="333">
                  <c:v>2.8962100274197433E-6</c:v>
                </c:pt>
                <c:pt idx="334">
                  <c:v>2.896323726597151E-6</c:v>
                </c:pt>
                <c:pt idx="335">
                  <c:v>2.8964340147992364E-6</c:v>
                </c:pt>
                <c:pt idx="336">
                  <c:v>2.8965409943552596E-6</c:v>
                </c:pt>
                <c:pt idx="337">
                  <c:v>2.8966447645246019E-6</c:v>
                </c:pt>
                <c:pt idx="338">
                  <c:v>2.8967454215888641E-6</c:v>
                </c:pt>
                <c:pt idx="339">
                  <c:v>2.8968430589411981E-6</c:v>
                </c:pt>
                <c:pt idx="340">
                  <c:v>2.8969377671729621E-6</c:v>
                </c:pt>
                <c:pt idx="341">
                  <c:v>2.8970296341577731E-6</c:v>
                </c:pt>
                <c:pt idx="342">
                  <c:v>2.89711874513304E-6</c:v>
                </c:pt>
                <c:pt idx="343">
                  <c:v>2.8972051827790487E-6</c:v>
                </c:pt>
                <c:pt idx="344">
                  <c:v>2.8972890272956775E-6</c:v>
                </c:pt>
                <c:pt idx="345">
                  <c:v>2.8973703564768072E-6</c:v>
                </c:pt>
                <c:pt idx="346">
                  <c:v>2.8974492457825028E-6</c:v>
                </c:pt>
                <c:pt idx="347">
                  <c:v>2.8975257684090276E-6</c:v>
                </c:pt>
                <c:pt idx="348">
                  <c:v>2.8975999953567568E-6</c:v>
                </c:pt>
                <c:pt idx="349">
                  <c:v>2.8976719954960542E-6</c:v>
                </c:pt>
                <c:pt idx="350">
                  <c:v>2.8977418356311726E-6</c:v>
                </c:pt>
                <c:pt idx="351">
                  <c:v>2.8978095805622376E-6</c:v>
                </c:pt>
                <c:pt idx="352">
                  <c:v>2.8978752931453706E-6</c:v>
                </c:pt>
                <c:pt idx="353">
                  <c:v>2.8979390343510098E-6</c:v>
                </c:pt>
                <c:pt idx="354">
                  <c:v>2.8980008633204795E-6</c:v>
                </c:pt>
                <c:pt idx="355">
                  <c:v>2.8980608374208652E-6</c:v>
                </c:pt>
                <c:pt idx="356">
                  <c:v>2.8981190122982392E-6</c:v>
                </c:pt>
                <c:pt idx="357">
                  <c:v>2.8981754419292919E-6</c:v>
                </c:pt>
                <c:pt idx="358">
                  <c:v>2.8982301786714134E-6</c:v>
                </c:pt>
                <c:pt idx="359">
                  <c:v>2.8982832733112711E-6</c:v>
                </c:pt>
                <c:pt idx="360">
                  <c:v>2.8983347751119332E-6</c:v>
                </c:pt>
                <c:pt idx="361">
                  <c:v>2.8983847318585753E-6</c:v>
                </c:pt>
                <c:pt idx="362">
                  <c:v>2.8984331899028182E-6</c:v>
                </c:pt>
                <c:pt idx="363">
                  <c:v>2.8984801942057335E-6</c:v>
                </c:pt>
                <c:pt idx="364">
                  <c:v>2.8985257883795616E-6</c:v>
                </c:pt>
                <c:pt idx="365">
                  <c:v>2.8985700147281747E-6</c:v>
                </c:pt>
                <c:pt idx="366">
                  <c:v>2.8986129142863295E-6</c:v>
                </c:pt>
                <c:pt idx="367">
                  <c:v>2.8986545268577397E-6</c:v>
                </c:pt>
                <c:pt idx="368">
                  <c:v>2.8986948910520075E-6</c:v>
                </c:pt>
                <c:pt idx="369">
                  <c:v>2.8987340443204475E-6</c:v>
                </c:pt>
                <c:pt idx="370">
                  <c:v>2.8987720229908342E-6</c:v>
                </c:pt>
                <c:pt idx="371">
                  <c:v>2.898808862301109E-6</c:v>
                </c:pt>
                <c:pt idx="372">
                  <c:v>2.8988445964320758E-6</c:v>
                </c:pt>
                <c:pt idx="373">
                  <c:v>2.8988792585391134E-6</c:v>
                </c:pt>
                <c:pt idx="374">
                  <c:v>2.8989128807829401E-6</c:v>
                </c:pt>
                <c:pt idx="375">
                  <c:v>2.8989454943594519E-6</c:v>
                </c:pt>
                <c:pt idx="376">
                  <c:v>2.8989771295286685E-6</c:v>
                </c:pt>
                <c:pt idx="377">
                  <c:v>2.8990078156428084E-6</c:v>
                </c:pt>
                <c:pt idx="378">
                  <c:v>2.8990375811735244E-6</c:v>
                </c:pt>
                <c:pt idx="379">
                  <c:v>2.8990664537383189E-6</c:v>
                </c:pt>
                <c:pt idx="380">
                  <c:v>2.8990944601261695E-6</c:v>
                </c:pt>
                <c:pt idx="381">
                  <c:v>2.8991216263223843E-6</c:v>
                </c:pt>
                <c:pt idx="382">
                  <c:v>2.8991479775327128E-6</c:v>
                </c:pt>
                <c:pt idx="383">
                  <c:v>2.8991735382067316E-6</c:v>
                </c:pt>
                <c:pt idx="384">
                  <c:v>2.8991983320605298E-6</c:v>
                </c:pt>
                <c:pt idx="385">
                  <c:v>2.8992223820987139E-6</c:v>
                </c:pt>
                <c:pt idx="386">
                  <c:v>2.8992457106357526E-6</c:v>
                </c:pt>
                <c:pt idx="387">
                  <c:v>2.8992683393166802E-6</c:v>
                </c:pt>
                <c:pt idx="388">
                  <c:v>2.8992902891371797E-6</c:v>
                </c:pt>
                <c:pt idx="389">
                  <c:v>2.8993115804630644E-6</c:v>
                </c:pt>
                <c:pt idx="390">
                  <c:v>2.8993322330491727E-6</c:v>
                </c:pt>
                <c:pt idx="391">
                  <c:v>2.8993522660576973E-6</c:v>
                </c:pt>
                <c:pt idx="392">
                  <c:v>2.8993716980759663E-6</c:v>
                </c:pt>
                <c:pt idx="393">
                  <c:v>2.8993905471336875E-6</c:v>
                </c:pt>
                <c:pt idx="394">
                  <c:v>2.8994088307196771E-6</c:v>
                </c:pt>
                <c:pt idx="395">
                  <c:v>2.899426565798087E-6</c:v>
                </c:pt>
                <c:pt idx="396">
                  <c:v>2.8994437688241445E-6</c:v>
                </c:pt>
                <c:pt idx="397">
                  <c:v>2.8994604557594203E-6</c:v>
                </c:pt>
                <c:pt idx="398">
                  <c:v>2.8994766420866376E-6</c:v>
                </c:pt>
                <c:pt idx="399">
                  <c:v>2.8994923428240384E-6</c:v>
                </c:pt>
                <c:pt idx="400">
                  <c:v>2.8995075725393172E-6</c:v>
                </c:pt>
                <c:pt idx="401">
                  <c:v>2.8995223453631378E-6</c:v>
                </c:pt>
                <c:pt idx="402">
                  <c:v>2.8995366750022439E-6</c:v>
                </c:pt>
                <c:pt idx="403">
                  <c:v>2.8995505747521765E-6</c:v>
                </c:pt>
                <c:pt idx="404">
                  <c:v>2.8995640575096111E-6</c:v>
                </c:pt>
                <c:pt idx="405">
                  <c:v>2.8995771357843228E-6</c:v>
                </c:pt>
                <c:pt idx="406">
                  <c:v>2.8995898217107932E-6</c:v>
                </c:pt>
                <c:pt idx="407">
                  <c:v>2.8996021270594693E-6</c:v>
                </c:pt>
                <c:pt idx="408">
                  <c:v>2.8996140632476852E-6</c:v>
                </c:pt>
                <c:pt idx="409">
                  <c:v>2.8996256413502548E-6</c:v>
                </c:pt>
                <c:pt idx="410">
                  <c:v>2.8996368721097472E-6</c:v>
                </c:pt>
                <c:pt idx="411">
                  <c:v>2.8996477659464548E-6</c:v>
                </c:pt>
                <c:pt idx="412">
                  <c:v>2.8996583329680612E-6</c:v>
                </c:pt>
                <c:pt idx="413">
                  <c:v>2.8996685829790194E-6</c:v>
                </c:pt>
                <c:pt idx="414">
                  <c:v>2.8996785254896489E-6</c:v>
                </c:pt>
                <c:pt idx="415">
                  <c:v>2.8996881697249595E-6</c:v>
                </c:pt>
                <c:pt idx="416">
                  <c:v>2.8996975246332108E-6</c:v>
                </c:pt>
                <c:pt idx="417">
                  <c:v>2.8997065988942143E-6</c:v>
                </c:pt>
                <c:pt idx="418">
                  <c:v>2.8997154009273879E-6</c:v>
                </c:pt>
                <c:pt idx="419">
                  <c:v>2.8997239388995665E-6</c:v>
                </c:pt>
                <c:pt idx="420">
                  <c:v>2.8997322207325797E-6</c:v>
                </c:pt>
                <c:pt idx="421">
                  <c:v>2.8997402541106022E-6</c:v>
                </c:pt>
                <c:pt idx="422">
                  <c:v>2.899748046487284E-6</c:v>
                </c:pt>
                <c:pt idx="423">
                  <c:v>2.8997556050926654E-6</c:v>
                </c:pt>
                <c:pt idx="424">
                  <c:v>2.8997629369398855E-6</c:v>
                </c:pt>
                <c:pt idx="425">
                  <c:v>2.8997700488316889E-6</c:v>
                </c:pt>
                <c:pt idx="426">
                  <c:v>2.8997769473667382E-6</c:v>
                </c:pt>
                <c:pt idx="427">
                  <c:v>2.8997836389457363E-6</c:v>
                </c:pt>
                <c:pt idx="428">
                  <c:v>2.8997901297773643E-6</c:v>
                </c:pt>
                <c:pt idx="429">
                  <c:v>2.8997964258840434E-6</c:v>
                </c:pt>
                <c:pt idx="430">
                  <c:v>2.8998025331075223E-6</c:v>
                </c:pt>
                <c:pt idx="431">
                  <c:v>2.8998084571142968E-6</c:v>
                </c:pt>
                <c:pt idx="432">
                  <c:v>2.8998142034008678E-6</c:v>
                </c:pt>
                <c:pt idx="433">
                  <c:v>2.8998197772988419E-6</c:v>
                </c:pt>
                <c:pt idx="434">
                  <c:v>2.8998251839798767E-6</c:v>
                </c:pt>
                <c:pt idx="435">
                  <c:v>2.8998304284604806E-6</c:v>
                </c:pt>
                <c:pt idx="436">
                  <c:v>2.8998355156066661E-6</c:v>
                </c:pt>
                <c:pt idx="437">
                  <c:v>2.8998404501384663E-6</c:v>
                </c:pt>
                <c:pt idx="438">
                  <c:v>2.8998452366343124E-6</c:v>
                </c:pt>
                <c:pt idx="439">
                  <c:v>2.8998498795352833E-6</c:v>
                </c:pt>
                <c:pt idx="440">
                  <c:v>2.899854383149225E-6</c:v>
                </c:pt>
                <c:pt idx="441">
                  <c:v>2.8998587516547484E-6</c:v>
                </c:pt>
                <c:pt idx="442">
                  <c:v>2.8998629891051061E-6</c:v>
                </c:pt>
                <c:pt idx="443">
                  <c:v>2.8998670994319531E-6</c:v>
                </c:pt>
                <c:pt idx="444">
                  <c:v>2.8998710864489947E-6</c:v>
                </c:pt>
                <c:pt idx="445">
                  <c:v>2.8998749538555249E-6</c:v>
                </c:pt>
                <c:pt idx="446">
                  <c:v>2.8998787052398591E-6</c:v>
                </c:pt>
                <c:pt idx="447">
                  <c:v>2.8998823440826635E-6</c:v>
                </c:pt>
                <c:pt idx="448">
                  <c:v>2.8998858737601836E-6</c:v>
                </c:pt>
                <c:pt idx="449">
                  <c:v>2.8998892975473781E-6</c:v>
                </c:pt>
                <c:pt idx="450">
                  <c:v>2.899892618620957E-6</c:v>
                </c:pt>
                <c:pt idx="451">
                  <c:v>2.8998958400623282E-6</c:v>
                </c:pt>
                <c:pt idx="452">
                  <c:v>2.8998989648604584E-6</c:v>
                </c:pt>
                <c:pt idx="453">
                  <c:v>2.8999019959146449E-6</c:v>
                </c:pt>
                <c:pt idx="454">
                  <c:v>2.8999049360372056E-6</c:v>
                </c:pt>
                <c:pt idx="455">
                  <c:v>2.8999077879560897E-6</c:v>
                </c:pt>
                <c:pt idx="456">
                  <c:v>2.8999105543174069E-6</c:v>
                </c:pt>
                <c:pt idx="457">
                  <c:v>2.8999132376878848E-6</c:v>
                </c:pt>
                <c:pt idx="458">
                  <c:v>2.8999158405572484E-6</c:v>
                </c:pt>
                <c:pt idx="459">
                  <c:v>2.8999183653405309E-6</c:v>
                </c:pt>
                <c:pt idx="460">
                  <c:v>2.8999208143803151E-6</c:v>
                </c:pt>
                <c:pt idx="461">
                  <c:v>2.8999231899489057E-6</c:v>
                </c:pt>
                <c:pt idx="462">
                  <c:v>2.8999254942504388E-6</c:v>
                </c:pt>
                <c:pt idx="463">
                  <c:v>2.8999277294229257E-6</c:v>
                </c:pt>
                <c:pt idx="464">
                  <c:v>2.8999298975402379E-6</c:v>
                </c:pt>
                <c:pt idx="465">
                  <c:v>2.8999320006140307E-6</c:v>
                </c:pt>
                <c:pt idx="466">
                  <c:v>2.8999340405956101E-6</c:v>
                </c:pt>
                <c:pt idx="467">
                  <c:v>2.8999360193777418E-6</c:v>
                </c:pt>
                <c:pt idx="468">
                  <c:v>2.8999379387964098E-6</c:v>
                </c:pt>
                <c:pt idx="469">
                  <c:v>2.8999398006325175E-6</c:v>
                </c:pt>
                <c:pt idx="470">
                  <c:v>2.8999416066135423E-6</c:v>
                </c:pt>
                <c:pt idx="471">
                  <c:v>2.8999433584151363E-6</c:v>
                </c:pt>
                <c:pt idx="472">
                  <c:v>2.8999450576626824E-6</c:v>
                </c:pt>
                <c:pt idx="473">
                  <c:v>2.8999467059328021E-6</c:v>
                </c:pt>
                <c:pt idx="474">
                  <c:v>2.899948304754818E-6</c:v>
                </c:pt>
                <c:pt idx="475">
                  <c:v>2.8999498556121737E-6</c:v>
                </c:pt>
                <c:pt idx="476">
                  <c:v>2.8999513599438086E-6</c:v>
                </c:pt>
                <c:pt idx="477">
                  <c:v>2.8999528191454942E-6</c:v>
                </c:pt>
                <c:pt idx="478">
                  <c:v>2.8999542345711293E-6</c:v>
                </c:pt>
                <c:pt idx="479">
                  <c:v>2.8999556075339956E-6</c:v>
                </c:pt>
                <c:pt idx="480">
                  <c:v>2.8999569393079756E-6</c:v>
                </c:pt>
                <c:pt idx="481">
                  <c:v>2.8999582311287363E-6</c:v>
                </c:pt>
                <c:pt idx="482">
                  <c:v>2.8999594841948741E-6</c:v>
                </c:pt>
                <c:pt idx="483">
                  <c:v>2.8999606996690277E-6</c:v>
                </c:pt>
                <c:pt idx="484">
                  <c:v>2.8999618786789568E-6</c:v>
                </c:pt>
                <c:pt idx="485">
                  <c:v>2.8999630223185882E-6</c:v>
                </c:pt>
                <c:pt idx="486">
                  <c:v>2.8999641316490307E-6</c:v>
                </c:pt>
                <c:pt idx="487">
                  <c:v>2.8999652076995597E-6</c:v>
                </c:pt>
                <c:pt idx="488">
                  <c:v>2.899966251468573E-6</c:v>
                </c:pt>
                <c:pt idx="489">
                  <c:v>2.8999672639245158E-6</c:v>
                </c:pt>
                <c:pt idx="490">
                  <c:v>2.8999682460067805E-6</c:v>
                </c:pt>
                <c:pt idx="491">
                  <c:v>2.899969198626577E-6</c:v>
                </c:pt>
                <c:pt idx="492">
                  <c:v>2.8999701226677796E-6</c:v>
                </c:pt>
                <c:pt idx="493">
                  <c:v>2.8999710189877462E-6</c:v>
                </c:pt>
                <c:pt idx="494">
                  <c:v>2.899971888418114E-6</c:v>
                </c:pt>
              </c:numCache>
            </c:numRef>
          </c:yVal>
          <c:smooth val="0"/>
        </c:ser>
        <c:ser>
          <c:idx val="2"/>
          <c:order val="3"/>
          <c:tx>
            <c:v>SMXnitro_model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MOD_SMXN_Nodler!$A$11:$A$505</c:f>
              <c:numCache>
                <c:formatCode>General</c:formatCode>
                <c:ptCount val="4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</c:numCache>
            </c:numRef>
          </c:xVal>
          <c:yVal>
            <c:numRef>
              <c:f>MOD_SMXN_Nodler!$C$11:$C$505</c:f>
              <c:numCache>
                <c:formatCode>General</c:formatCode>
                <c:ptCount val="495"/>
                <c:pt idx="0" formatCode="0.00E+00">
                  <c:v>2.9000000000000002E-6</c:v>
                </c:pt>
                <c:pt idx="1">
                  <c:v>2.9000000000000002E-6</c:v>
                </c:pt>
                <c:pt idx="2">
                  <c:v>2.9000000000000002E-6</c:v>
                </c:pt>
                <c:pt idx="3">
                  <c:v>2.9000000000000002E-6</c:v>
                </c:pt>
                <c:pt idx="4">
                  <c:v>2.9000000000000002E-6</c:v>
                </c:pt>
                <c:pt idx="5">
                  <c:v>2.9000000000000002E-6</c:v>
                </c:pt>
                <c:pt idx="6">
                  <c:v>2.9000000000000002E-6</c:v>
                </c:pt>
                <c:pt idx="7">
                  <c:v>2.9000000000000002E-6</c:v>
                </c:pt>
                <c:pt idx="8">
                  <c:v>2.9000000000000002E-6</c:v>
                </c:pt>
                <c:pt idx="9">
                  <c:v>2.9000000000000002E-6</c:v>
                </c:pt>
                <c:pt idx="10">
                  <c:v>2.9000000000000002E-6</c:v>
                </c:pt>
                <c:pt idx="11">
                  <c:v>2.9000000000000002E-6</c:v>
                </c:pt>
                <c:pt idx="12">
                  <c:v>2.9000000000000002E-6</c:v>
                </c:pt>
                <c:pt idx="13">
                  <c:v>2.9000000000000002E-6</c:v>
                </c:pt>
                <c:pt idx="14">
                  <c:v>2.9000000000000002E-6</c:v>
                </c:pt>
                <c:pt idx="15">
                  <c:v>2.9000000000000002E-6</c:v>
                </c:pt>
                <c:pt idx="16">
                  <c:v>2.9000000000000002E-6</c:v>
                </c:pt>
                <c:pt idx="17">
                  <c:v>2.9000000000000002E-6</c:v>
                </c:pt>
                <c:pt idx="18">
                  <c:v>2.9000000000000002E-6</c:v>
                </c:pt>
                <c:pt idx="19">
                  <c:v>2.9000000000000002E-6</c:v>
                </c:pt>
                <c:pt idx="20">
                  <c:v>2.9000000000000002E-6</c:v>
                </c:pt>
                <c:pt idx="21">
                  <c:v>2.9000000000000002E-6</c:v>
                </c:pt>
                <c:pt idx="22">
                  <c:v>2.9000000000000002E-6</c:v>
                </c:pt>
                <c:pt idx="23">
                  <c:v>2.9000000000000002E-6</c:v>
                </c:pt>
                <c:pt idx="24">
                  <c:v>2.9000000000000002E-6</c:v>
                </c:pt>
                <c:pt idx="25">
                  <c:v>2.9000000000000002E-6</c:v>
                </c:pt>
                <c:pt idx="26">
                  <c:v>2.9000000000000002E-6</c:v>
                </c:pt>
                <c:pt idx="27">
                  <c:v>2.9000000000000002E-6</c:v>
                </c:pt>
                <c:pt idx="28">
                  <c:v>2.9000000000000002E-6</c:v>
                </c:pt>
                <c:pt idx="29">
                  <c:v>2.9000000000000002E-6</c:v>
                </c:pt>
                <c:pt idx="30">
                  <c:v>2.9000000000000002E-6</c:v>
                </c:pt>
                <c:pt idx="31">
                  <c:v>2.9000000000000002E-6</c:v>
                </c:pt>
                <c:pt idx="32">
                  <c:v>2.9000000000000002E-6</c:v>
                </c:pt>
                <c:pt idx="33">
                  <c:v>2.9000000000000002E-6</c:v>
                </c:pt>
                <c:pt idx="34">
                  <c:v>2.9000000000000002E-6</c:v>
                </c:pt>
                <c:pt idx="35">
                  <c:v>2.9000000000000002E-6</c:v>
                </c:pt>
                <c:pt idx="36">
                  <c:v>2.9000000000000002E-6</c:v>
                </c:pt>
                <c:pt idx="37">
                  <c:v>2.9000000000000002E-6</c:v>
                </c:pt>
                <c:pt idx="38">
                  <c:v>2.9000000000000002E-6</c:v>
                </c:pt>
                <c:pt idx="39">
                  <c:v>2.9000000000000002E-6</c:v>
                </c:pt>
                <c:pt idx="40">
                  <c:v>2.9000000000000002E-6</c:v>
                </c:pt>
                <c:pt idx="41">
                  <c:v>2.9000000000000002E-6</c:v>
                </c:pt>
                <c:pt idx="42">
                  <c:v>2.9000000000000002E-6</c:v>
                </c:pt>
                <c:pt idx="43">
                  <c:v>2.9000000000000002E-6</c:v>
                </c:pt>
                <c:pt idx="44">
                  <c:v>2.9000000000000002E-6</c:v>
                </c:pt>
                <c:pt idx="45">
                  <c:v>2.9000000000000002E-6</c:v>
                </c:pt>
                <c:pt idx="46">
                  <c:v>2.9000000000000002E-6</c:v>
                </c:pt>
                <c:pt idx="47">
                  <c:v>2.9000000000000002E-6</c:v>
                </c:pt>
                <c:pt idx="48">
                  <c:v>2.9000000000000002E-6</c:v>
                </c:pt>
                <c:pt idx="49">
                  <c:v>2.9000000000000002E-6</c:v>
                </c:pt>
                <c:pt idx="50">
                  <c:v>2.9000000000000002E-6</c:v>
                </c:pt>
                <c:pt idx="51">
                  <c:v>2.9000000000000002E-6</c:v>
                </c:pt>
                <c:pt idx="52">
                  <c:v>2.9000000000000002E-6</c:v>
                </c:pt>
                <c:pt idx="53">
                  <c:v>2.9000000000000002E-6</c:v>
                </c:pt>
                <c:pt idx="54">
                  <c:v>2.9000000000000002E-6</c:v>
                </c:pt>
                <c:pt idx="55">
                  <c:v>2.9000000000000002E-6</c:v>
                </c:pt>
                <c:pt idx="56">
                  <c:v>2.9000000000000002E-6</c:v>
                </c:pt>
                <c:pt idx="57">
                  <c:v>2.9000000000000002E-6</c:v>
                </c:pt>
                <c:pt idx="58">
                  <c:v>2.9000000000000002E-6</c:v>
                </c:pt>
                <c:pt idx="59">
                  <c:v>2.9000000000000002E-6</c:v>
                </c:pt>
                <c:pt idx="60">
                  <c:v>2.9000000000000002E-6</c:v>
                </c:pt>
                <c:pt idx="61">
                  <c:v>2.9000000000000002E-6</c:v>
                </c:pt>
                <c:pt idx="62">
                  <c:v>2.9000000000000002E-6</c:v>
                </c:pt>
                <c:pt idx="63">
                  <c:v>2.9000000000000002E-6</c:v>
                </c:pt>
                <c:pt idx="64">
                  <c:v>2.9000000000000002E-6</c:v>
                </c:pt>
                <c:pt idx="65">
                  <c:v>2.9000000000000002E-6</c:v>
                </c:pt>
                <c:pt idx="66">
                  <c:v>2.9000000000000002E-6</c:v>
                </c:pt>
                <c:pt idx="67">
                  <c:v>2.9000000000000002E-6</c:v>
                </c:pt>
                <c:pt idx="68">
                  <c:v>2.9000000000000002E-6</c:v>
                </c:pt>
                <c:pt idx="69">
                  <c:v>2.9000000000000002E-6</c:v>
                </c:pt>
                <c:pt idx="70">
                  <c:v>2.9000000000000002E-6</c:v>
                </c:pt>
                <c:pt idx="71">
                  <c:v>2.9000000000000002E-6</c:v>
                </c:pt>
                <c:pt idx="72">
                  <c:v>2.9000000000000002E-6</c:v>
                </c:pt>
                <c:pt idx="73">
                  <c:v>2.9000000000000002E-6</c:v>
                </c:pt>
                <c:pt idx="74">
                  <c:v>2.9000000000000002E-6</c:v>
                </c:pt>
                <c:pt idx="75">
                  <c:v>2.9000000000000002E-6</c:v>
                </c:pt>
                <c:pt idx="76">
                  <c:v>2.9000000000000002E-6</c:v>
                </c:pt>
                <c:pt idx="77">
                  <c:v>2.9000000000000002E-6</c:v>
                </c:pt>
                <c:pt idx="78">
                  <c:v>2.9000000000000002E-6</c:v>
                </c:pt>
                <c:pt idx="79">
                  <c:v>2.9000000000000002E-6</c:v>
                </c:pt>
                <c:pt idx="80">
                  <c:v>2.9000000000000002E-6</c:v>
                </c:pt>
                <c:pt idx="81">
                  <c:v>2.9000000000000002E-6</c:v>
                </c:pt>
                <c:pt idx="82">
                  <c:v>2.9000000000000002E-6</c:v>
                </c:pt>
                <c:pt idx="83">
                  <c:v>2.9000000000000002E-6</c:v>
                </c:pt>
                <c:pt idx="84">
                  <c:v>2.9000000000000002E-6</c:v>
                </c:pt>
                <c:pt idx="85">
                  <c:v>2.9000000000000002E-6</c:v>
                </c:pt>
                <c:pt idx="86">
                  <c:v>2.9000000000000002E-6</c:v>
                </c:pt>
                <c:pt idx="87">
                  <c:v>2.9000000000000002E-6</c:v>
                </c:pt>
                <c:pt idx="88">
                  <c:v>2.9000000000000002E-6</c:v>
                </c:pt>
                <c:pt idx="89">
                  <c:v>2.9000000000000002E-6</c:v>
                </c:pt>
                <c:pt idx="90">
                  <c:v>2.9000000000000002E-6</c:v>
                </c:pt>
                <c:pt idx="91">
                  <c:v>2.9000000000000002E-6</c:v>
                </c:pt>
                <c:pt idx="92">
                  <c:v>2.9000000000000002E-6</c:v>
                </c:pt>
                <c:pt idx="93">
                  <c:v>2.9000000000000002E-6</c:v>
                </c:pt>
                <c:pt idx="94">
                  <c:v>2.9000000000000002E-6</c:v>
                </c:pt>
                <c:pt idx="95">
                  <c:v>2.9000000000000002E-6</c:v>
                </c:pt>
                <c:pt idx="96">
                  <c:v>2.9000000000000002E-6</c:v>
                </c:pt>
                <c:pt idx="97">
                  <c:v>2.9000000000000002E-6</c:v>
                </c:pt>
                <c:pt idx="98">
                  <c:v>2.9000000000000002E-6</c:v>
                </c:pt>
                <c:pt idx="99">
                  <c:v>2.9000000000000002E-6</c:v>
                </c:pt>
                <c:pt idx="100">
                  <c:v>2.9000000000000002E-6</c:v>
                </c:pt>
                <c:pt idx="101">
                  <c:v>2.9000000000000002E-6</c:v>
                </c:pt>
                <c:pt idx="102">
                  <c:v>2.9000000000000002E-6</c:v>
                </c:pt>
                <c:pt idx="103">
                  <c:v>2.9000000000000002E-6</c:v>
                </c:pt>
                <c:pt idx="104">
                  <c:v>2.9000000000000002E-6</c:v>
                </c:pt>
                <c:pt idx="105">
                  <c:v>2.9000000000000002E-6</c:v>
                </c:pt>
                <c:pt idx="106">
                  <c:v>2.9000000000000002E-6</c:v>
                </c:pt>
                <c:pt idx="107">
                  <c:v>2.9000000000000002E-6</c:v>
                </c:pt>
                <c:pt idx="108">
                  <c:v>2.9000000000000002E-6</c:v>
                </c:pt>
                <c:pt idx="109">
                  <c:v>2.9000000000000002E-6</c:v>
                </c:pt>
                <c:pt idx="110">
                  <c:v>2.9000000000000002E-6</c:v>
                </c:pt>
                <c:pt idx="111">
                  <c:v>2.9000000000000002E-6</c:v>
                </c:pt>
                <c:pt idx="112">
                  <c:v>2.9000000000000002E-6</c:v>
                </c:pt>
                <c:pt idx="113">
                  <c:v>2.9000000000000002E-6</c:v>
                </c:pt>
                <c:pt idx="114">
                  <c:v>2.9000000000000002E-6</c:v>
                </c:pt>
                <c:pt idx="115">
                  <c:v>2.9000000000000002E-6</c:v>
                </c:pt>
                <c:pt idx="116">
                  <c:v>2.8130000000000004E-6</c:v>
                </c:pt>
                <c:pt idx="117">
                  <c:v>2.7286100000000007E-6</c:v>
                </c:pt>
                <c:pt idx="118">
                  <c:v>2.6467516999999995E-6</c:v>
                </c:pt>
                <c:pt idx="119">
                  <c:v>2.5673491489999998E-6</c:v>
                </c:pt>
                <c:pt idx="120">
                  <c:v>2.4903286745300001E-6</c:v>
                </c:pt>
                <c:pt idx="121">
                  <c:v>2.4156188142941005E-6</c:v>
                </c:pt>
                <c:pt idx="122">
                  <c:v>2.3431502498652777E-6</c:v>
                </c:pt>
                <c:pt idx="123">
                  <c:v>2.2728557423693183E-6</c:v>
                </c:pt>
                <c:pt idx="124">
                  <c:v>2.2046700700982388E-6</c:v>
                </c:pt>
                <c:pt idx="125">
                  <c:v>2.138529967995292E-6</c:v>
                </c:pt>
                <c:pt idx="126">
                  <c:v>2.0743740689554336E-6</c:v>
                </c:pt>
                <c:pt idx="127">
                  <c:v>2.012142846886771E-6</c:v>
                </c:pt>
                <c:pt idx="128">
                  <c:v>1.951778561480167E-6</c:v>
                </c:pt>
                <c:pt idx="129">
                  <c:v>1.8932252046357623E-6</c:v>
                </c:pt>
                <c:pt idx="130">
                  <c:v>1.8364284484966897E-6</c:v>
                </c:pt>
                <c:pt idx="131">
                  <c:v>1.7813355950417893E-6</c:v>
                </c:pt>
                <c:pt idx="132">
                  <c:v>1.7278955271905358E-6</c:v>
                </c:pt>
                <c:pt idx="133">
                  <c:v>1.6760586613748191E-6</c:v>
                </c:pt>
                <c:pt idx="134">
                  <c:v>1.6257769015335748E-6</c:v>
                </c:pt>
                <c:pt idx="135">
                  <c:v>1.5770035944875676E-6</c:v>
                </c:pt>
                <c:pt idx="136">
                  <c:v>1.5296934866529409E-6</c:v>
                </c:pt>
                <c:pt idx="137">
                  <c:v>1.4838026820533528E-6</c:v>
                </c:pt>
                <c:pt idx="138">
                  <c:v>1.4392886015917516E-6</c:v>
                </c:pt>
                <c:pt idx="139">
                  <c:v>1.3961099435439991E-6</c:v>
                </c:pt>
                <c:pt idx="140">
                  <c:v>1.3542266452376792E-6</c:v>
                </c:pt>
                <c:pt idx="141">
                  <c:v>1.313599845880549E-6</c:v>
                </c:pt>
                <c:pt idx="142">
                  <c:v>1.2741918505041327E-6</c:v>
                </c:pt>
                <c:pt idx="143">
                  <c:v>1.2359660949890081E-6</c:v>
                </c:pt>
                <c:pt idx="144">
                  <c:v>1.1988871121393379E-6</c:v>
                </c:pt>
                <c:pt idx="145">
                  <c:v>1.1629204987751579E-6</c:v>
                </c:pt>
                <c:pt idx="146">
                  <c:v>1.1280328838119033E-6</c:v>
                </c:pt>
                <c:pt idx="147">
                  <c:v>1.0941918972975463E-6</c:v>
                </c:pt>
                <c:pt idx="148">
                  <c:v>1.0613661403786194E-6</c:v>
                </c:pt>
                <c:pt idx="149">
                  <c:v>1.0295251561672609E-6</c:v>
                </c:pt>
                <c:pt idx="150">
                  <c:v>9.9863940148224312E-7</c:v>
                </c:pt>
                <c:pt idx="151">
                  <c:v>9.6868021943777592E-7</c:v>
                </c:pt>
                <c:pt idx="152">
                  <c:v>9.3961981285464274E-7</c:v>
                </c:pt>
                <c:pt idx="153">
                  <c:v>9.1143121846900302E-7</c:v>
                </c:pt>
                <c:pt idx="154">
                  <c:v>8.84088281914933E-7</c:v>
                </c:pt>
                <c:pt idx="155">
                  <c:v>8.5756563345748515E-7</c:v>
                </c:pt>
                <c:pt idx="156">
                  <c:v>8.3183866445376073E-7</c:v>
                </c:pt>
                <c:pt idx="157">
                  <c:v>8.0688350452014805E-7</c:v>
                </c:pt>
                <c:pt idx="158">
                  <c:v>7.8267699938454325E-7</c:v>
                </c:pt>
                <c:pt idx="159">
                  <c:v>7.5919668940300708E-7</c:v>
                </c:pt>
                <c:pt idx="160">
                  <c:v>7.3642078872091691E-7</c:v>
                </c:pt>
                <c:pt idx="161">
                  <c:v>7.1432816505928911E-7</c:v>
                </c:pt>
                <c:pt idx="162">
                  <c:v>6.9289832010751094E-7</c:v>
                </c:pt>
                <c:pt idx="163">
                  <c:v>6.7211137050428535E-7</c:v>
                </c:pt>
                <c:pt idx="164">
                  <c:v>6.5194802938915723E-7</c:v>
                </c:pt>
                <c:pt idx="165">
                  <c:v>6.3238958850748222E-7</c:v>
                </c:pt>
                <c:pt idx="166">
                  <c:v>6.134179008522575E-7</c:v>
                </c:pt>
                <c:pt idx="167">
                  <c:v>5.9501536382669013E-7</c:v>
                </c:pt>
                <c:pt idx="168">
                  <c:v>5.7716490291188921E-7</c:v>
                </c:pt>
                <c:pt idx="169">
                  <c:v>5.5984995582453286E-7</c:v>
                </c:pt>
                <c:pt idx="170">
                  <c:v>5.4305445714979662E-7</c:v>
                </c:pt>
                <c:pt idx="171">
                  <c:v>5.2676282343530252E-7</c:v>
                </c:pt>
                <c:pt idx="172">
                  <c:v>5.1095993873224379E-7</c:v>
                </c:pt>
                <c:pt idx="173">
                  <c:v>4.9563114057027621E-7</c:v>
                </c:pt>
                <c:pt idx="174">
                  <c:v>4.807622063531682E-7</c:v>
                </c:pt>
                <c:pt idx="175">
                  <c:v>4.6633934016257296E-7</c:v>
                </c:pt>
                <c:pt idx="176">
                  <c:v>4.523491599576956E-7</c:v>
                </c:pt>
                <c:pt idx="177">
                  <c:v>4.3877868515896501E-7</c:v>
                </c:pt>
                <c:pt idx="178">
                  <c:v>4.2561532460419585E-7</c:v>
                </c:pt>
                <c:pt idx="179">
                  <c:v>4.1284686486607028E-7</c:v>
                </c:pt>
                <c:pt idx="180">
                  <c:v>4.0046145892008797E-7</c:v>
                </c:pt>
                <c:pt idx="181">
                  <c:v>3.8844761515248514E-7</c:v>
                </c:pt>
                <c:pt idx="182">
                  <c:v>3.7679418669791086E-7</c:v>
                </c:pt>
                <c:pt idx="183">
                  <c:v>3.6549036109697337E-7</c:v>
                </c:pt>
                <c:pt idx="184">
                  <c:v>3.5452565026406441E-7</c:v>
                </c:pt>
                <c:pt idx="185">
                  <c:v>3.4388988075614232E-7</c:v>
                </c:pt>
                <c:pt idx="186">
                  <c:v>3.3357318433345792E-7</c:v>
                </c:pt>
                <c:pt idx="187">
                  <c:v>3.2356598880345441E-7</c:v>
                </c:pt>
                <c:pt idx="188">
                  <c:v>3.1385900913935062E-7</c:v>
                </c:pt>
                <c:pt idx="189">
                  <c:v>3.0444323886517029E-7</c:v>
                </c:pt>
                <c:pt idx="190">
                  <c:v>2.9530994169921507E-7</c:v>
                </c:pt>
                <c:pt idx="191">
                  <c:v>2.8645064344823848E-7</c:v>
                </c:pt>
                <c:pt idx="192">
                  <c:v>2.7785712414479152E-7</c:v>
                </c:pt>
                <c:pt idx="193">
                  <c:v>2.6952141042044765E-7</c:v>
                </c:pt>
                <c:pt idx="194">
                  <c:v>2.6143576810783438E-7</c:v>
                </c:pt>
                <c:pt idx="195">
                  <c:v>2.5359269506459925E-7</c:v>
                </c:pt>
                <c:pt idx="196">
                  <c:v>2.4598491421266114E-7</c:v>
                </c:pt>
                <c:pt idx="197">
                  <c:v>2.3860536678628148E-7</c:v>
                </c:pt>
                <c:pt idx="198">
                  <c:v>2.3144720578269293E-7</c:v>
                </c:pt>
                <c:pt idx="199">
                  <c:v>2.2450378960921229E-7</c:v>
                </c:pt>
                <c:pt idx="200">
                  <c:v>2.1776867592093581E-7</c:v>
                </c:pt>
                <c:pt idx="201">
                  <c:v>2.1123561564330766E-7</c:v>
                </c:pt>
                <c:pt idx="202">
                  <c:v>2.0489854717400856E-7</c:v>
                </c:pt>
                <c:pt idx="203">
                  <c:v>1.9875159075878821E-7</c:v>
                </c:pt>
                <c:pt idx="204">
                  <c:v>1.927890430360247E-7</c:v>
                </c:pt>
                <c:pt idx="205">
                  <c:v>1.8700537174494387E-7</c:v>
                </c:pt>
                <c:pt idx="206">
                  <c:v>1.8139521059259548E-7</c:v>
                </c:pt>
                <c:pt idx="207">
                  <c:v>1.7595335427481772E-7</c:v>
                </c:pt>
                <c:pt idx="208">
                  <c:v>1.7067475364657311E-7</c:v>
                </c:pt>
                <c:pt idx="209">
                  <c:v>1.6555451103717604E-7</c:v>
                </c:pt>
                <c:pt idx="210">
                  <c:v>1.6058787570606068E-7</c:v>
                </c:pt>
                <c:pt idx="211">
                  <c:v>1.5577023943487878E-7</c:v>
                </c:pt>
                <c:pt idx="212">
                  <c:v>1.5109713225183253E-7</c:v>
                </c:pt>
                <c:pt idx="213">
                  <c:v>1.4656421828427748E-7</c:v>
                </c:pt>
                <c:pt idx="214">
                  <c:v>1.4216729173574926E-7</c:v>
                </c:pt>
                <c:pt idx="215">
                  <c:v>1.3790227298367672E-7</c:v>
                </c:pt>
                <c:pt idx="216">
                  <c:v>1.3376520479416637E-7</c:v>
                </c:pt>
                <c:pt idx="217">
                  <c:v>1.2975224865034148E-7</c:v>
                </c:pt>
                <c:pt idx="218">
                  <c:v>1.2585968119083117E-7</c:v>
                </c:pt>
                <c:pt idx="219">
                  <c:v>1.2208389075510631E-7</c:v>
                </c:pt>
                <c:pt idx="220">
                  <c:v>1.1842137403245307E-7</c:v>
                </c:pt>
                <c:pt idx="221">
                  <c:v>1.1486873281147943E-7</c:v>
                </c:pt>
                <c:pt idx="222">
                  <c:v>1.1142267082713512E-7</c:v>
                </c:pt>
                <c:pt idx="223">
                  <c:v>1.0807999070232102E-7</c:v>
                </c:pt>
                <c:pt idx="224">
                  <c:v>1.0483759098125146E-7</c:v>
                </c:pt>
                <c:pt idx="225">
                  <c:v>1.0169246325181386E-7</c:v>
                </c:pt>
                <c:pt idx="226">
                  <c:v>9.8641689354259408E-8</c:v>
                </c:pt>
                <c:pt idx="227">
                  <c:v>9.5682438673631694E-8</c:v>
                </c:pt>
                <c:pt idx="228">
                  <c:v>9.2811965513422698E-8</c:v>
                </c:pt>
                <c:pt idx="229">
                  <c:v>9.0027606548020077E-8</c:v>
                </c:pt>
                <c:pt idx="230">
                  <c:v>8.7326778351579435E-8</c:v>
                </c:pt>
                <c:pt idx="231">
                  <c:v>8.4706975001032011E-8</c:v>
                </c:pt>
                <c:pt idx="232">
                  <c:v>8.2165765751001107E-8</c:v>
                </c:pt>
                <c:pt idx="233">
                  <c:v>7.9700792778471037E-8</c:v>
                </c:pt>
                <c:pt idx="234">
                  <c:v>7.7309768995116952E-8</c:v>
                </c:pt>
                <c:pt idx="235">
                  <c:v>7.4990475925263416E-8</c:v>
                </c:pt>
                <c:pt idx="236">
                  <c:v>7.2740761647505478E-8</c:v>
                </c:pt>
                <c:pt idx="237">
                  <c:v>7.0558538798080354E-8</c:v>
                </c:pt>
                <c:pt idx="238">
                  <c:v>6.8441782634137914E-8</c:v>
                </c:pt>
                <c:pt idx="239">
                  <c:v>6.638852915511382E-8</c:v>
                </c:pt>
                <c:pt idx="240">
                  <c:v>6.4396873280460371E-8</c:v>
                </c:pt>
                <c:pt idx="241">
                  <c:v>6.2464967082046533E-8</c:v>
                </c:pt>
                <c:pt idx="242">
                  <c:v>6.0591018069585175E-8</c:v>
                </c:pt>
                <c:pt idx="243">
                  <c:v>5.8773287527497591E-8</c:v>
                </c:pt>
                <c:pt idx="244">
                  <c:v>5.7010088901672701E-8</c:v>
                </c:pt>
                <c:pt idx="245">
                  <c:v>5.5299786234622498E-8</c:v>
                </c:pt>
                <c:pt idx="246">
                  <c:v>5.3640792647583803E-8</c:v>
                </c:pt>
                <c:pt idx="247">
                  <c:v>5.2031568868156321E-8</c:v>
                </c:pt>
                <c:pt idx="248">
                  <c:v>5.0470621802111611E-8</c:v>
                </c:pt>
                <c:pt idx="249">
                  <c:v>4.8956503148048293E-8</c:v>
                </c:pt>
                <c:pt idx="250">
                  <c:v>4.7487808053606822E-8</c:v>
                </c:pt>
                <c:pt idx="251">
                  <c:v>4.6063173811998598E-8</c:v>
                </c:pt>
                <c:pt idx="252">
                  <c:v>4.4681278597638672E-8</c:v>
                </c:pt>
                <c:pt idx="253">
                  <c:v>4.334084023970949E-8</c:v>
                </c:pt>
                <c:pt idx="254">
                  <c:v>4.2040615032518235E-8</c:v>
                </c:pt>
                <c:pt idx="255">
                  <c:v>4.077939658154267E-8</c:v>
                </c:pt>
                <c:pt idx="256">
                  <c:v>3.9556014684096371E-8</c:v>
                </c:pt>
                <c:pt idx="257">
                  <c:v>3.8369334243573507E-8</c:v>
                </c:pt>
                <c:pt idx="258">
                  <c:v>3.7218254216266283E-8</c:v>
                </c:pt>
                <c:pt idx="259">
                  <c:v>3.6101706589778321E-8</c:v>
                </c:pt>
                <c:pt idx="260">
                  <c:v>3.5018655392084957E-8</c:v>
                </c:pt>
                <c:pt idx="261">
                  <c:v>3.3968095730322392E-8</c:v>
                </c:pt>
                <c:pt idx="262">
                  <c:v>3.2949052858412745E-8</c:v>
                </c:pt>
                <c:pt idx="263">
                  <c:v>3.1960581272660349E-8</c:v>
                </c:pt>
                <c:pt idx="264">
                  <c:v>3.1001763834480557E-8</c:v>
                </c:pt>
                <c:pt idx="265">
                  <c:v>3.0071710919446125E-8</c:v>
                </c:pt>
                <c:pt idx="266">
                  <c:v>2.9169559591862728E-8</c:v>
                </c:pt>
                <c:pt idx="267">
                  <c:v>2.8294472804106866E-8</c:v>
                </c:pt>
                <c:pt idx="268">
                  <c:v>2.7445638619983648E-8</c:v>
                </c:pt>
                <c:pt idx="269">
                  <c:v>2.6622269461384155E-8</c:v>
                </c:pt>
                <c:pt idx="270">
                  <c:v>2.5823601377542618E-8</c:v>
                </c:pt>
                <c:pt idx="271">
                  <c:v>2.5048893336216329E-8</c:v>
                </c:pt>
                <c:pt idx="272">
                  <c:v>2.4297426536129854E-8</c:v>
                </c:pt>
                <c:pt idx="273">
                  <c:v>2.3568503740045947E-8</c:v>
                </c:pt>
                <c:pt idx="274">
                  <c:v>2.2861448627844583E-8</c:v>
                </c:pt>
                <c:pt idx="275">
                  <c:v>2.2175605169009234E-8</c:v>
                </c:pt>
                <c:pt idx="276">
                  <c:v>2.1510337013938946E-8</c:v>
                </c:pt>
                <c:pt idx="277">
                  <c:v>2.0865026903520791E-8</c:v>
                </c:pt>
                <c:pt idx="278">
                  <c:v>2.0239076096415158E-8</c:v>
                </c:pt>
                <c:pt idx="279">
                  <c:v>1.9631903813522715E-8</c:v>
                </c:pt>
                <c:pt idx="280">
                  <c:v>1.9042946699117026E-8</c:v>
                </c:pt>
                <c:pt idx="281">
                  <c:v>1.8471658298143506E-8</c:v>
                </c:pt>
                <c:pt idx="282">
                  <c:v>1.7917508549199213E-8</c:v>
                </c:pt>
                <c:pt idx="283">
                  <c:v>1.737998329272323E-8</c:v>
                </c:pt>
                <c:pt idx="284">
                  <c:v>1.6858583793941543E-8</c:v>
                </c:pt>
                <c:pt idx="285">
                  <c:v>1.635282628012329E-8</c:v>
                </c:pt>
                <c:pt idx="286">
                  <c:v>1.5862241491719584E-8</c:v>
                </c:pt>
                <c:pt idx="287">
                  <c:v>1.5386374246968006E-8</c:v>
                </c:pt>
                <c:pt idx="288">
                  <c:v>1.492478301955896E-8</c:v>
                </c:pt>
                <c:pt idx="289">
                  <c:v>1.4477039528972202E-8</c:v>
                </c:pt>
                <c:pt idx="290">
                  <c:v>1.404272834310303E-8</c:v>
                </c:pt>
                <c:pt idx="291">
                  <c:v>1.3621446492809933E-8</c:v>
                </c:pt>
                <c:pt idx="292">
                  <c:v>1.3212803098025643E-8</c:v>
                </c:pt>
                <c:pt idx="293">
                  <c:v>1.2816419005084868E-8</c:v>
                </c:pt>
                <c:pt idx="294">
                  <c:v>1.243192643493233E-8</c:v>
                </c:pt>
                <c:pt idx="295">
                  <c:v>1.2058968641884355E-8</c:v>
                </c:pt>
                <c:pt idx="296">
                  <c:v>1.169719958262782E-8</c:v>
                </c:pt>
                <c:pt idx="297">
                  <c:v>1.1346283595148993E-8</c:v>
                </c:pt>
                <c:pt idx="298">
                  <c:v>1.1005895087294518E-8</c:v>
                </c:pt>
                <c:pt idx="299">
                  <c:v>1.0675718234675689E-8</c:v>
                </c:pt>
                <c:pt idx="300">
                  <c:v>1.0355446687635414E-8</c:v>
                </c:pt>
                <c:pt idx="301">
                  <c:v>1.0044783287006348E-8</c:v>
                </c:pt>
                <c:pt idx="302">
                  <c:v>9.7434397883961643E-9</c:v>
                </c:pt>
                <c:pt idx="303">
                  <c:v>9.451136594744275E-9</c:v>
                </c:pt>
                <c:pt idx="304">
                  <c:v>9.1676024969019526E-9</c:v>
                </c:pt>
                <c:pt idx="305">
                  <c:v>8.8925744219948903E-9</c:v>
                </c:pt>
                <c:pt idx="306">
                  <c:v>8.6257971893350401E-9</c:v>
                </c:pt>
                <c:pt idx="307">
                  <c:v>8.3670232736549945E-9</c:v>
                </c:pt>
                <c:pt idx="308">
                  <c:v>8.1160125754453408E-9</c:v>
                </c:pt>
                <c:pt idx="309">
                  <c:v>7.8725321981819862E-9</c:v>
                </c:pt>
                <c:pt idx="310">
                  <c:v>7.6363562322365229E-9</c:v>
                </c:pt>
                <c:pt idx="311">
                  <c:v>7.4072655452694236E-9</c:v>
                </c:pt>
                <c:pt idx="312">
                  <c:v>7.185047578911346E-9</c:v>
                </c:pt>
                <c:pt idx="313">
                  <c:v>6.9694961515440025E-9</c:v>
                </c:pt>
                <c:pt idx="314">
                  <c:v>6.7604112669976866E-9</c:v>
                </c:pt>
                <c:pt idx="315">
                  <c:v>6.5575989289877532E-9</c:v>
                </c:pt>
                <c:pt idx="316">
                  <c:v>6.3608709611181181E-9</c:v>
                </c:pt>
                <c:pt idx="317">
                  <c:v>6.1700448322845783E-9</c:v>
                </c:pt>
                <c:pt idx="318">
                  <c:v>5.9849434873160386E-9</c:v>
                </c:pt>
                <c:pt idx="319">
                  <c:v>5.8053951826965611E-9</c:v>
                </c:pt>
                <c:pt idx="320">
                  <c:v>5.6312333272156616E-9</c:v>
                </c:pt>
                <c:pt idx="321">
                  <c:v>5.4622963273991895E-9</c:v>
                </c:pt>
                <c:pt idx="322">
                  <c:v>5.2984274375772116E-9</c:v>
                </c:pt>
                <c:pt idx="323">
                  <c:v>5.1394746144499044E-9</c:v>
                </c:pt>
                <c:pt idx="324">
                  <c:v>4.9852903760164048E-9</c:v>
                </c:pt>
                <c:pt idx="325">
                  <c:v>4.8357316647359107E-9</c:v>
                </c:pt>
                <c:pt idx="326">
                  <c:v>4.6906597147938311E-9</c:v>
                </c:pt>
                <c:pt idx="327">
                  <c:v>4.5499399233500142E-9</c:v>
                </c:pt>
                <c:pt idx="328">
                  <c:v>4.4134417256495214E-9</c:v>
                </c:pt>
                <c:pt idx="329">
                  <c:v>4.2810384738800337E-9</c:v>
                </c:pt>
                <c:pt idx="330">
                  <c:v>4.1526073196636306E-9</c:v>
                </c:pt>
                <c:pt idx="331">
                  <c:v>4.0280291000737199E-9</c:v>
                </c:pt>
                <c:pt idx="332">
                  <c:v>3.9071882270715066E-9</c:v>
                </c:pt>
                <c:pt idx="333">
                  <c:v>3.7899725802593685E-9</c:v>
                </c:pt>
                <c:pt idx="334">
                  <c:v>3.6762734028515856E-9</c:v>
                </c:pt>
                <c:pt idx="335">
                  <c:v>3.5659852007660364E-9</c:v>
                </c:pt>
                <c:pt idx="336">
                  <c:v>3.4590056447430537E-9</c:v>
                </c:pt>
                <c:pt idx="337">
                  <c:v>3.3552354754007606E-9</c:v>
                </c:pt>
                <c:pt idx="338">
                  <c:v>3.2545784111387435E-9</c:v>
                </c:pt>
                <c:pt idx="339">
                  <c:v>3.1569410588045799E-9</c:v>
                </c:pt>
                <c:pt idx="340">
                  <c:v>3.0622328270404413E-9</c:v>
                </c:pt>
                <c:pt idx="341">
                  <c:v>2.970365842229227E-9</c:v>
                </c:pt>
                <c:pt idx="342">
                  <c:v>2.8812548669623489E-9</c:v>
                </c:pt>
                <c:pt idx="343">
                  <c:v>2.7948172209534833E-9</c:v>
                </c:pt>
                <c:pt idx="344">
                  <c:v>2.7109727043248777E-9</c:v>
                </c:pt>
                <c:pt idx="345">
                  <c:v>2.6296435231951303E-9</c:v>
                </c:pt>
                <c:pt idx="346">
                  <c:v>2.5507542174992753E-9</c:v>
                </c:pt>
                <c:pt idx="347">
                  <c:v>2.4742315909742958E-9</c:v>
                </c:pt>
                <c:pt idx="348">
                  <c:v>2.4000046432450713E-9</c:v>
                </c:pt>
                <c:pt idx="349">
                  <c:v>2.3280045039477182E-9</c:v>
                </c:pt>
                <c:pt idx="350">
                  <c:v>2.2581643688292857E-9</c:v>
                </c:pt>
                <c:pt idx="351">
                  <c:v>2.1904194377644062E-9</c:v>
                </c:pt>
                <c:pt idx="352">
                  <c:v>2.1247068546314732E-9</c:v>
                </c:pt>
                <c:pt idx="353">
                  <c:v>2.0609656489925325E-9</c:v>
                </c:pt>
                <c:pt idx="354">
                  <c:v>1.9991366795227555E-9</c:v>
                </c:pt>
                <c:pt idx="355">
                  <c:v>1.939162579137072E-9</c:v>
                </c:pt>
                <c:pt idx="356">
                  <c:v>1.8809877017629591E-9</c:v>
                </c:pt>
                <c:pt idx="357">
                  <c:v>1.8245580707100695E-9</c:v>
                </c:pt>
                <c:pt idx="358">
                  <c:v>1.7698213285887704E-9</c:v>
                </c:pt>
                <c:pt idx="359">
                  <c:v>1.7167266887311067E-9</c:v>
                </c:pt>
                <c:pt idx="360">
                  <c:v>1.6652248880691727E-9</c:v>
                </c:pt>
                <c:pt idx="361">
                  <c:v>1.6152681414270968E-9</c:v>
                </c:pt>
                <c:pt idx="362">
                  <c:v>1.5668100971842831E-9</c:v>
                </c:pt>
                <c:pt idx="363">
                  <c:v>1.5198057942687574E-9</c:v>
                </c:pt>
                <c:pt idx="364">
                  <c:v>1.4742116204406939E-9</c:v>
                </c:pt>
                <c:pt idx="365">
                  <c:v>1.4299852718274725E-9</c:v>
                </c:pt>
                <c:pt idx="366">
                  <c:v>1.3870857136726477E-9</c:v>
                </c:pt>
                <c:pt idx="367">
                  <c:v>1.3454731422624676E-9</c:v>
                </c:pt>
                <c:pt idx="368">
                  <c:v>1.3051089479945959E-9</c:v>
                </c:pt>
                <c:pt idx="369">
                  <c:v>1.2659556795547574E-9</c:v>
                </c:pt>
                <c:pt idx="370">
                  <c:v>1.2279770091681142E-9</c:v>
                </c:pt>
                <c:pt idx="371">
                  <c:v>1.1911376988930702E-9</c:v>
                </c:pt>
                <c:pt idx="372">
                  <c:v>1.1554035679262776E-9</c:v>
                </c:pt>
                <c:pt idx="373">
                  <c:v>1.1207414608884911E-9</c:v>
                </c:pt>
                <c:pt idx="374">
                  <c:v>1.087119217061836E-9</c:v>
                </c:pt>
                <c:pt idx="375">
                  <c:v>1.0545056405499803E-9</c:v>
                </c:pt>
                <c:pt idx="376">
                  <c:v>1.0228704713334805E-9</c:v>
                </c:pt>
                <c:pt idx="377">
                  <c:v>9.9218435719347561E-10</c:v>
                </c:pt>
                <c:pt idx="378">
                  <c:v>9.6241882647767308E-10</c:v>
                </c:pt>
                <c:pt idx="379">
                  <c:v>9.3354626168334257E-10</c:v>
                </c:pt>
                <c:pt idx="380">
                  <c:v>9.0553987383284187E-10</c:v>
                </c:pt>
                <c:pt idx="381">
                  <c:v>8.7837367761785621E-10</c:v>
                </c:pt>
                <c:pt idx="382">
                  <c:v>8.520224672893201E-10</c:v>
                </c:pt>
                <c:pt idx="383">
                  <c:v>8.2646179327064192E-10</c:v>
                </c:pt>
                <c:pt idx="384">
                  <c:v>8.0166793947252234E-10</c:v>
                </c:pt>
                <c:pt idx="385">
                  <c:v>7.7761790128834632E-10</c:v>
                </c:pt>
                <c:pt idx="386">
                  <c:v>7.5428936424969564E-10</c:v>
                </c:pt>
                <c:pt idx="387">
                  <c:v>7.3166068332220442E-10</c:v>
                </c:pt>
                <c:pt idx="388">
                  <c:v>7.0971086282253953E-10</c:v>
                </c:pt>
                <c:pt idx="389">
                  <c:v>6.8841953693786299E-10</c:v>
                </c:pt>
                <c:pt idx="390">
                  <c:v>6.677669508297268E-10</c:v>
                </c:pt>
                <c:pt idx="391">
                  <c:v>6.4773394230483473E-10</c:v>
                </c:pt>
                <c:pt idx="392">
                  <c:v>6.2830192403568937E-10</c:v>
                </c:pt>
                <c:pt idx="393">
                  <c:v>6.0945286631461979E-10</c:v>
                </c:pt>
                <c:pt idx="394">
                  <c:v>5.9116928032518097E-10</c:v>
                </c:pt>
                <c:pt idx="395">
                  <c:v>5.7343420191542527E-10</c:v>
                </c:pt>
                <c:pt idx="396">
                  <c:v>5.5623117585796229E-10</c:v>
                </c:pt>
                <c:pt idx="397">
                  <c:v>5.3954424058222322E-10</c:v>
                </c:pt>
                <c:pt idx="398">
                  <c:v>5.2335791336475746E-10</c:v>
                </c:pt>
                <c:pt idx="399">
                  <c:v>5.0765717596381452E-10</c:v>
                </c:pt>
                <c:pt idx="400">
                  <c:v>4.9242746068489984E-10</c:v>
                </c:pt>
                <c:pt idx="401">
                  <c:v>4.7765463686435268E-10</c:v>
                </c:pt>
                <c:pt idx="402">
                  <c:v>4.6332499775842191E-10</c:v>
                </c:pt>
                <c:pt idx="403">
                  <c:v>4.4942524782567005E-10</c:v>
                </c:pt>
                <c:pt idx="404">
                  <c:v>4.3594249039089973E-10</c:v>
                </c:pt>
                <c:pt idx="405">
                  <c:v>4.2286421567917255E-10</c:v>
                </c:pt>
                <c:pt idx="406">
                  <c:v>4.101782892087972E-10</c:v>
                </c:pt>
                <c:pt idx="407">
                  <c:v>3.978729405325331E-10</c:v>
                </c:pt>
                <c:pt idx="408">
                  <c:v>3.8593675231655778E-10</c:v>
                </c:pt>
                <c:pt idx="409">
                  <c:v>3.7435864974706091E-10</c:v>
                </c:pt>
                <c:pt idx="410">
                  <c:v>3.6312789025464892E-10</c:v>
                </c:pt>
                <c:pt idx="411">
                  <c:v>3.5223405354700928E-10</c:v>
                </c:pt>
                <c:pt idx="412">
                  <c:v>3.4166703194059883E-10</c:v>
                </c:pt>
                <c:pt idx="413">
                  <c:v>3.3141702098238145E-10</c:v>
                </c:pt>
                <c:pt idx="414">
                  <c:v>3.2147451035290984E-10</c:v>
                </c:pt>
                <c:pt idx="415">
                  <c:v>3.1183027504232242E-10</c:v>
                </c:pt>
                <c:pt idx="416">
                  <c:v>3.0247536679105262E-10</c:v>
                </c:pt>
                <c:pt idx="417">
                  <c:v>2.934011057873209E-10</c:v>
                </c:pt>
                <c:pt idx="418">
                  <c:v>2.8459907261370175E-10</c:v>
                </c:pt>
                <c:pt idx="419">
                  <c:v>2.7606110043529058E-10</c:v>
                </c:pt>
                <c:pt idx="420">
                  <c:v>2.6777926742223176E-10</c:v>
                </c:pt>
                <c:pt idx="421">
                  <c:v>2.5974588939956469E-10</c:v>
                </c:pt>
                <c:pt idx="422">
                  <c:v>2.5195351271757763E-10</c:v>
                </c:pt>
                <c:pt idx="423">
                  <c:v>2.4439490733605075E-10</c:v>
                </c:pt>
                <c:pt idx="424">
                  <c:v>2.3706306011596911E-10</c:v>
                </c:pt>
                <c:pt idx="425">
                  <c:v>2.2995116831248993E-10</c:v>
                </c:pt>
                <c:pt idx="426">
                  <c:v>2.2305263326311512E-10</c:v>
                </c:pt>
                <c:pt idx="427">
                  <c:v>2.1636105426522157E-10</c:v>
                </c:pt>
                <c:pt idx="428">
                  <c:v>2.098702226372653E-10</c:v>
                </c:pt>
                <c:pt idx="429">
                  <c:v>2.0357411595814724E-10</c:v>
                </c:pt>
                <c:pt idx="430">
                  <c:v>1.9746689247940274E-10</c:v>
                </c:pt>
                <c:pt idx="431">
                  <c:v>1.9154288570502059E-10</c:v>
                </c:pt>
                <c:pt idx="432">
                  <c:v>1.8579659913386988E-10</c:v>
                </c:pt>
                <c:pt idx="433">
                  <c:v>1.802227011598541E-10</c:v>
                </c:pt>
                <c:pt idx="434">
                  <c:v>1.7481602012505841E-10</c:v>
                </c:pt>
                <c:pt idx="435">
                  <c:v>1.695715395213066E-10</c:v>
                </c:pt>
                <c:pt idx="436">
                  <c:v>1.6448439333566734E-10</c:v>
                </c:pt>
                <c:pt idx="437">
                  <c:v>1.5954986153559725E-10</c:v>
                </c:pt>
                <c:pt idx="438">
                  <c:v>1.547633656895296E-10</c:v>
                </c:pt>
                <c:pt idx="439">
                  <c:v>1.5012046471884366E-10</c:v>
                </c:pt>
                <c:pt idx="440">
                  <c:v>1.4561685077727829E-10</c:v>
                </c:pt>
                <c:pt idx="441">
                  <c:v>1.4124834525395988E-10</c:v>
                </c:pt>
                <c:pt idx="442">
                  <c:v>1.3701089489634102E-10</c:v>
                </c:pt>
                <c:pt idx="443">
                  <c:v>1.3290056804945102E-10</c:v>
                </c:pt>
                <c:pt idx="444">
                  <c:v>1.2891355100796744E-10</c:v>
                </c:pt>
                <c:pt idx="445">
                  <c:v>1.2504614447772836E-10</c:v>
                </c:pt>
                <c:pt idx="446">
                  <c:v>1.2129476014339645E-10</c:v>
                </c:pt>
                <c:pt idx="447">
                  <c:v>1.176559173390945E-10</c:v>
                </c:pt>
                <c:pt idx="448">
                  <c:v>1.1412623981892186E-10</c:v>
                </c:pt>
                <c:pt idx="449">
                  <c:v>1.1070245262435417E-10</c:v>
                </c:pt>
                <c:pt idx="450">
                  <c:v>1.0738137904562349E-10</c:v>
                </c:pt>
                <c:pt idx="451">
                  <c:v>1.0415993767425475E-10</c:v>
                </c:pt>
                <c:pt idx="452">
                  <c:v>1.0103513954402706E-10</c:v>
                </c:pt>
                <c:pt idx="453">
                  <c:v>9.8004085357706421E-11</c:v>
                </c:pt>
                <c:pt idx="454">
                  <c:v>9.5063962796975187E-11</c:v>
                </c:pt>
                <c:pt idx="455">
                  <c:v>9.2212043913065891E-11</c:v>
                </c:pt>
                <c:pt idx="456">
                  <c:v>8.9445682595673879E-11</c:v>
                </c:pt>
                <c:pt idx="457">
                  <c:v>8.6762312117803621E-11</c:v>
                </c:pt>
                <c:pt idx="458">
                  <c:v>8.4159442754269654E-11</c:v>
                </c:pt>
                <c:pt idx="459">
                  <c:v>8.1634659471641533E-11</c:v>
                </c:pt>
                <c:pt idx="460">
                  <c:v>7.9185619687492255E-11</c:v>
                </c:pt>
                <c:pt idx="461">
                  <c:v>7.6810051096867452E-11</c:v>
                </c:pt>
                <c:pt idx="462">
                  <c:v>7.4505749563961394E-11</c:v>
                </c:pt>
                <c:pt idx="463">
                  <c:v>7.2270577077042675E-11</c:v>
                </c:pt>
                <c:pt idx="464">
                  <c:v>7.0102459764731358E-11</c:v>
                </c:pt>
                <c:pt idx="465">
                  <c:v>6.7999385971789385E-11</c:v>
                </c:pt>
                <c:pt idx="466">
                  <c:v>6.5959404392635678E-11</c:v>
                </c:pt>
                <c:pt idx="467">
                  <c:v>6.3980622260856581E-11</c:v>
                </c:pt>
                <c:pt idx="468">
                  <c:v>6.2061203593030991E-11</c:v>
                </c:pt>
                <c:pt idx="469">
                  <c:v>6.0199367485240031E-11</c:v>
                </c:pt>
                <c:pt idx="470">
                  <c:v>5.8393386460682805E-11</c:v>
                </c:pt>
                <c:pt idx="471">
                  <c:v>5.6641584866862296E-11</c:v>
                </c:pt>
                <c:pt idx="472">
                  <c:v>5.4942337320856404E-11</c:v>
                </c:pt>
                <c:pt idx="473">
                  <c:v>5.3294067201230806E-11</c:v>
                </c:pt>
                <c:pt idx="474">
                  <c:v>5.1695245185193856E-11</c:v>
                </c:pt>
                <c:pt idx="475">
                  <c:v>5.0144387829638018E-11</c:v>
                </c:pt>
                <c:pt idx="476">
                  <c:v>4.8640056194748857E-11</c:v>
                </c:pt>
                <c:pt idx="477">
                  <c:v>4.7180854508906368E-11</c:v>
                </c:pt>
                <c:pt idx="478">
                  <c:v>4.5765428873639255E-11</c:v>
                </c:pt>
                <c:pt idx="479">
                  <c:v>4.4392466007430056E-11</c:v>
                </c:pt>
                <c:pt idx="480">
                  <c:v>4.3060692027207137E-11</c:v>
                </c:pt>
                <c:pt idx="481">
                  <c:v>4.1768871266390902E-11</c:v>
                </c:pt>
                <c:pt idx="482">
                  <c:v>4.0515805128399157E-11</c:v>
                </c:pt>
                <c:pt idx="483">
                  <c:v>3.9300330974547252E-11</c:v>
                </c:pt>
                <c:pt idx="484">
                  <c:v>3.8121321045310815E-11</c:v>
                </c:pt>
                <c:pt idx="485">
                  <c:v>3.6977681413951471E-11</c:v>
                </c:pt>
                <c:pt idx="486">
                  <c:v>3.5868350971532908E-11</c:v>
                </c:pt>
                <c:pt idx="487">
                  <c:v>3.4792300442386906E-11</c:v>
                </c:pt>
                <c:pt idx="488">
                  <c:v>3.374853142911536E-11</c:v>
                </c:pt>
                <c:pt idx="489">
                  <c:v>3.2736075486241887E-11</c:v>
                </c:pt>
                <c:pt idx="490">
                  <c:v>3.1753993221654617E-11</c:v>
                </c:pt>
                <c:pt idx="491">
                  <c:v>3.0801373425004963E-11</c:v>
                </c:pt>
                <c:pt idx="492">
                  <c:v>2.9877332222254799E-11</c:v>
                </c:pt>
                <c:pt idx="493">
                  <c:v>2.8981012255587205E-11</c:v>
                </c:pt>
                <c:pt idx="494">
                  <c:v>2.8111581887919576E-11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281824"/>
        <c:axId val="436281264"/>
      </c:scatterChart>
      <c:valAx>
        <c:axId val="4362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281264"/>
        <c:crosses val="autoZero"/>
        <c:crossBetween val="midCat"/>
      </c:valAx>
      <c:valAx>
        <c:axId val="4362812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Concentration</a:t>
                </a:r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281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12413391251828E-2"/>
          <c:y val="9.1165782462744552E-2"/>
          <c:w val="0.79454849167457753"/>
          <c:h val="0.66937055622781816"/>
        </c:manualLayout>
      </c:layout>
      <c:scatterChart>
        <c:scatterStyle val="lineMarker"/>
        <c:varyColors val="0"/>
        <c:ser>
          <c:idx val="0"/>
          <c:order val="0"/>
          <c:tx>
            <c:v>SMX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MODEL!$A$2:$A$2002</c:f>
              <c:numCache>
                <c:formatCode>0.00E+00</c:formatCode>
                <c:ptCount val="20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</c:numCache>
            </c:numRef>
          </c:xVal>
          <c:yVal>
            <c:numRef>
              <c:f>MODEL!$N$3:$N$2002</c:f>
              <c:numCache>
                <c:formatCode>0.00E+00</c:formatCode>
                <c:ptCount val="2000"/>
                <c:pt idx="0">
                  <c:v>1.7999999999999999E-6</c:v>
                </c:pt>
                <c:pt idx="1">
                  <c:v>1.7999999999999999E-6</c:v>
                </c:pt>
                <c:pt idx="2">
                  <c:v>1.7999999999999999E-6</c:v>
                </c:pt>
                <c:pt idx="3">
                  <c:v>1.7999999999999999E-6</c:v>
                </c:pt>
                <c:pt idx="4">
                  <c:v>1.7999999999999999E-6</c:v>
                </c:pt>
                <c:pt idx="5">
                  <c:v>1.7999999999999999E-6</c:v>
                </c:pt>
                <c:pt idx="6">
                  <c:v>1.7999999999999999E-6</c:v>
                </c:pt>
                <c:pt idx="7">
                  <c:v>1.7999999999999999E-6</c:v>
                </c:pt>
                <c:pt idx="8">
                  <c:v>1.7999999999999999E-6</c:v>
                </c:pt>
                <c:pt idx="9">
                  <c:v>1.7999999999999999E-6</c:v>
                </c:pt>
                <c:pt idx="10">
                  <c:v>1.7999999999999999E-6</c:v>
                </c:pt>
                <c:pt idx="11">
                  <c:v>1.7999999999999999E-6</c:v>
                </c:pt>
                <c:pt idx="12">
                  <c:v>1.7999999999999999E-6</c:v>
                </c:pt>
                <c:pt idx="13">
                  <c:v>1.7999999999999999E-6</c:v>
                </c:pt>
                <c:pt idx="14">
                  <c:v>1.7999999999999999E-6</c:v>
                </c:pt>
                <c:pt idx="15">
                  <c:v>1.7999999999999999E-6</c:v>
                </c:pt>
                <c:pt idx="16">
                  <c:v>1.7999999999999999E-6</c:v>
                </c:pt>
                <c:pt idx="17">
                  <c:v>1.7999999999999999E-6</c:v>
                </c:pt>
                <c:pt idx="18">
                  <c:v>1.7999999999999999E-6</c:v>
                </c:pt>
                <c:pt idx="19">
                  <c:v>1.7999999999999999E-6</c:v>
                </c:pt>
                <c:pt idx="20">
                  <c:v>1.7999999999999999E-6</c:v>
                </c:pt>
                <c:pt idx="21">
                  <c:v>1.7999999999999999E-6</c:v>
                </c:pt>
                <c:pt idx="22">
                  <c:v>1.7999999999999999E-6</c:v>
                </c:pt>
                <c:pt idx="23">
                  <c:v>1.7999999999999999E-6</c:v>
                </c:pt>
                <c:pt idx="24">
                  <c:v>1.7999999999999999E-6</c:v>
                </c:pt>
                <c:pt idx="25">
                  <c:v>1.7999999999999999E-6</c:v>
                </c:pt>
                <c:pt idx="26">
                  <c:v>1.7999999999999999E-6</c:v>
                </c:pt>
                <c:pt idx="27">
                  <c:v>1.7999999999999999E-6</c:v>
                </c:pt>
                <c:pt idx="28">
                  <c:v>1.7999999999999999E-6</c:v>
                </c:pt>
                <c:pt idx="29">
                  <c:v>1.7999999999999999E-6</c:v>
                </c:pt>
                <c:pt idx="30">
                  <c:v>1.7999999999999999E-6</c:v>
                </c:pt>
                <c:pt idx="31">
                  <c:v>1.7999999999999999E-6</c:v>
                </c:pt>
                <c:pt idx="32">
                  <c:v>1.7999999999999999E-6</c:v>
                </c:pt>
                <c:pt idx="33">
                  <c:v>1.7999999999999999E-6</c:v>
                </c:pt>
                <c:pt idx="34">
                  <c:v>1.7999999999999999E-6</c:v>
                </c:pt>
                <c:pt idx="35">
                  <c:v>1.7999999999999999E-6</c:v>
                </c:pt>
                <c:pt idx="36">
                  <c:v>1.7999999999999999E-6</c:v>
                </c:pt>
                <c:pt idx="37">
                  <c:v>1.7999999999999999E-6</c:v>
                </c:pt>
                <c:pt idx="38">
                  <c:v>1.7999999999999999E-6</c:v>
                </c:pt>
                <c:pt idx="39">
                  <c:v>1.7999999999999999E-6</c:v>
                </c:pt>
                <c:pt idx="40">
                  <c:v>1.7999999999999999E-6</c:v>
                </c:pt>
                <c:pt idx="41">
                  <c:v>1.7999999999999999E-6</c:v>
                </c:pt>
                <c:pt idx="42">
                  <c:v>1.7999999999999999E-6</c:v>
                </c:pt>
                <c:pt idx="43">
                  <c:v>1.7999999999999999E-6</c:v>
                </c:pt>
                <c:pt idx="44">
                  <c:v>1.7999999999999999E-6</c:v>
                </c:pt>
                <c:pt idx="45">
                  <c:v>1.7999999999999999E-6</c:v>
                </c:pt>
                <c:pt idx="46">
                  <c:v>1.7999999999999999E-6</c:v>
                </c:pt>
                <c:pt idx="47">
                  <c:v>1.7999999999999999E-6</c:v>
                </c:pt>
                <c:pt idx="48">
                  <c:v>1.7999999999999999E-6</c:v>
                </c:pt>
                <c:pt idx="49">
                  <c:v>1.7999999999999999E-6</c:v>
                </c:pt>
                <c:pt idx="50">
                  <c:v>1.7999999999999999E-6</c:v>
                </c:pt>
                <c:pt idx="51">
                  <c:v>1.7999999999999999E-6</c:v>
                </c:pt>
                <c:pt idx="52">
                  <c:v>1.7999999999999999E-6</c:v>
                </c:pt>
                <c:pt idx="53">
                  <c:v>1.7999999999999999E-6</c:v>
                </c:pt>
                <c:pt idx="54">
                  <c:v>1.7999999999999999E-6</c:v>
                </c:pt>
                <c:pt idx="55">
                  <c:v>1.7999999999999999E-6</c:v>
                </c:pt>
                <c:pt idx="56">
                  <c:v>1.7999999999999999E-6</c:v>
                </c:pt>
                <c:pt idx="57">
                  <c:v>1.7999999999999999E-6</c:v>
                </c:pt>
                <c:pt idx="58">
                  <c:v>1.7999999999999999E-6</c:v>
                </c:pt>
                <c:pt idx="59">
                  <c:v>1.7999999999999999E-6</c:v>
                </c:pt>
                <c:pt idx="60">
                  <c:v>1.7999999999999999E-6</c:v>
                </c:pt>
                <c:pt idx="61">
                  <c:v>1.7999999999999999E-6</c:v>
                </c:pt>
                <c:pt idx="62">
                  <c:v>1.7925576151357799E-6</c:v>
                </c:pt>
                <c:pt idx="63">
                  <c:v>1.7796839540318068E-6</c:v>
                </c:pt>
                <c:pt idx="64">
                  <c:v>1.7622213472567809E-6</c:v>
                </c:pt>
                <c:pt idx="65">
                  <c:v>1.7407120698257349E-6</c:v>
                </c:pt>
                <c:pt idx="66">
                  <c:v>1.7155736101723857E-6</c:v>
                </c:pt>
                <c:pt idx="67">
                  <c:v>1.6871575947672814E-6</c:v>
                </c:pt>
                <c:pt idx="68">
                  <c:v>1.6557793113729858E-6</c:v>
                </c:pt>
                <c:pt idx="69">
                  <c:v>1.6217314163152632E-6</c:v>
                </c:pt>
                <c:pt idx="70">
                  <c:v>1.5852908070312253E-6</c:v>
                </c:pt>
                <c:pt idx="71">
                  <c:v>1.5467233169650685E-6</c:v>
                </c:pt>
                <c:pt idx="72">
                  <c:v>1.506285018826032E-6</c:v>
                </c:pt>
                <c:pt idx="73">
                  <c:v>1.4642249046635663E-6</c:v>
                </c:pt>
                <c:pt idx="74">
                  <c:v>1.4207840851472507E-6</c:v>
                </c:pt>
                <c:pt idx="75">
                  <c:v>1.3761975102230631E-6</c:v>
                </c:pt>
                <c:pt idx="76">
                  <c:v>1.3306923834029084E-6</c:v>
                </c:pt>
                <c:pt idx="77">
                  <c:v>1.2844816420017998E-6</c:v>
                </c:pt>
                <c:pt idx="78">
                  <c:v>1.2377792369560413E-6</c:v>
                </c:pt>
                <c:pt idx="79">
                  <c:v>1.1907877498849932E-6</c:v>
                </c:pt>
                <c:pt idx="80">
                  <c:v>1.143694472302113E-6</c:v>
                </c:pt>
                <c:pt idx="81">
                  <c:v>1.0966854577753368E-6</c:v>
                </c:pt>
                <c:pt idx="82">
                  <c:v>1.0499268936498756E-6</c:v>
                </c:pt>
                <c:pt idx="83">
                  <c:v>1.0035825476908296E-6</c:v>
                </c:pt>
                <c:pt idx="84">
                  <c:v>9.5779848809176033E-7</c:v>
                </c:pt>
                <c:pt idx="85">
                  <c:v>9.1271385669262502E-7</c:v>
                </c:pt>
                <c:pt idx="86">
                  <c:v>8.6845342178727323E-7</c:v>
                </c:pt>
                <c:pt idx="87">
                  <c:v>8.2512801095499673E-7</c:v>
                </c:pt>
                <c:pt idx="88">
                  <c:v>7.82843513173869E-7</c:v>
                </c:pt>
                <c:pt idx="89">
                  <c:v>7.416912372989695E-7</c:v>
                </c:pt>
                <c:pt idx="90">
                  <c:v>7.0174918208370156E-7</c:v>
                </c:pt>
                <c:pt idx="91">
                  <c:v>6.6308359178067526E-7</c:v>
                </c:pt>
                <c:pt idx="92">
                  <c:v>6.2575359356412163E-7</c:v>
                </c:pt>
                <c:pt idx="93">
                  <c:v>5.8980432445571195E-7</c:v>
                </c:pt>
                <c:pt idx="94">
                  <c:v>5.5527202287198627E-7</c:v>
                </c:pt>
                <c:pt idx="95">
                  <c:v>5.2218239290696373E-7</c:v>
                </c:pt>
                <c:pt idx="96">
                  <c:v>4.9055298275143832E-7</c:v>
                </c:pt>
                <c:pt idx="97">
                  <c:v>4.6039220983858599E-7</c:v>
                </c:pt>
                <c:pt idx="98">
                  <c:v>4.3169837666434765E-7</c:v>
                </c:pt>
                <c:pt idx="99">
                  <c:v>4.0446501085804361E-7</c:v>
                </c:pt>
                <c:pt idx="100">
                  <c:v>3.7867818955466586E-7</c:v>
                </c:pt>
                <c:pt idx="101">
                  <c:v>3.5431724180195556E-7</c:v>
                </c:pt>
                <c:pt idx="102">
                  <c:v>3.3135522496097689E-7</c:v>
                </c:pt>
                <c:pt idx="103">
                  <c:v>3.0975996131791746E-7</c:v>
                </c:pt>
                <c:pt idx="104">
                  <c:v>2.8949609496786115E-7</c:v>
                </c:pt>
                <c:pt idx="105">
                  <c:v>2.7052426065434927E-7</c:v>
                </c:pt>
                <c:pt idx="106">
                  <c:v>2.5279948607409275E-7</c:v>
                </c:pt>
                <c:pt idx="107">
                  <c:v>2.3627686899575586E-7</c:v>
                </c:pt>
                <c:pt idx="108">
                  <c:v>2.2090800156719501E-7</c:v>
                </c:pt>
                <c:pt idx="109">
                  <c:v>2.0664367193158561E-7</c:v>
                </c:pt>
                <c:pt idx="110">
                  <c:v>1.9343184948919603E-7</c:v>
                </c:pt>
                <c:pt idx="111">
                  <c:v>1.8122118740482123E-7</c:v>
                </c:pt>
                <c:pt idx="112">
                  <c:v>1.6995966958761379E-7</c:v>
                </c:pt>
                <c:pt idx="113">
                  <c:v>1.5959510625979364E-7</c:v>
                </c:pt>
                <c:pt idx="114">
                  <c:v>1.5007572232028245E-7</c:v>
                </c:pt>
                <c:pt idx="115">
                  <c:v>1.4135045611617093E-7</c:v>
                </c:pt>
                <c:pt idx="116">
                  <c:v>1.3336956034872095E-7</c:v>
                </c:pt>
                <c:pt idx="117">
                  <c:v>1.2608377691916888E-7</c:v>
                </c:pt>
                <c:pt idx="118">
                  <c:v>1.1944610955497127E-7</c:v>
                </c:pt>
                <c:pt idx="119">
                  <c:v>1.1341059748906523E-7</c:v>
                </c:pt>
                <c:pt idx="120">
                  <c:v>1.079328727331771E-7</c:v>
                </c:pt>
                <c:pt idx="121">
                  <c:v>1.0297034374359302E-7</c:v>
                </c:pt>
                <c:pt idx="122">
                  <c:v>9.8483024082096515E-8</c:v>
                </c:pt>
                <c:pt idx="123">
                  <c:v>9.4432331094097172E-8</c:v>
                </c:pt>
                <c:pt idx="124">
                  <c:v>9.0782010503808125E-8</c:v>
                </c:pt>
                <c:pt idx="125">
                  <c:v>8.7497702825338499E-8</c:v>
                </c:pt>
                <c:pt idx="126">
                  <c:v>8.4546976676845196E-8</c:v>
                </c:pt>
                <c:pt idx="127">
                  <c:v>8.1899704646218373E-8</c:v>
                </c:pt>
                <c:pt idx="128">
                  <c:v>7.9527619113123556E-8</c:v>
                </c:pt>
                <c:pt idx="129">
                  <c:v>7.7404293482255853E-8</c:v>
                </c:pt>
                <c:pt idx="130">
                  <c:v>7.5505174743475026E-8</c:v>
                </c:pt>
                <c:pt idx="131">
                  <c:v>7.3807910144228098E-8</c:v>
                </c:pt>
                <c:pt idx="132">
                  <c:v>7.2291827096154787E-8</c:v>
                </c:pt>
                <c:pt idx="133">
                  <c:v>7.0937697178704228E-8</c:v>
                </c:pt>
                <c:pt idx="134">
                  <c:v>6.9727880978463624E-8</c:v>
                </c:pt>
                <c:pt idx="135">
                  <c:v>6.8646581792217152E-8</c:v>
                </c:pt>
                <c:pt idx="136">
                  <c:v>6.7679007522972679E-8</c:v>
                </c:pt>
                <c:pt idx="137">
                  <c:v>6.6812367674938614E-8</c:v>
                </c:pt>
                <c:pt idx="138">
                  <c:v>6.6034351449401983E-8</c:v>
                </c:pt>
                <c:pt idx="139">
                  <c:v>6.5334594162337337E-8</c:v>
                </c:pt>
                <c:pt idx="140">
                  <c:v>6.4703047970316467E-8</c:v>
                </c:pt>
                <c:pt idx="141">
                  <c:v>6.4131081240858434E-8</c:v>
                </c:pt>
                <c:pt idx="142">
                  <c:v>6.3610983233187804E-8</c:v>
                </c:pt>
                <c:pt idx="143">
                  <c:v>6.3136235835096568E-8</c:v>
                </c:pt>
                <c:pt idx="144">
                  <c:v>6.270034339568211E-8</c:v>
                </c:pt>
                <c:pt idx="145">
                  <c:v>6.229768763731329E-8</c:v>
                </c:pt>
                <c:pt idx="146">
                  <c:v>6.1923792523053465E-8</c:v>
                </c:pt>
                <c:pt idx="147">
                  <c:v>6.157448525001475E-8</c:v>
                </c:pt>
                <c:pt idx="148">
                  <c:v>6.1246110793577432E-8</c:v>
                </c:pt>
                <c:pt idx="149">
                  <c:v>6.0935484691150567E-8</c:v>
                </c:pt>
                <c:pt idx="150">
                  <c:v>6.0639607800265052E-8</c:v>
                </c:pt>
                <c:pt idx="151">
                  <c:v>6.0356355472325151E-8</c:v>
                </c:pt>
                <c:pt idx="152">
                  <c:v>6.0083430168303006E-8</c:v>
                </c:pt>
                <c:pt idx="153">
                  <c:v>5.9819327514056205E-8</c:v>
                </c:pt>
                <c:pt idx="154">
                  <c:v>5.9562300601711325E-8</c:v>
                </c:pt>
                <c:pt idx="155">
                  <c:v>5.9311098677764483E-8</c:v>
                </c:pt>
                <c:pt idx="156">
                  <c:v>5.9064893136288748E-8</c:v>
                </c:pt>
                <c:pt idx="157">
                  <c:v>5.8822416653484333E-8</c:v>
                </c:pt>
                <c:pt idx="158">
                  <c:v>5.8583079083573318E-8</c:v>
                </c:pt>
                <c:pt idx="159">
                  <c:v>5.8346275211673239E-8</c:v>
                </c:pt>
                <c:pt idx="160">
                  <c:v>5.8111510408686866E-8</c:v>
                </c:pt>
                <c:pt idx="161">
                  <c:v>5.7878261555561265E-8</c:v>
                </c:pt>
                <c:pt idx="162">
                  <c:v>5.7646353884232843E-8</c:v>
                </c:pt>
                <c:pt idx="163">
                  <c:v>5.7415409623621737E-8</c:v>
                </c:pt>
                <c:pt idx="164">
                  <c:v>5.7185377638594315E-8</c:v>
                </c:pt>
                <c:pt idx="165">
                  <c:v>5.6955983893600683E-8</c:v>
                </c:pt>
                <c:pt idx="166">
                  <c:v>5.6727269595522037E-8</c:v>
                </c:pt>
                <c:pt idx="167">
                  <c:v>5.6498811763153072E-8</c:v>
                </c:pt>
                <c:pt idx="168">
                  <c:v>5.6270972462627379E-8</c:v>
                </c:pt>
                <c:pt idx="169">
                  <c:v>5.6043589554949478E-8</c:v>
                </c:pt>
                <c:pt idx="170">
                  <c:v>5.581666989126422E-8</c:v>
                </c:pt>
                <c:pt idx="171">
                  <c:v>5.5590365695691755E-8</c:v>
                </c:pt>
                <c:pt idx="172">
                  <c:v>5.5364336286508259E-8</c:v>
                </c:pt>
                <c:pt idx="173">
                  <c:v>5.5138886459529904E-8</c:v>
                </c:pt>
                <c:pt idx="174">
                  <c:v>5.4914054929109443E-8</c:v>
                </c:pt>
                <c:pt idx="175">
                  <c:v>5.4689885135963871E-8</c:v>
                </c:pt>
                <c:pt idx="176">
                  <c:v>5.4466423655494947E-8</c:v>
                </c:pt>
                <c:pt idx="177">
                  <c:v>5.4243506943394023E-8</c:v>
                </c:pt>
                <c:pt idx="178">
                  <c:v>5.4021442419194971E-8</c:v>
                </c:pt>
                <c:pt idx="179">
                  <c:v>5.3800270419157489E-8</c:v>
                </c:pt>
                <c:pt idx="180">
                  <c:v>5.3580032103362753E-8</c:v>
                </c:pt>
                <c:pt idx="181">
                  <c:v>5.3360768668696145E-8</c:v>
                </c:pt>
                <c:pt idx="182">
                  <c:v>5.3142520727842773E-8</c:v>
                </c:pt>
                <c:pt idx="183">
                  <c:v>5.2925325377303289E-8</c:v>
                </c:pt>
                <c:pt idx="184">
                  <c:v>5.2709221315634817E-8</c:v>
                </c:pt>
                <c:pt idx="185">
                  <c:v>5.2494108524630835E-8</c:v>
                </c:pt>
                <c:pt idx="186">
                  <c:v>5.2280394266800849E-8</c:v>
                </c:pt>
                <c:pt idx="187">
                  <c:v>5.2067850283340831E-8</c:v>
                </c:pt>
                <c:pt idx="188">
                  <c:v>5.1856374226116681E-8</c:v>
                </c:pt>
                <c:pt idx="189">
                  <c:v>5.1646371991235126E-8</c:v>
                </c:pt>
                <c:pt idx="190">
                  <c:v>5.1437471168075365E-8</c:v>
                </c:pt>
                <c:pt idx="191">
                  <c:v>5.1230080805404853E-8</c:v>
                </c:pt>
                <c:pt idx="192">
                  <c:v>5.1024032870624593E-8</c:v>
                </c:pt>
                <c:pt idx="193">
                  <c:v>5.0819273189821775E-8</c:v>
                </c:pt>
                <c:pt idx="194">
                  <c:v>5.0615894709811341E-8</c:v>
                </c:pt>
                <c:pt idx="195">
                  <c:v>5.0413906907633609E-8</c:v>
                </c:pt>
                <c:pt idx="196">
                  <c:v>5.0213458419885814E-8</c:v>
                </c:pt>
                <c:pt idx="197">
                  <c:v>5.0014585500241014E-8</c:v>
                </c:pt>
                <c:pt idx="198">
                  <c:v>4.9817049375269776E-8</c:v>
                </c:pt>
                <c:pt idx="199">
                  <c:v>4.9621072900858471E-8</c:v>
                </c:pt>
                <c:pt idx="200">
                  <c:v>4.9426423407926105E-8</c:v>
                </c:pt>
                <c:pt idx="201">
                  <c:v>4.9233329199134379E-8</c:v>
                </c:pt>
                <c:pt idx="202">
                  <c:v>4.9041761157103466E-8</c:v>
                </c:pt>
                <c:pt idx="203">
                  <c:v>4.8851694502705115E-8</c:v>
                </c:pt>
                <c:pt idx="204">
                  <c:v>4.8663112544166854E-8</c:v>
                </c:pt>
                <c:pt idx="205">
                  <c:v>4.8476199328824659E-8</c:v>
                </c:pt>
                <c:pt idx="206">
                  <c:v>4.829069251783383E-8</c:v>
                </c:pt>
                <c:pt idx="207">
                  <c:v>4.8106795344736328E-8</c:v>
                </c:pt>
                <c:pt idx="208">
                  <c:v>4.7924310044614786E-8</c:v>
                </c:pt>
                <c:pt idx="209">
                  <c:v>4.7743379972671046E-8</c:v>
                </c:pt>
                <c:pt idx="210">
                  <c:v>4.7563965232004826E-8</c:v>
                </c:pt>
                <c:pt idx="211">
                  <c:v>4.7386083230698034E-8</c:v>
                </c:pt>
                <c:pt idx="212">
                  <c:v>4.720984186180801E-8</c:v>
                </c:pt>
                <c:pt idx="213">
                  <c:v>4.7035023463146665E-8</c:v>
                </c:pt>
                <c:pt idx="214">
                  <c:v>4.6861761256755168E-8</c:v>
                </c:pt>
                <c:pt idx="215">
                  <c:v>4.6689854627974494E-8</c:v>
                </c:pt>
                <c:pt idx="216">
                  <c:v>4.651964601549506E-8</c:v>
                </c:pt>
                <c:pt idx="217">
                  <c:v>4.6350887990852137E-8</c:v>
                </c:pt>
                <c:pt idx="218">
                  <c:v>4.6183547540175102E-8</c:v>
                </c:pt>
                <c:pt idx="219">
                  <c:v>4.601759834475532E-8</c:v>
                </c:pt>
                <c:pt idx="220">
                  <c:v>4.585336051987468E-8</c:v>
                </c:pt>
                <c:pt idx="221">
                  <c:v>4.5690568723637098E-8</c:v>
                </c:pt>
                <c:pt idx="222">
                  <c:v>4.5529179527298866E-8</c:v>
                </c:pt>
                <c:pt idx="223">
                  <c:v>4.5369347912695321E-8</c:v>
                </c:pt>
                <c:pt idx="224">
                  <c:v>4.5210990202951527E-8</c:v>
                </c:pt>
                <c:pt idx="225">
                  <c:v>4.5054042854931325E-8</c:v>
                </c:pt>
                <c:pt idx="226">
                  <c:v>4.4898457214726729E-8</c:v>
                </c:pt>
                <c:pt idx="227">
                  <c:v>4.4744385323051901E-8</c:v>
                </c:pt>
                <c:pt idx="228">
                  <c:v>4.4591587835471143E-8</c:v>
                </c:pt>
                <c:pt idx="229">
                  <c:v>4.4440386622672578E-8</c:v>
                </c:pt>
                <c:pt idx="230">
                  <c:v>4.4290473689890167E-8</c:v>
                </c:pt>
                <c:pt idx="231">
                  <c:v>4.4141852124681581E-8</c:v>
                </c:pt>
                <c:pt idx="232">
                  <c:v>4.399482852514112E-8</c:v>
                </c:pt>
                <c:pt idx="233">
                  <c:v>4.3849270862658599E-8</c:v>
                </c:pt>
                <c:pt idx="234">
                  <c:v>4.3704928187324205E-8</c:v>
                </c:pt>
                <c:pt idx="235">
                  <c:v>4.3561929191401557E-8</c:v>
                </c:pt>
                <c:pt idx="236">
                  <c:v>4.3420236075460574E-8</c:v>
                </c:pt>
                <c:pt idx="237">
                  <c:v>4.3279786692351178E-8</c:v>
                </c:pt>
                <c:pt idx="238">
                  <c:v>4.3140691819814384E-8</c:v>
                </c:pt>
                <c:pt idx="239">
                  <c:v>4.3002899406023181E-8</c:v>
                </c:pt>
                <c:pt idx="240">
                  <c:v>4.2866337088840547E-8</c:v>
                </c:pt>
                <c:pt idx="241">
                  <c:v>4.2730949162130604E-8</c:v>
                </c:pt>
                <c:pt idx="242">
                  <c:v>4.2597039166496876E-8</c:v>
                </c:pt>
                <c:pt idx="243">
                  <c:v>4.2464495288278477E-8</c:v>
                </c:pt>
                <c:pt idx="244">
                  <c:v>4.2333025082933893E-8</c:v>
                </c:pt>
                <c:pt idx="245">
                  <c:v>4.2202790116087404E-8</c:v>
                </c:pt>
                <c:pt idx="246">
                  <c:v>4.2073898809385632E-8</c:v>
                </c:pt>
                <c:pt idx="247">
                  <c:v>4.1946074999336831E-8</c:v>
                </c:pt>
                <c:pt idx="248">
                  <c:v>4.1819448498718999E-8</c:v>
                </c:pt>
                <c:pt idx="249">
                  <c:v>4.1694125192769485E-8</c:v>
                </c:pt>
                <c:pt idx="250">
                  <c:v>4.1569990114622031E-8</c:v>
                </c:pt>
                <c:pt idx="251">
                  <c:v>4.1447143052620151E-8</c:v>
                </c:pt>
                <c:pt idx="252">
                  <c:v>4.1325303412063075E-8</c:v>
                </c:pt>
                <c:pt idx="253">
                  <c:v>4.1204601263326164E-8</c:v>
                </c:pt>
                <c:pt idx="254">
                  <c:v>4.1084978447596892E-8</c:v>
                </c:pt>
                <c:pt idx="255">
                  <c:v>4.0966714878766335E-8</c:v>
                </c:pt>
                <c:pt idx="256">
                  <c:v>4.0849308566247113E-8</c:v>
                </c:pt>
                <c:pt idx="257">
                  <c:v>4.0733284163155568E-8</c:v>
                </c:pt>
                <c:pt idx="258">
                  <c:v>4.0618302644603942E-8</c:v>
                </c:pt>
                <c:pt idx="259">
                  <c:v>4.0504297334367284E-8</c:v>
                </c:pt>
                <c:pt idx="260">
                  <c:v>4.0391397683122283E-8</c:v>
                </c:pt>
                <c:pt idx="261">
                  <c:v>4.0279670752113629E-8</c:v>
                </c:pt>
                <c:pt idx="262">
                  <c:v>4.0169009566057177E-8</c:v>
                </c:pt>
                <c:pt idx="263">
                  <c:v>4.0059322147996196E-8</c:v>
                </c:pt>
                <c:pt idx="264">
                  <c:v>3.9950722785521867E-8</c:v>
                </c:pt>
                <c:pt idx="265">
                  <c:v>3.9843102074172651E-8</c:v>
                </c:pt>
                <c:pt idx="266">
                  <c:v>3.9736923321968108E-8</c:v>
                </c:pt>
                <c:pt idx="267">
                  <c:v>3.9631948845139726E-8</c:v>
                </c:pt>
                <c:pt idx="268">
                  <c:v>3.9527831472725121E-8</c:v>
                </c:pt>
                <c:pt idx="269">
                  <c:v>3.9422934362726283E-8</c:v>
                </c:pt>
                <c:pt idx="270">
                  <c:v>3.931957291064489E-8</c:v>
                </c:pt>
                <c:pt idx="271">
                  <c:v>3.9219222625339821E-8</c:v>
                </c:pt>
                <c:pt idx="272">
                  <c:v>3.9119106323961325E-8</c:v>
                </c:pt>
                <c:pt idx="273">
                  <c:v>3.9019563590332013E-8</c:v>
                </c:pt>
                <c:pt idx="274">
                  <c:v>3.892047569353268E-8</c:v>
                </c:pt>
                <c:pt idx="275">
                  <c:v>3.8822101574144684E-8</c:v>
                </c:pt>
                <c:pt idx="276">
                  <c:v>3.8725993055489975E-8</c:v>
                </c:pt>
                <c:pt idx="277">
                  <c:v>3.8629815126973461E-8</c:v>
                </c:pt>
                <c:pt idx="278">
                  <c:v>3.8535755350558819E-8</c:v>
                </c:pt>
                <c:pt idx="279">
                  <c:v>3.8441336645563522E-8</c:v>
                </c:pt>
                <c:pt idx="280">
                  <c:v>3.834867770865031E-8</c:v>
                </c:pt>
                <c:pt idx="281">
                  <c:v>3.8255620679510152E-8</c:v>
                </c:pt>
                <c:pt idx="282">
                  <c:v>3.8164293957188577E-8</c:v>
                </c:pt>
                <c:pt idx="283">
                  <c:v>3.8074257376593581E-8</c:v>
                </c:pt>
                <c:pt idx="284">
                  <c:v>3.7985253031560895E-8</c:v>
                </c:pt>
                <c:pt idx="285">
                  <c:v>3.7895368347945843E-8</c:v>
                </c:pt>
                <c:pt idx="286">
                  <c:v>3.780690535881992E-8</c:v>
                </c:pt>
                <c:pt idx="287">
                  <c:v>3.7719548440926254E-8</c:v>
                </c:pt>
                <c:pt idx="288">
                  <c:v>3.7633077368796052E-8</c:v>
                </c:pt>
                <c:pt idx="289">
                  <c:v>3.7549093975484045E-8</c:v>
                </c:pt>
                <c:pt idx="290">
                  <c:v>3.7464952208290454E-8</c:v>
                </c:pt>
                <c:pt idx="291">
                  <c:v>3.7381083755521723E-8</c:v>
                </c:pt>
                <c:pt idx="292">
                  <c:v>3.7297428186149013E-8</c:v>
                </c:pt>
                <c:pt idx="293">
                  <c:v>3.7215985243308023E-8</c:v>
                </c:pt>
                <c:pt idx="294">
                  <c:v>3.7134204523400497E-8</c:v>
                </c:pt>
                <c:pt idx="295">
                  <c:v>3.7054296428426172E-8</c:v>
                </c:pt>
                <c:pt idx="296">
                  <c:v>3.697554518957996E-8</c:v>
                </c:pt>
                <c:pt idx="297">
                  <c:v>3.6895962847210324E-8</c:v>
                </c:pt>
                <c:pt idx="298">
                  <c:v>3.6817972416927924E-8</c:v>
                </c:pt>
                <c:pt idx="299">
                  <c:v>3.6740937570760255E-8</c:v>
                </c:pt>
                <c:pt idx="300">
                  <c:v>3.6664669566670555E-8</c:v>
                </c:pt>
                <c:pt idx="301">
                  <c:v>3.6589032377908502E-8</c:v>
                </c:pt>
                <c:pt idx="302">
                  <c:v>3.651396424837657E-8</c:v>
                </c:pt>
                <c:pt idx="303">
                  <c:v>3.6439406019812924E-8</c:v>
                </c:pt>
                <c:pt idx="304">
                  <c:v>3.6365342306953734E-8</c:v>
                </c:pt>
                <c:pt idx="305">
                  <c:v>3.6291741863436652E-8</c:v>
                </c:pt>
                <c:pt idx="306">
                  <c:v>3.6220117826658837E-8</c:v>
                </c:pt>
                <c:pt idx="307">
                  <c:v>3.6148296243002141E-8</c:v>
                </c:pt>
                <c:pt idx="308">
                  <c:v>3.6078235243090944E-8</c:v>
                </c:pt>
                <c:pt idx="309">
                  <c:v>3.6007490270056593E-8</c:v>
                </c:pt>
                <c:pt idx="310">
                  <c:v>3.5938397079631485E-8</c:v>
                </c:pt>
                <c:pt idx="311">
                  <c:v>3.5868552762702616E-8</c:v>
                </c:pt>
                <c:pt idx="312">
                  <c:v>3.5800300042982481E-8</c:v>
                </c:pt>
                <c:pt idx="313">
                  <c:v>3.5732958100582859E-8</c:v>
                </c:pt>
                <c:pt idx="314">
                  <c:v>3.5666469225382402E-8</c:v>
                </c:pt>
                <c:pt idx="315">
                  <c:v>3.5600459361122503E-8</c:v>
                </c:pt>
                <c:pt idx="316">
                  <c:v>3.5534871075984754E-8</c:v>
                </c:pt>
                <c:pt idx="317">
                  <c:v>3.5469670837539673E-8</c:v>
                </c:pt>
                <c:pt idx="318">
                  <c:v>3.5406531612277382E-8</c:v>
                </c:pt>
                <c:pt idx="319">
                  <c:v>3.5343203251638265E-8</c:v>
                </c:pt>
                <c:pt idx="320">
                  <c:v>3.5281402264061561E-8</c:v>
                </c:pt>
                <c:pt idx="321">
                  <c:v>3.5218762874420357E-8</c:v>
                </c:pt>
                <c:pt idx="322">
                  <c:v>3.5157644590720879E-8</c:v>
                </c:pt>
                <c:pt idx="323">
                  <c:v>3.5095843632310927E-8</c:v>
                </c:pt>
                <c:pt idx="324">
                  <c:v>3.5035490193928266E-8</c:v>
                </c:pt>
                <c:pt idx="325">
                  <c:v>3.4976073953926581E-8</c:v>
                </c:pt>
                <c:pt idx="326">
                  <c:v>3.4917124261033268E-8</c:v>
                </c:pt>
                <c:pt idx="327">
                  <c:v>3.4858744121829257E-8</c:v>
                </c:pt>
                <c:pt idx="328">
                  <c:v>3.4800827164568764E-8</c:v>
                </c:pt>
                <c:pt idx="329">
                  <c:v>3.4743108836599252E-8</c:v>
                </c:pt>
                <c:pt idx="330">
                  <c:v>3.4687284236524616E-8</c:v>
                </c:pt>
                <c:pt idx="331">
                  <c:v>3.4631138040328276E-8</c:v>
                </c:pt>
                <c:pt idx="332">
                  <c:v>3.4574776784361242E-8</c:v>
                </c:pt>
                <c:pt idx="333">
                  <c:v>3.4520078509499985E-8</c:v>
                </c:pt>
                <c:pt idx="334">
                  <c:v>3.4466581892109164E-8</c:v>
                </c:pt>
                <c:pt idx="335">
                  <c:v>3.4412009433912318E-8</c:v>
                </c:pt>
                <c:pt idx="336">
                  <c:v>3.4358630876098543E-8</c:v>
                </c:pt>
                <c:pt idx="337">
                  <c:v>3.4306027060423937E-8</c:v>
                </c:pt>
                <c:pt idx="338">
                  <c:v>3.4253949669599692E-8</c:v>
                </c:pt>
                <c:pt idx="339">
                  <c:v>3.4202264050302218E-8</c:v>
                </c:pt>
                <c:pt idx="340">
                  <c:v>3.4150897345429071E-8</c:v>
                </c:pt>
                <c:pt idx="341">
                  <c:v>3.410126980404789E-8</c:v>
                </c:pt>
                <c:pt idx="342">
                  <c:v>3.4051203208587071E-8</c:v>
                </c:pt>
                <c:pt idx="343">
                  <c:v>3.4002657666648424E-8</c:v>
                </c:pt>
                <c:pt idx="344">
                  <c:v>3.3953367285922729E-8</c:v>
                </c:pt>
                <c:pt idx="345">
                  <c:v>3.3905266875025517E-8</c:v>
                </c:pt>
                <c:pt idx="346">
                  <c:v>3.3856432180492465E-8</c:v>
                </c:pt>
                <c:pt idx="347">
                  <c:v>3.380877345117417E-8</c:v>
                </c:pt>
                <c:pt idx="348">
                  <c:v>3.3761824067957829E-8</c:v>
                </c:pt>
                <c:pt idx="349">
                  <c:v>3.3715528280181198E-8</c:v>
                </c:pt>
                <c:pt idx="350">
                  <c:v>3.366947693761724E-8</c:v>
                </c:pt>
                <c:pt idx="351">
                  <c:v>3.3625284824484609E-8</c:v>
                </c:pt>
                <c:pt idx="352">
                  <c:v>3.3580495981687835E-8</c:v>
                </c:pt>
                <c:pt idx="353">
                  <c:v>3.3535682913748724E-8</c:v>
                </c:pt>
                <c:pt idx="354">
                  <c:v>3.3492397728698815E-8</c:v>
                </c:pt>
                <c:pt idx="355">
                  <c:v>3.3449976584021671E-8</c:v>
                </c:pt>
                <c:pt idx="356">
                  <c:v>3.3406441399086773E-8</c:v>
                </c:pt>
                <c:pt idx="357">
                  <c:v>3.3363873583811473E-8</c:v>
                </c:pt>
                <c:pt idx="358">
                  <c:v>3.332206981980251E-8</c:v>
                </c:pt>
                <c:pt idx="359">
                  <c:v>3.3280734104339279E-8</c:v>
                </c:pt>
                <c:pt idx="360">
                  <c:v>3.3239715498224882E-8</c:v>
                </c:pt>
                <c:pt idx="361">
                  <c:v>3.3198743947586272E-8</c:v>
                </c:pt>
                <c:pt idx="362">
                  <c:v>3.3159700889125949E-8</c:v>
                </c:pt>
                <c:pt idx="363">
                  <c:v>3.3119867873713971E-8</c:v>
                </c:pt>
                <c:pt idx="364">
                  <c:v>3.3081543444082825E-8</c:v>
                </c:pt>
                <c:pt idx="365">
                  <c:v>3.3042214944360852E-8</c:v>
                </c:pt>
                <c:pt idx="366">
                  <c:v>3.3004076948132193E-8</c:v>
                </c:pt>
                <c:pt idx="367">
                  <c:v>3.2966792412407689E-8</c:v>
                </c:pt>
                <c:pt idx="368">
                  <c:v>3.2929803582985273E-8</c:v>
                </c:pt>
                <c:pt idx="369">
                  <c:v>3.2893028041597673E-8</c:v>
                </c:pt>
                <c:pt idx="370">
                  <c:v>3.2856425140260708E-8</c:v>
                </c:pt>
                <c:pt idx="371">
                  <c:v>3.281997498916809E-8</c:v>
                </c:pt>
                <c:pt idx="372">
                  <c:v>3.2785294585015362E-8</c:v>
                </c:pt>
                <c:pt idx="373">
                  <c:v>3.2749888469434735E-8</c:v>
                </c:pt>
                <c:pt idx="374">
                  <c:v>3.2715823731716207E-8</c:v>
                </c:pt>
                <c:pt idx="375">
                  <c:v>3.2680841182955522E-8</c:v>
                </c:pt>
                <c:pt idx="376">
                  <c:v>3.2646911143107906E-8</c:v>
                </c:pt>
                <c:pt idx="377">
                  <c:v>3.261374282600192E-8</c:v>
                </c:pt>
                <c:pt idx="378">
                  <c:v>3.2580979700309393E-8</c:v>
                </c:pt>
                <c:pt idx="379">
                  <c:v>3.2548270428226276E-8</c:v>
                </c:pt>
                <c:pt idx="380">
                  <c:v>3.2515842448375879E-8</c:v>
                </c:pt>
                <c:pt idx="381">
                  <c:v>3.2485031255809319E-8</c:v>
                </c:pt>
                <c:pt idx="382">
                  <c:v>3.2453393137221312E-8</c:v>
                </c:pt>
                <c:pt idx="383">
                  <c:v>3.2423242306511025E-8</c:v>
                </c:pt>
                <c:pt idx="384">
                  <c:v>3.2393642932494969E-8</c:v>
                </c:pt>
                <c:pt idx="385">
                  <c:v>3.2362727932198364E-8</c:v>
                </c:pt>
                <c:pt idx="386">
                  <c:v>3.2332855402745769E-8</c:v>
                </c:pt>
                <c:pt idx="387">
                  <c:v>3.2303519891141028E-8</c:v>
                </c:pt>
                <c:pt idx="388">
                  <c:v>3.2274483478502484E-8</c:v>
                </c:pt>
                <c:pt idx="389">
                  <c:v>3.2247236940103088E-8</c:v>
                </c:pt>
                <c:pt idx="390">
                  <c:v>3.2219239831297013E-8</c:v>
                </c:pt>
                <c:pt idx="391">
                  <c:v>3.2190942881321312E-8</c:v>
                </c:pt>
                <c:pt idx="392">
                  <c:v>3.2164158223085026E-8</c:v>
                </c:pt>
                <c:pt idx="393">
                  <c:v>3.213790762857243E-8</c:v>
                </c:pt>
                <c:pt idx="394">
                  <c:v>3.2110504724357062E-8</c:v>
                </c:pt>
                <c:pt idx="395">
                  <c:v>3.2084040196232365E-8</c:v>
                </c:pt>
                <c:pt idx="396">
                  <c:v>3.2058247196533327E-8</c:v>
                </c:pt>
                <c:pt idx="397">
                  <c:v>3.2034198211753324E-8</c:v>
                </c:pt>
                <c:pt idx="398">
                  <c:v>3.2009556144279063E-8</c:v>
                </c:pt>
                <c:pt idx="399">
                  <c:v>3.1984463222927666E-8</c:v>
                </c:pt>
                <c:pt idx="400">
                  <c:v>3.1960825119815813E-8</c:v>
                </c:pt>
                <c:pt idx="401">
                  <c:v>3.1936441930610595E-8</c:v>
                </c:pt>
                <c:pt idx="402">
                  <c:v>3.1913179481661312E-8</c:v>
                </c:pt>
                <c:pt idx="403">
                  <c:v>3.1890433235645319E-8</c:v>
                </c:pt>
                <c:pt idx="404">
                  <c:v>3.1867949576490655E-8</c:v>
                </c:pt>
                <c:pt idx="405">
                  <c:v>3.1845596975052894E-8</c:v>
                </c:pt>
                <c:pt idx="406">
                  <c:v>3.1823129099969116E-8</c:v>
                </c:pt>
                <c:pt idx="407">
                  <c:v>3.1802447922111475E-8</c:v>
                </c:pt>
                <c:pt idx="408">
                  <c:v>3.178096368339893E-8</c:v>
                </c:pt>
                <c:pt idx="409">
                  <c:v>3.1760758371248411E-8</c:v>
                </c:pt>
                <c:pt idx="410">
                  <c:v>3.1739315793561327E-8</c:v>
                </c:pt>
                <c:pt idx="411">
                  <c:v>3.1719170433170587E-8</c:v>
                </c:pt>
                <c:pt idx="412">
                  <c:v>3.1699411555751241E-8</c:v>
                </c:pt>
                <c:pt idx="413">
                  <c:v>3.1680036214424301E-8</c:v>
                </c:pt>
                <c:pt idx="414">
                  <c:v>3.1660646170052208E-8</c:v>
                </c:pt>
                <c:pt idx="415">
                  <c:v>3.1642875012438167E-8</c:v>
                </c:pt>
                <c:pt idx="416">
                  <c:v>3.162439548213111E-8</c:v>
                </c:pt>
                <c:pt idx="417">
                  <c:v>3.1607046201800141E-8</c:v>
                </c:pt>
                <c:pt idx="418">
                  <c:v>3.1588566029692813E-8</c:v>
                </c:pt>
                <c:pt idx="419">
                  <c:v>3.1571227389042254E-8</c:v>
                </c:pt>
                <c:pt idx="420">
                  <c:v>3.1554397665408864E-8</c:v>
                </c:pt>
                <c:pt idx="421">
                  <c:v>3.1537787299360001E-8</c:v>
                </c:pt>
                <c:pt idx="422">
                  <c:v>3.1521272901743476E-8</c:v>
                </c:pt>
                <c:pt idx="423">
                  <c:v>3.1504820047172164E-8</c:v>
                </c:pt>
                <c:pt idx="424">
                  <c:v>3.1489803924600743E-8</c:v>
                </c:pt>
                <c:pt idx="425">
                  <c:v>3.1473982651489689E-8</c:v>
                </c:pt>
                <c:pt idx="426">
                  <c:v>3.1459250134406742E-8</c:v>
                </c:pt>
                <c:pt idx="427">
                  <c:v>3.1445183093322467E-8</c:v>
                </c:pt>
                <c:pt idx="428">
                  <c:v>3.143117992522817E-8</c:v>
                </c:pt>
                <c:pt idx="429">
                  <c:v>3.1417412038570931E-8</c:v>
                </c:pt>
                <c:pt idx="430">
                  <c:v>3.1403545100473128E-8</c:v>
                </c:pt>
                <c:pt idx="431">
                  <c:v>3.1389633798127393E-8</c:v>
                </c:pt>
                <c:pt idx="432">
                  <c:v>3.1377535447867081E-8</c:v>
                </c:pt>
                <c:pt idx="433">
                  <c:v>3.1364347441325252E-8</c:v>
                </c:pt>
                <c:pt idx="434">
                  <c:v>3.1352327331748987E-8</c:v>
                </c:pt>
                <c:pt idx="435">
                  <c:v>3.1340798129612562E-8</c:v>
                </c:pt>
                <c:pt idx="436">
                  <c:v>3.1329462604825508E-8</c:v>
                </c:pt>
                <c:pt idx="437">
                  <c:v>3.1318198902551953E-8</c:v>
                </c:pt>
                <c:pt idx="438">
                  <c:v>3.1306957790331768E-8</c:v>
                </c:pt>
                <c:pt idx="439">
                  <c:v>3.1295504110102489E-8</c:v>
                </c:pt>
                <c:pt idx="440">
                  <c:v>3.1285794266164732E-8</c:v>
                </c:pt>
                <c:pt idx="441">
                  <c:v>3.1275159833285882E-8</c:v>
                </c:pt>
                <c:pt idx="442">
                  <c:v>3.1265568356027805E-8</c:v>
                </c:pt>
                <c:pt idx="443">
                  <c:v>3.1256602742644778E-8</c:v>
                </c:pt>
                <c:pt idx="444">
                  <c:v>3.1247661643767523E-8</c:v>
                </c:pt>
                <c:pt idx="445">
                  <c:v>3.1238718036224041E-8</c:v>
                </c:pt>
                <c:pt idx="446">
                  <c:v>3.1229980026103103E-8</c:v>
                </c:pt>
                <c:pt idx="447">
                  <c:v>3.1222721282032883E-8</c:v>
                </c:pt>
                <c:pt idx="448">
                  <c:v>3.121441292326258E-8</c:v>
                </c:pt>
                <c:pt idx="449">
                  <c:v>3.1207300197199341E-8</c:v>
                </c:pt>
                <c:pt idx="450">
                  <c:v>3.1199023249785474E-8</c:v>
                </c:pt>
                <c:pt idx="451">
                  <c:v>3.1191900892439128E-8</c:v>
                </c:pt>
                <c:pt idx="452">
                  <c:v>3.1185222097321467E-8</c:v>
                </c:pt>
                <c:pt idx="453">
                  <c:v>3.1180330330237312E-8</c:v>
                </c:pt>
                <c:pt idx="454">
                  <c:v>3.1174497075450593E-8</c:v>
                </c:pt>
                <c:pt idx="455">
                  <c:v>3.1168059467790919E-8</c:v>
                </c:pt>
                <c:pt idx="456">
                  <c:v>3.1163218252390959E-8</c:v>
                </c:pt>
                <c:pt idx="457">
                  <c:v>3.1158984691245572E-8</c:v>
                </c:pt>
                <c:pt idx="458">
                  <c:v>3.1153121939533064E-8</c:v>
                </c:pt>
                <c:pt idx="459">
                  <c:v>3.1148461382639564E-8</c:v>
                </c:pt>
                <c:pt idx="460">
                  <c:v>3.1144031240169413E-8</c:v>
                </c:pt>
                <c:pt idx="461">
                  <c:v>3.1141285274891396E-8</c:v>
                </c:pt>
                <c:pt idx="462">
                  <c:v>3.1137539480964954E-8</c:v>
                </c:pt>
                <c:pt idx="463">
                  <c:v>3.1135243560320059E-8</c:v>
                </c:pt>
                <c:pt idx="464">
                  <c:v>3.1131634238214847E-8</c:v>
                </c:pt>
                <c:pt idx="465">
                  <c:v>3.1129135106668481E-8</c:v>
                </c:pt>
                <c:pt idx="466">
                  <c:v>3.1127042464298845E-8</c:v>
                </c:pt>
                <c:pt idx="467">
                  <c:v>3.112508594864924E-8</c:v>
                </c:pt>
                <c:pt idx="468">
                  <c:v>3.1123146179550292E-8</c:v>
                </c:pt>
                <c:pt idx="469">
                  <c:v>3.1122602481805793E-8</c:v>
                </c:pt>
                <c:pt idx="470">
                  <c:v>3.1121156918331193E-8</c:v>
                </c:pt>
                <c:pt idx="471">
                  <c:v>3.1120985202336084E-8</c:v>
                </c:pt>
                <c:pt idx="472">
                  <c:v>3.1119414988112474E-8</c:v>
                </c:pt>
                <c:pt idx="473">
                  <c:v>3.1119142112337309E-8</c:v>
                </c:pt>
                <c:pt idx="474">
                  <c:v>3.1119113298378144E-8</c:v>
                </c:pt>
                <c:pt idx="475">
                  <c:v>3.1119154507349335E-8</c:v>
                </c:pt>
                <c:pt idx="476">
                  <c:v>3.1121063977396368E-8</c:v>
                </c:pt>
                <c:pt idx="477">
                  <c:v>3.1121770789350406E-8</c:v>
                </c:pt>
                <c:pt idx="478">
                  <c:v>3.1123643799780152E-8</c:v>
                </c:pt>
                <c:pt idx="479">
                  <c:v>3.1124290469235144E-8</c:v>
                </c:pt>
                <c:pt idx="480">
                  <c:v>3.1126083210703648E-8</c:v>
                </c:pt>
                <c:pt idx="481">
                  <c:v>3.1128280465867806E-8</c:v>
                </c:pt>
                <c:pt idx="482">
                  <c:v>3.113060581655725E-8</c:v>
                </c:pt>
                <c:pt idx="483">
                  <c:v>3.113458114237075E-8</c:v>
                </c:pt>
                <c:pt idx="484">
                  <c:v>3.113750067765743E-8</c:v>
                </c:pt>
                <c:pt idx="485">
                  <c:v>3.1139779158849613E-8</c:v>
                </c:pt>
                <c:pt idx="486">
                  <c:v>3.1143655580718228E-8</c:v>
                </c:pt>
                <c:pt idx="487">
                  <c:v>3.1148097547457865E-8</c:v>
                </c:pt>
                <c:pt idx="488">
                  <c:v>3.1152477477744089E-8</c:v>
                </c:pt>
                <c:pt idx="489">
                  <c:v>3.1156809511222958E-8</c:v>
                </c:pt>
                <c:pt idx="490">
                  <c:v>3.1161315495131311E-8</c:v>
                </c:pt>
                <c:pt idx="491">
                  <c:v>3.1167278437215875E-8</c:v>
                </c:pt>
                <c:pt idx="492">
                  <c:v>3.1172099900637902E-8</c:v>
                </c:pt>
                <c:pt idx="493">
                  <c:v>3.117811385530244E-8</c:v>
                </c:pt>
                <c:pt idx="494">
                  <c:v>3.118476894706285E-8</c:v>
                </c:pt>
                <c:pt idx="495">
                  <c:v>3.1191385545330278E-8</c:v>
                </c:pt>
                <c:pt idx="496">
                  <c:v>3.1197730115723407E-8</c:v>
                </c:pt>
                <c:pt idx="497">
                  <c:v>3.1204167637961039E-8</c:v>
                </c:pt>
                <c:pt idx="498">
                  <c:v>3.121061646192031E-8</c:v>
                </c:pt>
                <c:pt idx="499">
                  <c:v>3.1218683097683272E-8</c:v>
                </c:pt>
                <c:pt idx="500">
                  <c:v>3.1225640166005298E-8</c:v>
                </c:pt>
                <c:pt idx="501">
                  <c:v>3.1233595156476671E-8</c:v>
                </c:pt>
                <c:pt idx="502">
                  <c:v>3.1242101870975808E-8</c:v>
                </c:pt>
                <c:pt idx="503">
                  <c:v>3.1250547830764506E-8</c:v>
                </c:pt>
                <c:pt idx="504">
                  <c:v>3.1258931068097019E-8</c:v>
                </c:pt>
                <c:pt idx="505">
                  <c:v>3.1269159320311684E-8</c:v>
                </c:pt>
                <c:pt idx="506">
                  <c:v>3.1278113100893089E-8</c:v>
                </c:pt>
                <c:pt idx="507">
                  <c:v>3.12882306511863E-8</c:v>
                </c:pt>
                <c:pt idx="508">
                  <c:v>3.129873661854715E-8</c:v>
                </c:pt>
                <c:pt idx="509">
                  <c:v>3.1309339495333775E-8</c:v>
                </c:pt>
                <c:pt idx="510">
                  <c:v>3.1319936595642692E-8</c:v>
                </c:pt>
                <c:pt idx="511">
                  <c:v>3.1330507955935361E-8</c:v>
                </c:pt>
                <c:pt idx="512">
                  <c:v>3.1341032013280682E-8</c:v>
                </c:pt>
                <c:pt idx="513">
                  <c:v>3.1353164226845411E-8</c:v>
                </c:pt>
                <c:pt idx="514">
                  <c:v>3.1365839477443021E-8</c:v>
                </c:pt>
                <c:pt idx="515">
                  <c:v>3.1376762901271551E-8</c:v>
                </c:pt>
                <c:pt idx="516">
                  <c:v>3.1388935369736102E-8</c:v>
                </c:pt>
                <c:pt idx="517">
                  <c:v>3.1401269971748637E-8</c:v>
                </c:pt>
                <c:pt idx="518">
                  <c:v>3.1415543552407854E-8</c:v>
                </c:pt>
                <c:pt idx="519">
                  <c:v>3.142854974350123E-8</c:v>
                </c:pt>
                <c:pt idx="520">
                  <c:v>3.1442740567455862E-8</c:v>
                </c:pt>
                <c:pt idx="521">
                  <c:v>3.1455636248158906E-8</c:v>
                </c:pt>
                <c:pt idx="522">
                  <c:v>3.146995398554964E-8</c:v>
                </c:pt>
                <c:pt idx="523">
                  <c:v>3.1484505860161738E-8</c:v>
                </c:pt>
                <c:pt idx="524">
                  <c:v>3.149910072360442E-8</c:v>
                </c:pt>
                <c:pt idx="525">
                  <c:v>3.1513430094998435E-8</c:v>
                </c:pt>
                <c:pt idx="526">
                  <c:v>3.1529543874447038E-8</c:v>
                </c:pt>
                <c:pt idx="527">
                  <c:v>3.1544565020740733E-8</c:v>
                </c:pt>
                <c:pt idx="528">
                  <c:v>3.1560846769395738E-8</c:v>
                </c:pt>
                <c:pt idx="529">
                  <c:v>3.1577284931282791E-8</c:v>
                </c:pt>
                <c:pt idx="530">
                  <c:v>3.1593996974770449E-8</c:v>
                </c:pt>
                <c:pt idx="531">
                  <c:v>3.1610768129688827E-8</c:v>
                </c:pt>
                <c:pt idx="532">
                  <c:v>3.1627279797239846E-8</c:v>
                </c:pt>
                <c:pt idx="533">
                  <c:v>3.1643664789838848E-8</c:v>
                </c:pt>
                <c:pt idx="534">
                  <c:v>3.1661897267639356E-8</c:v>
                </c:pt>
                <c:pt idx="535">
                  <c:v>3.1680486557429636E-8</c:v>
                </c:pt>
                <c:pt idx="536">
                  <c:v>3.1697478003968339E-8</c:v>
                </c:pt>
                <c:pt idx="537">
                  <c:v>3.1715569560323666E-8</c:v>
                </c:pt>
                <c:pt idx="538">
                  <c:v>3.173569002505014E-8</c:v>
                </c:pt>
                <c:pt idx="539">
                  <c:v>3.1754784786810856E-8</c:v>
                </c:pt>
                <c:pt idx="540">
                  <c:v>3.1773492722795568E-8</c:v>
                </c:pt>
                <c:pt idx="541">
                  <c:v>3.179372341730229E-8</c:v>
                </c:pt>
                <c:pt idx="542">
                  <c:v>3.181419376852478E-8</c:v>
                </c:pt>
                <c:pt idx="543">
                  <c:v>3.1833267427470212E-8</c:v>
                </c:pt>
                <c:pt idx="544">
                  <c:v>3.1853523807442639E-8</c:v>
                </c:pt>
                <c:pt idx="545">
                  <c:v>3.1875596806278173E-8</c:v>
                </c:pt>
                <c:pt idx="546">
                  <c:v>3.1896796386577849E-8</c:v>
                </c:pt>
                <c:pt idx="547">
                  <c:v>3.1917416727396168E-8</c:v>
                </c:pt>
                <c:pt idx="548">
                  <c:v>3.1939502638222948E-8</c:v>
                </c:pt>
                <c:pt idx="549">
                  <c:v>3.1962055697743747E-8</c:v>
                </c:pt>
                <c:pt idx="550">
                  <c:v>3.1983288515701599E-8</c:v>
                </c:pt>
                <c:pt idx="551">
                  <c:v>3.2005492035676312E-8</c:v>
                </c:pt>
                <c:pt idx="552">
                  <c:v>3.2029696074233986E-8</c:v>
                </c:pt>
                <c:pt idx="553">
                  <c:v>3.2052833899178167E-8</c:v>
                </c:pt>
                <c:pt idx="554">
                  <c:v>3.2075326090134105E-8</c:v>
                </c:pt>
                <c:pt idx="555">
                  <c:v>3.2099523452887268E-8</c:v>
                </c:pt>
                <c:pt idx="556">
                  <c:v>3.2124272245989642E-8</c:v>
                </c:pt>
                <c:pt idx="557">
                  <c:v>3.2149179901523251E-8</c:v>
                </c:pt>
                <c:pt idx="558">
                  <c:v>3.2173845199530483E-8</c:v>
                </c:pt>
                <c:pt idx="559">
                  <c:v>3.2198652290262889E-8</c:v>
                </c:pt>
                <c:pt idx="560">
                  <c:v>3.2223227287639882E-8</c:v>
                </c:pt>
                <c:pt idx="561">
                  <c:v>3.2249405814718878E-8</c:v>
                </c:pt>
                <c:pt idx="562">
                  <c:v>3.2274629512460618E-8</c:v>
                </c:pt>
                <c:pt idx="563">
                  <c:v>3.2300963231340332E-8</c:v>
                </c:pt>
                <c:pt idx="564">
                  <c:v>3.2327646780454678E-8</c:v>
                </c:pt>
                <c:pt idx="565">
                  <c:v>3.2354408413191027E-8</c:v>
                </c:pt>
                <c:pt idx="566">
                  <c:v>3.2381171252729553E-8</c:v>
                </c:pt>
                <c:pt idx="567">
                  <c:v>3.2409627978977943E-8</c:v>
                </c:pt>
                <c:pt idx="568">
                  <c:v>3.2436901121283881E-8</c:v>
                </c:pt>
                <c:pt idx="569">
                  <c:v>3.2465470329842859E-8</c:v>
                </c:pt>
                <c:pt idx="570">
                  <c:v>3.2494183742013979E-8</c:v>
                </c:pt>
                <c:pt idx="571">
                  <c:v>3.252317890360822E-8</c:v>
                </c:pt>
                <c:pt idx="572">
                  <c:v>3.2552248460175833E-8</c:v>
                </c:pt>
                <c:pt idx="573">
                  <c:v>3.2581049474079706E-8</c:v>
                </c:pt>
                <c:pt idx="574">
                  <c:v>3.2609736619277118E-8</c:v>
                </c:pt>
                <c:pt idx="575">
                  <c:v>3.2640337653752024E-8</c:v>
                </c:pt>
                <c:pt idx="576">
                  <c:v>3.2669579869889061E-8</c:v>
                </c:pt>
                <c:pt idx="577">
                  <c:v>3.2700057677228031E-8</c:v>
                </c:pt>
                <c:pt idx="578">
                  <c:v>3.2730934703727813E-8</c:v>
                </c:pt>
                <c:pt idx="579">
                  <c:v>3.2761913939912176E-8</c:v>
                </c:pt>
                <c:pt idx="580">
                  <c:v>3.2794644123325935E-8</c:v>
                </c:pt>
                <c:pt idx="581">
                  <c:v>3.282620023181917E-8</c:v>
                </c:pt>
                <c:pt idx="582">
                  <c:v>3.2859078493725269E-8</c:v>
                </c:pt>
                <c:pt idx="583">
                  <c:v>3.2890636782913344E-8</c:v>
                </c:pt>
                <c:pt idx="584">
                  <c:v>3.2923472465711276E-8</c:v>
                </c:pt>
                <c:pt idx="585">
                  <c:v>3.2956450048105137E-8</c:v>
                </c:pt>
                <c:pt idx="586">
                  <c:v>3.2989709066887058E-8</c:v>
                </c:pt>
                <c:pt idx="587">
                  <c:v>3.3022786960932695E-8</c:v>
                </c:pt>
                <c:pt idx="588">
                  <c:v>3.3057784745891583E-8</c:v>
                </c:pt>
                <c:pt idx="589">
                  <c:v>3.3091412085670356E-8</c:v>
                </c:pt>
                <c:pt idx="590">
                  <c:v>3.3126294292523896E-8</c:v>
                </c:pt>
                <c:pt idx="591">
                  <c:v>3.3161576851768397E-8</c:v>
                </c:pt>
                <c:pt idx="592">
                  <c:v>3.3196983681922715E-8</c:v>
                </c:pt>
                <c:pt idx="593">
                  <c:v>3.323267498649039E-8</c:v>
                </c:pt>
                <c:pt idx="594">
                  <c:v>3.3267909159157906E-8</c:v>
                </c:pt>
                <c:pt idx="595">
                  <c:v>3.3304997659652082E-8</c:v>
                </c:pt>
                <c:pt idx="596">
                  <c:v>3.334093954898095E-8</c:v>
                </c:pt>
                <c:pt idx="597">
                  <c:v>3.337822803934872E-8</c:v>
                </c:pt>
                <c:pt idx="598">
                  <c:v>3.3415956349184362E-8</c:v>
                </c:pt>
                <c:pt idx="599">
                  <c:v>3.3453560342509619E-8</c:v>
                </c:pt>
                <c:pt idx="600">
                  <c:v>3.3491369376864116E-8</c:v>
                </c:pt>
                <c:pt idx="601">
                  <c:v>3.3528961904558342E-8</c:v>
                </c:pt>
                <c:pt idx="602">
                  <c:v>3.3568226364145214E-8</c:v>
                </c:pt>
                <c:pt idx="603">
                  <c:v>3.3608328299032962E-8</c:v>
                </c:pt>
                <c:pt idx="604">
                  <c:v>3.3646663275161709E-8</c:v>
                </c:pt>
                <c:pt idx="605">
                  <c:v>3.3686146141072161E-8</c:v>
                </c:pt>
                <c:pt idx="606">
                  <c:v>3.3726007054072829E-8</c:v>
                </c:pt>
                <c:pt idx="607">
                  <c:v>3.3765983118445888E-8</c:v>
                </c:pt>
                <c:pt idx="608">
                  <c:v>3.3807759982110621E-8</c:v>
                </c:pt>
                <c:pt idx="609">
                  <c:v>3.3848366947563798E-8</c:v>
                </c:pt>
                <c:pt idx="610">
                  <c:v>3.3890351285278536E-8</c:v>
                </c:pt>
                <c:pt idx="611">
                  <c:v>3.3930745964871366E-8</c:v>
                </c:pt>
                <c:pt idx="612">
                  <c:v>3.3972634749578741E-8</c:v>
                </c:pt>
                <c:pt idx="613">
                  <c:v>3.4015030578042005E-8</c:v>
                </c:pt>
                <c:pt idx="614">
                  <c:v>3.4057319235674091E-8</c:v>
                </c:pt>
                <c:pt idx="615">
                  <c:v>3.4101346307859524E-8</c:v>
                </c:pt>
                <c:pt idx="616">
                  <c:v>3.4144453723908893E-8</c:v>
                </c:pt>
                <c:pt idx="617">
                  <c:v>3.4188751934032779E-8</c:v>
                </c:pt>
                <c:pt idx="618">
                  <c:v>3.4233455730281548E-8</c:v>
                </c:pt>
                <c:pt idx="619">
                  <c:v>3.4276502238159655E-8</c:v>
                </c:pt>
                <c:pt idx="620">
                  <c:v>3.4320763032588343E-8</c:v>
                </c:pt>
                <c:pt idx="621">
                  <c:v>3.4367237698517438E-8</c:v>
                </c:pt>
                <c:pt idx="622">
                  <c:v>3.4412682935149186E-8</c:v>
                </c:pt>
                <c:pt idx="623">
                  <c:v>3.4457768775643788E-8</c:v>
                </c:pt>
                <c:pt idx="624">
                  <c:v>3.4504529935044808E-8</c:v>
                </c:pt>
                <c:pt idx="625">
                  <c:v>3.4551597324221221E-8</c:v>
                </c:pt>
                <c:pt idx="626">
                  <c:v>3.4599049639885743E-8</c:v>
                </c:pt>
                <c:pt idx="627">
                  <c:v>3.4646347053598312E-8</c:v>
                </c:pt>
                <c:pt idx="628">
                  <c:v>3.4693871742110534E-8</c:v>
                </c:pt>
                <c:pt idx="629">
                  <c:v>3.4741201356635772E-8</c:v>
                </c:pt>
                <c:pt idx="630">
                  <c:v>3.478846560207172E-8</c:v>
                </c:pt>
                <c:pt idx="631">
                  <c:v>3.4837805303553399E-8</c:v>
                </c:pt>
                <c:pt idx="632">
                  <c:v>3.4887602412078352E-8</c:v>
                </c:pt>
                <c:pt idx="633">
                  <c:v>3.4937567367843707E-8</c:v>
                </c:pt>
                <c:pt idx="634">
                  <c:v>3.4987586688914047E-8</c:v>
                </c:pt>
                <c:pt idx="635">
                  <c:v>3.5037634690074495E-8</c:v>
                </c:pt>
                <c:pt idx="636">
                  <c:v>3.508770344547535E-8</c:v>
                </c:pt>
                <c:pt idx="637">
                  <c:v>3.5137506837834012E-8</c:v>
                </c:pt>
                <c:pt idx="638">
                  <c:v>3.5189321177342843E-8</c:v>
                </c:pt>
                <c:pt idx="639">
                  <c:v>3.5241863529791115E-8</c:v>
                </c:pt>
                <c:pt idx="640">
                  <c:v>3.5294394903233052E-8</c:v>
                </c:pt>
                <c:pt idx="641">
                  <c:v>3.5347221205386994E-8</c:v>
                </c:pt>
                <c:pt idx="642">
                  <c:v>3.5399871821017999E-8</c:v>
                </c:pt>
                <c:pt idx="643">
                  <c:v>3.545247505752942E-8</c:v>
                </c:pt>
                <c:pt idx="644">
                  <c:v>3.5505365122759373E-8</c:v>
                </c:pt>
                <c:pt idx="645">
                  <c:v>3.5559916670627492E-8</c:v>
                </c:pt>
                <c:pt idx="646">
                  <c:v>3.5613243705767668E-8</c:v>
                </c:pt>
                <c:pt idx="647">
                  <c:v>3.566799265399297E-8</c:v>
                </c:pt>
                <c:pt idx="648">
                  <c:v>3.5723261525320803E-8</c:v>
                </c:pt>
                <c:pt idx="649">
                  <c:v>3.5778740851257447E-8</c:v>
                </c:pt>
                <c:pt idx="650">
                  <c:v>3.5835864649389258E-8</c:v>
                </c:pt>
                <c:pt idx="651">
                  <c:v>3.5892046024405398E-8</c:v>
                </c:pt>
                <c:pt idx="652">
                  <c:v>3.5947914328559419E-8</c:v>
                </c:pt>
                <c:pt idx="653">
                  <c:v>3.6005246185939147E-8</c:v>
                </c:pt>
                <c:pt idx="654">
                  <c:v>3.606342607592454E-8</c:v>
                </c:pt>
                <c:pt idx="655">
                  <c:v>3.6121641348872336E-8</c:v>
                </c:pt>
                <c:pt idx="656">
                  <c:v>3.6179898334410855E-8</c:v>
                </c:pt>
                <c:pt idx="657">
                  <c:v>3.6238481037534797E-8</c:v>
                </c:pt>
                <c:pt idx="658">
                  <c:v>3.6296925211242675E-8</c:v>
                </c:pt>
                <c:pt idx="659">
                  <c:v>3.6357202591793363E-8</c:v>
                </c:pt>
                <c:pt idx="660">
                  <c:v>3.6416319973895248E-8</c:v>
                </c:pt>
                <c:pt idx="661">
                  <c:v>3.6476902721776658E-8</c:v>
                </c:pt>
                <c:pt idx="662">
                  <c:v>3.6538061010283168E-8</c:v>
                </c:pt>
                <c:pt idx="663">
                  <c:v>3.6599457612064571E-8</c:v>
                </c:pt>
                <c:pt idx="664">
                  <c:v>3.6660674020688755E-8</c:v>
                </c:pt>
                <c:pt idx="665">
                  <c:v>3.6722157384935602E-8</c:v>
                </c:pt>
                <c:pt idx="666">
                  <c:v>3.6785647745548513E-8</c:v>
                </c:pt>
                <c:pt idx="667">
                  <c:v>3.6847749835764613E-8</c:v>
                </c:pt>
                <c:pt idx="668">
                  <c:v>3.6911247306595826E-8</c:v>
                </c:pt>
                <c:pt idx="669">
                  <c:v>3.6975592810475351E-8</c:v>
                </c:pt>
                <c:pt idx="670">
                  <c:v>3.7040005315245623E-8</c:v>
                </c:pt>
                <c:pt idx="671">
                  <c:v>3.7104476973014691E-8</c:v>
                </c:pt>
                <c:pt idx="672">
                  <c:v>3.7169006242176105E-8</c:v>
                </c:pt>
                <c:pt idx="673">
                  <c:v>3.7233606059703575E-8</c:v>
                </c:pt>
                <c:pt idx="674">
                  <c:v>3.7300164406919865E-8</c:v>
                </c:pt>
                <c:pt idx="675">
                  <c:v>3.7365603234164099E-8</c:v>
                </c:pt>
                <c:pt idx="676">
                  <c:v>3.7432560210309182E-8</c:v>
                </c:pt>
                <c:pt idx="677">
                  <c:v>3.7500145613600436E-8</c:v>
                </c:pt>
                <c:pt idx="678">
                  <c:v>3.756771137248301E-8</c:v>
                </c:pt>
                <c:pt idx="679">
                  <c:v>3.7635614500740272E-8</c:v>
                </c:pt>
                <c:pt idx="680">
                  <c:v>3.7703390385043061E-8</c:v>
                </c:pt>
                <c:pt idx="681">
                  <c:v>3.7773375372465309E-8</c:v>
                </c:pt>
                <c:pt idx="682">
                  <c:v>3.7842050767353688E-8</c:v>
                </c:pt>
                <c:pt idx="683">
                  <c:v>3.79121875593291E-8</c:v>
                </c:pt>
                <c:pt idx="684">
                  <c:v>3.7983238617117586E-8</c:v>
                </c:pt>
                <c:pt idx="685">
                  <c:v>3.805247374067025E-8</c:v>
                </c:pt>
                <c:pt idx="686">
                  <c:v>3.812490370392788E-8</c:v>
                </c:pt>
                <c:pt idx="687">
                  <c:v>3.8196696456855628E-8</c:v>
                </c:pt>
                <c:pt idx="688">
                  <c:v>3.8268300762159808E-8</c:v>
                </c:pt>
                <c:pt idx="689">
                  <c:v>3.8339890293499744E-8</c:v>
                </c:pt>
                <c:pt idx="690">
                  <c:v>3.8413165736481983E-8</c:v>
                </c:pt>
                <c:pt idx="691">
                  <c:v>3.8487460321866439E-8</c:v>
                </c:pt>
                <c:pt idx="692">
                  <c:v>3.8562215242593674E-8</c:v>
                </c:pt>
                <c:pt idx="693">
                  <c:v>3.863497031967292E-8</c:v>
                </c:pt>
                <c:pt idx="694">
                  <c:v>3.87108811349954E-8</c:v>
                </c:pt>
                <c:pt idx="695">
                  <c:v>3.8786460668379195E-8</c:v>
                </c:pt>
                <c:pt idx="696">
                  <c:v>3.8861670167946498E-8</c:v>
                </c:pt>
                <c:pt idx="697">
                  <c:v>3.8936800855677106E-8</c:v>
                </c:pt>
                <c:pt idx="698">
                  <c:v>3.9013914963019981E-8</c:v>
                </c:pt>
                <c:pt idx="699">
                  <c:v>3.909188175600529E-8</c:v>
                </c:pt>
                <c:pt idx="700">
                  <c:v>3.9170258760434796E-8</c:v>
                </c:pt>
                <c:pt idx="701">
                  <c:v>3.9248861580384165E-8</c:v>
                </c:pt>
                <c:pt idx="702">
                  <c:v>3.9327630843697187E-8</c:v>
                </c:pt>
                <c:pt idx="703">
                  <c:v>3.9406544438149858E-8</c:v>
                </c:pt>
                <c:pt idx="704">
                  <c:v>3.9485594934731506E-8</c:v>
                </c:pt>
                <c:pt idx="705">
                  <c:v>3.9566428616084864E-8</c:v>
                </c:pt>
                <c:pt idx="706">
                  <c:v>3.9646405011690031E-8</c:v>
                </c:pt>
                <c:pt idx="707">
                  <c:v>3.9727773544219298E-8</c:v>
                </c:pt>
                <c:pt idx="708">
                  <c:v>3.9809783460156668E-8</c:v>
                </c:pt>
                <c:pt idx="709">
                  <c:v>3.989244172488121E-8</c:v>
                </c:pt>
                <c:pt idx="710">
                  <c:v>3.9975135156014428E-8</c:v>
                </c:pt>
                <c:pt idx="711">
                  <c:v>4.005793033608898E-8</c:v>
                </c:pt>
                <c:pt idx="712">
                  <c:v>4.014085544057424E-8</c:v>
                </c:pt>
                <c:pt idx="713">
                  <c:v>4.0225905934751843E-8</c:v>
                </c:pt>
                <c:pt idx="714">
                  <c:v>4.0309919139164991E-8</c:v>
                </c:pt>
                <c:pt idx="715">
                  <c:v>4.0395590673305009E-8</c:v>
                </c:pt>
                <c:pt idx="716">
                  <c:v>4.0482037755694155E-8</c:v>
                </c:pt>
                <c:pt idx="717">
                  <c:v>4.0568580813369769E-8</c:v>
                </c:pt>
                <c:pt idx="718">
                  <c:v>4.065556968617007E-8</c:v>
                </c:pt>
                <c:pt idx="719">
                  <c:v>4.0742522330257064E-8</c:v>
                </c:pt>
                <c:pt idx="720">
                  <c:v>4.0829881767040817E-8</c:v>
                </c:pt>
                <c:pt idx="721">
                  <c:v>4.0919182384251542E-8</c:v>
                </c:pt>
                <c:pt idx="722">
                  <c:v>4.1007387024125873E-8</c:v>
                </c:pt>
                <c:pt idx="723">
                  <c:v>4.109757264439538E-8</c:v>
                </c:pt>
                <c:pt idx="724">
                  <c:v>4.1188359743255797E-8</c:v>
                </c:pt>
                <c:pt idx="725">
                  <c:v>4.1279508186072583E-8</c:v>
                </c:pt>
                <c:pt idx="726">
                  <c:v>4.13709083159146E-8</c:v>
                </c:pt>
                <c:pt idx="727">
                  <c:v>4.1462527462550124E-8</c:v>
                </c:pt>
                <c:pt idx="728">
                  <c:v>4.1554014693561086E-8</c:v>
                </c:pt>
                <c:pt idx="729">
                  <c:v>4.1645884665516265E-8</c:v>
                </c:pt>
                <c:pt idx="730">
                  <c:v>4.1740059345244095E-8</c:v>
                </c:pt>
                <c:pt idx="731">
                  <c:v>4.1834991273618367E-8</c:v>
                </c:pt>
                <c:pt idx="732">
                  <c:v>4.1928662240065412E-8</c:v>
                </c:pt>
                <c:pt idx="733">
                  <c:v>4.2023613005886011E-8</c:v>
                </c:pt>
                <c:pt idx="734">
                  <c:v>4.2119561172803554E-8</c:v>
                </c:pt>
                <c:pt idx="735">
                  <c:v>4.2215722482598361E-8</c:v>
                </c:pt>
                <c:pt idx="736">
                  <c:v>4.2312100656831772E-8</c:v>
                </c:pt>
                <c:pt idx="737">
                  <c:v>4.2410732093617194E-8</c:v>
                </c:pt>
                <c:pt idx="738">
                  <c:v>4.2508406654304705E-8</c:v>
                </c:pt>
                <c:pt idx="739">
                  <c:v>4.2607850111876024E-8</c:v>
                </c:pt>
                <c:pt idx="740">
                  <c:v>4.2706129936560899E-8</c:v>
                </c:pt>
                <c:pt idx="741">
                  <c:v>4.2806095567820355E-8</c:v>
                </c:pt>
                <c:pt idx="742">
                  <c:v>4.2906920617097459E-8</c:v>
                </c:pt>
                <c:pt idx="743">
                  <c:v>4.3008249878621314E-8</c:v>
                </c:pt>
                <c:pt idx="744">
                  <c:v>4.3109606271207066E-8</c:v>
                </c:pt>
                <c:pt idx="745">
                  <c:v>4.3211438665238047E-8</c:v>
                </c:pt>
                <c:pt idx="746">
                  <c:v>4.3315346707693598E-8</c:v>
                </c:pt>
                <c:pt idx="747">
                  <c:v>4.3418240567754368E-8</c:v>
                </c:pt>
                <c:pt idx="748">
                  <c:v>4.3523234247205593E-8</c:v>
                </c:pt>
                <c:pt idx="749">
                  <c:v>4.3626882595679354E-8</c:v>
                </c:pt>
                <c:pt idx="750">
                  <c:v>4.373216380388272E-8</c:v>
                </c:pt>
                <c:pt idx="751">
                  <c:v>4.3838310296988133E-8</c:v>
                </c:pt>
                <c:pt idx="752">
                  <c:v>4.3944985225939619E-8</c:v>
                </c:pt>
                <c:pt idx="753">
                  <c:v>4.405204138104096E-8</c:v>
                </c:pt>
                <c:pt idx="754">
                  <c:v>4.4159426194027523E-8</c:v>
                </c:pt>
                <c:pt idx="755">
                  <c:v>4.4268859478937153E-8</c:v>
                </c:pt>
                <c:pt idx="756">
                  <c:v>4.4377606227147875E-8</c:v>
                </c:pt>
                <c:pt idx="757">
                  <c:v>4.448829805413871E-8</c:v>
                </c:pt>
                <c:pt idx="758">
                  <c:v>4.4597578383804827E-8</c:v>
                </c:pt>
                <c:pt idx="759">
                  <c:v>4.4708833025459114E-8</c:v>
                </c:pt>
                <c:pt idx="760">
                  <c:v>4.4820798804726401E-8</c:v>
                </c:pt>
                <c:pt idx="761">
                  <c:v>4.4933245797157422E-8</c:v>
                </c:pt>
                <c:pt idx="762">
                  <c:v>4.5046071942195337E-8</c:v>
                </c:pt>
                <c:pt idx="763">
                  <c:v>4.5159579781018081E-8</c:v>
                </c:pt>
                <c:pt idx="764">
                  <c:v>4.5273221611837175E-8</c:v>
                </c:pt>
                <c:pt idx="765">
                  <c:v>4.5389214202776623E-8</c:v>
                </c:pt>
                <c:pt idx="766">
                  <c:v>4.5503983154382713E-8</c:v>
                </c:pt>
                <c:pt idx="767">
                  <c:v>4.5620830874054828E-8</c:v>
                </c:pt>
                <c:pt idx="768">
                  <c:v>4.5738814178677812E-8</c:v>
                </c:pt>
                <c:pt idx="769">
                  <c:v>4.5857501689269788E-8</c:v>
                </c:pt>
                <c:pt idx="770">
                  <c:v>4.5976345504971458E-8</c:v>
                </c:pt>
                <c:pt idx="771">
                  <c:v>4.6095789487402048E-8</c:v>
                </c:pt>
                <c:pt idx="772">
                  <c:v>4.6215344778077746E-8</c:v>
                </c:pt>
                <c:pt idx="773">
                  <c:v>4.6335483752276757E-8</c:v>
                </c:pt>
                <c:pt idx="774">
                  <c:v>4.6455729383983486E-8</c:v>
                </c:pt>
                <c:pt idx="775">
                  <c:v>4.6578361808637825E-8</c:v>
                </c:pt>
                <c:pt idx="776">
                  <c:v>4.6700149102913192E-8</c:v>
                </c:pt>
                <c:pt idx="777">
                  <c:v>4.6823884831522496E-8</c:v>
                </c:pt>
                <c:pt idx="778">
                  <c:v>4.6948735393684493E-8</c:v>
                </c:pt>
                <c:pt idx="779">
                  <c:v>4.707431050745253E-8</c:v>
                </c:pt>
                <c:pt idx="780">
                  <c:v>4.7198257084650437E-8</c:v>
                </c:pt>
                <c:pt idx="781">
                  <c:v>4.7325968606710913E-8</c:v>
                </c:pt>
                <c:pt idx="782">
                  <c:v>4.745313876579886E-8</c:v>
                </c:pt>
                <c:pt idx="783">
                  <c:v>4.7580605815986613E-8</c:v>
                </c:pt>
                <c:pt idx="784">
                  <c:v>4.7708060409446124E-8</c:v>
                </c:pt>
                <c:pt idx="785">
                  <c:v>4.7838255456148808E-8</c:v>
                </c:pt>
                <c:pt idx="786">
                  <c:v>4.7967435575609675E-8</c:v>
                </c:pt>
                <c:pt idx="787">
                  <c:v>4.809852204542631E-8</c:v>
                </c:pt>
                <c:pt idx="788">
                  <c:v>4.8231095337408458E-8</c:v>
                </c:pt>
                <c:pt idx="789">
                  <c:v>4.8364249377956668E-8</c:v>
                </c:pt>
                <c:pt idx="790">
                  <c:v>4.8497902782642201E-8</c:v>
                </c:pt>
                <c:pt idx="791">
                  <c:v>4.8632018156890421E-8</c:v>
                </c:pt>
                <c:pt idx="792">
                  <c:v>4.8766568886049075E-8</c:v>
                </c:pt>
                <c:pt idx="793">
                  <c:v>4.8901189254831821E-8</c:v>
                </c:pt>
                <c:pt idx="794">
                  <c:v>4.9036425772400487E-8</c:v>
                </c:pt>
                <c:pt idx="795">
                  <c:v>4.9174399790935761E-8</c:v>
                </c:pt>
                <c:pt idx="796">
                  <c:v>4.9311369512421302E-8</c:v>
                </c:pt>
                <c:pt idx="797">
                  <c:v>4.9450658737539262E-8</c:v>
                </c:pt>
                <c:pt idx="798">
                  <c:v>4.9590958131575508E-8</c:v>
                </c:pt>
                <c:pt idx="799">
                  <c:v>4.9730129627492821E-8</c:v>
                </c:pt>
                <c:pt idx="800">
                  <c:v>4.987082999038592E-8</c:v>
                </c:pt>
                <c:pt idx="801">
                  <c:v>5.001253088062529E-8</c:v>
                </c:pt>
                <c:pt idx="802">
                  <c:v>5.0154971697395553E-8</c:v>
                </c:pt>
                <c:pt idx="803">
                  <c:v>5.029801431374591E-8</c:v>
                </c:pt>
                <c:pt idx="804">
                  <c:v>5.0443853117557606E-8</c:v>
                </c:pt>
                <c:pt idx="805">
                  <c:v>5.0589091410339814E-8</c:v>
                </c:pt>
                <c:pt idx="806">
                  <c:v>5.0736531112159106E-8</c:v>
                </c:pt>
                <c:pt idx="807">
                  <c:v>5.0883072715539E-8</c:v>
                </c:pt>
                <c:pt idx="808">
                  <c:v>5.1031298470419948E-8</c:v>
                </c:pt>
                <c:pt idx="809">
                  <c:v>5.1178732737180588E-8</c:v>
                </c:pt>
                <c:pt idx="810">
                  <c:v>5.1327912302413837E-8</c:v>
                </c:pt>
                <c:pt idx="811">
                  <c:v>5.1478608741672856E-8</c:v>
                </c:pt>
                <c:pt idx="812">
                  <c:v>5.1629972267382286E-8</c:v>
                </c:pt>
                <c:pt idx="813">
                  <c:v>5.1781929942834161E-8</c:v>
                </c:pt>
                <c:pt idx="814">
                  <c:v>5.1934457087108343E-8</c:v>
                </c:pt>
                <c:pt idx="815">
                  <c:v>5.2090202941728184E-8</c:v>
                </c:pt>
                <c:pt idx="816">
                  <c:v>5.2245215812761374E-8</c:v>
                </c:pt>
                <c:pt idx="817">
                  <c:v>5.2400118123473545E-8</c:v>
                </c:pt>
                <c:pt idx="818">
                  <c:v>5.2557142227100608E-8</c:v>
                </c:pt>
                <c:pt idx="819">
                  <c:v>5.2713625679101182E-8</c:v>
                </c:pt>
                <c:pt idx="820">
                  <c:v>5.2872399176739668E-8</c:v>
                </c:pt>
                <c:pt idx="821">
                  <c:v>5.3032648613801839E-8</c:v>
                </c:pt>
                <c:pt idx="822">
                  <c:v>5.3193577394434326E-8</c:v>
                </c:pt>
                <c:pt idx="823">
                  <c:v>5.3355522456892389E-8</c:v>
                </c:pt>
                <c:pt idx="824">
                  <c:v>5.3517900521522405E-8</c:v>
                </c:pt>
                <c:pt idx="825">
                  <c:v>5.3680784621534102E-8</c:v>
                </c:pt>
                <c:pt idx="826">
                  <c:v>5.3844613527160705E-8</c:v>
                </c:pt>
                <c:pt idx="827">
                  <c:v>5.4008844462365051E-8</c:v>
                </c:pt>
                <c:pt idx="828">
                  <c:v>5.4175909940070129E-8</c:v>
                </c:pt>
                <c:pt idx="829">
                  <c:v>5.4342441834135246E-8</c:v>
                </c:pt>
                <c:pt idx="830">
                  <c:v>5.4508985220377539E-8</c:v>
                </c:pt>
                <c:pt idx="831">
                  <c:v>5.4678172362642906E-8</c:v>
                </c:pt>
                <c:pt idx="832">
                  <c:v>5.4849081503828974E-8</c:v>
                </c:pt>
                <c:pt idx="833">
                  <c:v>5.5020829676602085E-8</c:v>
                </c:pt>
                <c:pt idx="834">
                  <c:v>5.5191361232921455E-8</c:v>
                </c:pt>
                <c:pt idx="835">
                  <c:v>5.536389601553858E-8</c:v>
                </c:pt>
                <c:pt idx="836">
                  <c:v>5.5537441861708165E-8</c:v>
                </c:pt>
                <c:pt idx="837">
                  <c:v>5.5712236313590105E-8</c:v>
                </c:pt>
                <c:pt idx="838">
                  <c:v>5.5887628579274309E-8</c:v>
                </c:pt>
                <c:pt idx="839">
                  <c:v>5.6066035582185837E-8</c:v>
                </c:pt>
                <c:pt idx="840">
                  <c:v>5.6244029997516579E-8</c:v>
                </c:pt>
                <c:pt idx="841">
                  <c:v>5.6422508886710184E-8</c:v>
                </c:pt>
                <c:pt idx="842">
                  <c:v>5.660356980137946E-8</c:v>
                </c:pt>
                <c:pt idx="843">
                  <c:v>5.678398519660747E-8</c:v>
                </c:pt>
                <c:pt idx="844">
                  <c:v>5.6966361996414945E-8</c:v>
                </c:pt>
                <c:pt idx="845">
                  <c:v>5.7150549923167086E-8</c:v>
                </c:pt>
                <c:pt idx="846">
                  <c:v>5.7333668871258118E-8</c:v>
                </c:pt>
                <c:pt idx="847">
                  <c:v>5.7518930281183609E-8</c:v>
                </c:pt>
                <c:pt idx="848">
                  <c:v>5.7705320455316813E-8</c:v>
                </c:pt>
                <c:pt idx="849">
                  <c:v>5.789307795539854E-8</c:v>
                </c:pt>
                <c:pt idx="850">
                  <c:v>5.8081538785035213E-8</c:v>
                </c:pt>
                <c:pt idx="851">
                  <c:v>5.8271136816563759E-8</c:v>
                </c:pt>
                <c:pt idx="852">
                  <c:v>5.8463748205539002E-8</c:v>
                </c:pt>
                <c:pt idx="853">
                  <c:v>5.8655974916031819E-8</c:v>
                </c:pt>
                <c:pt idx="854">
                  <c:v>5.8848327526749044E-8</c:v>
                </c:pt>
                <c:pt idx="855">
                  <c:v>5.9043542122414646E-8</c:v>
                </c:pt>
                <c:pt idx="856">
                  <c:v>5.92382814030192E-8</c:v>
                </c:pt>
                <c:pt idx="857">
                  <c:v>5.9435554074365642E-8</c:v>
                </c:pt>
                <c:pt idx="858">
                  <c:v>5.9632177193772506E-8</c:v>
                </c:pt>
                <c:pt idx="859">
                  <c:v>5.9831245423281134E-8</c:v>
                </c:pt>
                <c:pt idx="860">
                  <c:v>6.0031669586791638E-8</c:v>
                </c:pt>
                <c:pt idx="861">
                  <c:v>6.0233648324081015E-8</c:v>
                </c:pt>
                <c:pt idx="862">
                  <c:v>6.0436470799505171E-8</c:v>
                </c:pt>
                <c:pt idx="863">
                  <c:v>6.0640562380344428E-8</c:v>
                </c:pt>
                <c:pt idx="864">
                  <c:v>6.0845349380966232E-8</c:v>
                </c:pt>
                <c:pt idx="865">
                  <c:v>6.1051327478033318E-8</c:v>
                </c:pt>
                <c:pt idx="866">
                  <c:v>6.125795177071766E-8</c:v>
                </c:pt>
                <c:pt idx="867">
                  <c:v>6.146532741566241E-8</c:v>
                </c:pt>
                <c:pt idx="868">
                  <c:v>6.167351839157175E-8</c:v>
                </c:pt>
                <c:pt idx="869">
                  <c:v>6.1885061482292484E-8</c:v>
                </c:pt>
                <c:pt idx="870">
                  <c:v>6.2096452783648956E-8</c:v>
                </c:pt>
                <c:pt idx="871">
                  <c:v>6.2310654626013924E-8</c:v>
                </c:pt>
                <c:pt idx="872">
                  <c:v>6.2524381138016068E-8</c:v>
                </c:pt>
                <c:pt idx="873">
                  <c:v>6.2740317124144275E-8</c:v>
                </c:pt>
                <c:pt idx="874">
                  <c:v>6.2958378463517123E-8</c:v>
                </c:pt>
                <c:pt idx="875">
                  <c:v>6.317513848420455E-8</c:v>
                </c:pt>
                <c:pt idx="876">
                  <c:v>6.3394476511069992E-8</c:v>
                </c:pt>
                <c:pt idx="877">
                  <c:v>6.3615332211330198E-8</c:v>
                </c:pt>
                <c:pt idx="878">
                  <c:v>6.383791552830083E-8</c:v>
                </c:pt>
                <c:pt idx="879">
                  <c:v>6.4061519305438384E-8</c:v>
                </c:pt>
                <c:pt idx="880">
                  <c:v>6.4286134496679587E-8</c:v>
                </c:pt>
                <c:pt idx="881">
                  <c:v>6.4511768795218375E-8</c:v>
                </c:pt>
                <c:pt idx="882">
                  <c:v>6.4738420678629267E-8</c:v>
                </c:pt>
                <c:pt idx="883">
                  <c:v>6.4968671635846486E-8</c:v>
                </c:pt>
                <c:pt idx="884">
                  <c:v>6.519894567735491E-8</c:v>
                </c:pt>
                <c:pt idx="885">
                  <c:v>6.5429656476922159E-8</c:v>
                </c:pt>
                <c:pt idx="886">
                  <c:v>6.5663195767579261E-8</c:v>
                </c:pt>
                <c:pt idx="887">
                  <c:v>6.5896732240404221E-8</c:v>
                </c:pt>
                <c:pt idx="888">
                  <c:v>6.6133279629943333E-8</c:v>
                </c:pt>
                <c:pt idx="889">
                  <c:v>6.6369075792682348E-8</c:v>
                </c:pt>
                <c:pt idx="890">
                  <c:v>6.6607430068318852E-8</c:v>
                </c:pt>
                <c:pt idx="891">
                  <c:v>6.684822176832855E-8</c:v>
                </c:pt>
                <c:pt idx="892">
                  <c:v>6.7090524562282409E-8</c:v>
                </c:pt>
                <c:pt idx="893">
                  <c:v>6.7331578604138376E-8</c:v>
                </c:pt>
                <c:pt idx="894">
                  <c:v>6.7574918686097443E-8</c:v>
                </c:pt>
                <c:pt idx="895">
                  <c:v>6.7820112146553975E-8</c:v>
                </c:pt>
                <c:pt idx="896">
                  <c:v>6.8066897268871796E-8</c:v>
                </c:pt>
                <c:pt idx="897">
                  <c:v>6.8315126314431819E-8</c:v>
                </c:pt>
                <c:pt idx="898">
                  <c:v>6.85647025894266E-8</c:v>
                </c:pt>
                <c:pt idx="899">
                  <c:v>6.8818215701069623E-8</c:v>
                </c:pt>
                <c:pt idx="900">
                  <c:v>6.9071559874706863E-8</c:v>
                </c:pt>
                <c:pt idx="901">
                  <c:v>6.9325704340251619E-8</c:v>
                </c:pt>
                <c:pt idx="902">
                  <c:v>6.9580362497642638E-8</c:v>
                </c:pt>
                <c:pt idx="903">
                  <c:v>6.9838910138707719E-8</c:v>
                </c:pt>
                <c:pt idx="904">
                  <c:v>7.0097265461846439E-8</c:v>
                </c:pt>
                <c:pt idx="905">
                  <c:v>7.0359093664956063E-8</c:v>
                </c:pt>
                <c:pt idx="906">
                  <c:v>7.0620470113884153E-8</c:v>
                </c:pt>
                <c:pt idx="907">
                  <c:v>7.0884709682974702E-8</c:v>
                </c:pt>
                <c:pt idx="908">
                  <c:v>7.1148556481605134E-8</c:v>
                </c:pt>
                <c:pt idx="909">
                  <c:v>7.1415317625221481E-8</c:v>
                </c:pt>
                <c:pt idx="910">
                  <c:v>7.1684430214047668E-8</c:v>
                </c:pt>
                <c:pt idx="911">
                  <c:v>7.1952827585270746E-8</c:v>
                </c:pt>
                <c:pt idx="912">
                  <c:v>7.2223497410269355E-8</c:v>
                </c:pt>
                <c:pt idx="913">
                  <c:v>7.2496564973977031E-8</c:v>
                </c:pt>
                <c:pt idx="914">
                  <c:v>7.2771668833309821E-8</c:v>
                </c:pt>
                <c:pt idx="915">
                  <c:v>7.3048122788093191E-8</c:v>
                </c:pt>
                <c:pt idx="916">
                  <c:v>7.3326401021780449E-8</c:v>
                </c:pt>
                <c:pt idx="917">
                  <c:v>7.3605901293656002E-8</c:v>
                </c:pt>
                <c:pt idx="918">
                  <c:v>7.3887153587120878E-8</c:v>
                </c:pt>
                <c:pt idx="919">
                  <c:v>7.4169589027898406E-8</c:v>
                </c:pt>
                <c:pt idx="920">
                  <c:v>7.4453305698423326E-8</c:v>
                </c:pt>
                <c:pt idx="921">
                  <c:v>7.4741119196379324E-8</c:v>
                </c:pt>
                <c:pt idx="922">
                  <c:v>7.5029366535920916E-8</c:v>
                </c:pt>
                <c:pt idx="923">
                  <c:v>7.531841020145852E-8</c:v>
                </c:pt>
                <c:pt idx="924">
                  <c:v>7.5611262933180022E-8</c:v>
                </c:pt>
                <c:pt idx="925">
                  <c:v>7.5904359680201624E-8</c:v>
                </c:pt>
                <c:pt idx="926">
                  <c:v>7.6197667543742545E-8</c:v>
                </c:pt>
                <c:pt idx="927">
                  <c:v>7.6494887395286306E-8</c:v>
                </c:pt>
                <c:pt idx="928">
                  <c:v>7.6792434173959328E-8</c:v>
                </c:pt>
                <c:pt idx="929">
                  <c:v>7.7093052609271544E-8</c:v>
                </c:pt>
                <c:pt idx="930">
                  <c:v>7.7396715980314759E-8</c:v>
                </c:pt>
                <c:pt idx="931">
                  <c:v>7.7699664537280211E-8</c:v>
                </c:pt>
                <c:pt idx="932">
                  <c:v>7.8005482033655297E-8</c:v>
                </c:pt>
                <c:pt idx="933">
                  <c:v>7.8314232423681516E-8</c:v>
                </c:pt>
                <c:pt idx="934">
                  <c:v>7.8622193571140856E-8</c:v>
                </c:pt>
                <c:pt idx="935">
                  <c:v>7.8932986794952212E-8</c:v>
                </c:pt>
                <c:pt idx="936">
                  <c:v>7.9246229913804876E-8</c:v>
                </c:pt>
                <c:pt idx="937">
                  <c:v>7.9561673842406268E-8</c:v>
                </c:pt>
                <c:pt idx="938">
                  <c:v>7.9879157632081618E-8</c:v>
                </c:pt>
                <c:pt idx="939">
                  <c:v>8.019809568894853E-8</c:v>
                </c:pt>
                <c:pt idx="940">
                  <c:v>8.0519046017257386E-8</c:v>
                </c:pt>
                <c:pt idx="941">
                  <c:v>8.0841925896411973E-8</c:v>
                </c:pt>
                <c:pt idx="942">
                  <c:v>8.1166198620110058E-8</c:v>
                </c:pt>
                <c:pt idx="943">
                  <c:v>8.1492467837578775E-8</c:v>
                </c:pt>
                <c:pt idx="944">
                  <c:v>8.182017444178128E-8</c:v>
                </c:pt>
                <c:pt idx="945">
                  <c:v>8.2149429615194217E-8</c:v>
                </c:pt>
                <c:pt idx="946">
                  <c:v>8.2483698469181478E-8</c:v>
                </c:pt>
                <c:pt idx="947">
                  <c:v>8.281860446389533E-8</c:v>
                </c:pt>
                <c:pt idx="948">
                  <c:v>8.315451838978617E-8</c:v>
                </c:pt>
                <c:pt idx="949">
                  <c:v>8.3491706012730385E-8</c:v>
                </c:pt>
                <c:pt idx="950">
                  <c:v>8.3833271143679457E-8</c:v>
                </c:pt>
                <c:pt idx="951">
                  <c:v>8.4175520138749534E-8</c:v>
                </c:pt>
                <c:pt idx="952">
                  <c:v>8.4518832700395004E-8</c:v>
                </c:pt>
                <c:pt idx="953">
                  <c:v>8.4866400145245486E-8</c:v>
                </c:pt>
                <c:pt idx="954">
                  <c:v>8.5214084736154903E-8</c:v>
                </c:pt>
                <c:pt idx="955">
                  <c:v>8.5565887226348221E-8</c:v>
                </c:pt>
                <c:pt idx="956">
                  <c:v>8.5917705549461105E-8</c:v>
                </c:pt>
                <c:pt idx="957">
                  <c:v>8.6273591730982982E-8</c:v>
                </c:pt>
                <c:pt idx="958">
                  <c:v>8.6629460960996243E-8</c:v>
                </c:pt>
                <c:pt idx="959">
                  <c:v>8.6989395203924534E-8</c:v>
                </c:pt>
                <c:pt idx="960">
                  <c:v>8.7352289350927831E-8</c:v>
                </c:pt>
                <c:pt idx="961">
                  <c:v>8.7714898816590056E-8</c:v>
                </c:pt>
                <c:pt idx="962">
                  <c:v>8.8080900741038382E-8</c:v>
                </c:pt>
                <c:pt idx="963">
                  <c:v>8.8449916646055548E-8</c:v>
                </c:pt>
                <c:pt idx="964">
                  <c:v>8.8818678348081433E-8</c:v>
                </c:pt>
                <c:pt idx="965">
                  <c:v>8.9190888999362001E-8</c:v>
                </c:pt>
                <c:pt idx="966">
                  <c:v>8.9566165604750911E-8</c:v>
                </c:pt>
                <c:pt idx="967">
                  <c:v>8.9944254692637353E-8</c:v>
                </c:pt>
                <c:pt idx="968">
                  <c:v>9.0324462235996472E-8</c:v>
                </c:pt>
                <c:pt idx="969">
                  <c:v>9.0707318945921498E-8</c:v>
                </c:pt>
                <c:pt idx="970">
                  <c:v>9.10896753963095E-8</c:v>
                </c:pt>
                <c:pt idx="971">
                  <c:v>9.1474834526455299E-8</c:v>
                </c:pt>
                <c:pt idx="972">
                  <c:v>9.1862639487914993E-8</c:v>
                </c:pt>
                <c:pt idx="973">
                  <c:v>9.2253495056025626E-8</c:v>
                </c:pt>
                <c:pt idx="974">
                  <c:v>9.2646670694467758E-8</c:v>
                </c:pt>
                <c:pt idx="975">
                  <c:v>9.3042167288420638E-8</c:v>
                </c:pt>
                <c:pt idx="976">
                  <c:v>9.3439982513837168E-8</c:v>
                </c:pt>
                <c:pt idx="977">
                  <c:v>9.3840120640823369E-8</c:v>
                </c:pt>
                <c:pt idx="978">
                  <c:v>9.4245687799120633E-8</c:v>
                </c:pt>
                <c:pt idx="979">
                  <c:v>9.4652757444180702E-8</c:v>
                </c:pt>
                <c:pt idx="980">
                  <c:v>9.5061581186260662E-8</c:v>
                </c:pt>
                <c:pt idx="981">
                  <c:v>9.5472345152842864E-8</c:v>
                </c:pt>
                <c:pt idx="982">
                  <c:v>9.5884668844720866E-8</c:v>
                </c:pt>
                <c:pt idx="983">
                  <c:v>9.6299318792826673E-8</c:v>
                </c:pt>
                <c:pt idx="984">
                  <c:v>9.6716338524984707E-8</c:v>
                </c:pt>
                <c:pt idx="985">
                  <c:v>9.7138367001292427E-8</c:v>
                </c:pt>
                <c:pt idx="986">
                  <c:v>9.7561609446489577E-8</c:v>
                </c:pt>
                <c:pt idx="987">
                  <c:v>9.7986951607123673E-8</c:v>
                </c:pt>
                <c:pt idx="988">
                  <c:v>9.8413987001499569E-8</c:v>
                </c:pt>
                <c:pt idx="989">
                  <c:v>9.8846106241232136E-8</c:v>
                </c:pt>
                <c:pt idx="990">
                  <c:v>9.9279495494470393E-8</c:v>
                </c:pt>
                <c:pt idx="991">
                  <c:v>9.9714509970948503E-8</c:v>
                </c:pt>
                <c:pt idx="992">
                  <c:v>1.0015459419355647E-7</c:v>
                </c:pt>
                <c:pt idx="993">
                  <c:v>1.0059595429144867E-7</c:v>
                </c:pt>
                <c:pt idx="994">
                  <c:v>1.0103895818664833E-7</c:v>
                </c:pt>
                <c:pt idx="995">
                  <c:v>1.0148708098152991E-7</c:v>
                </c:pt>
                <c:pt idx="996">
                  <c:v>1.019365143575065E-7</c:v>
                </c:pt>
                <c:pt idx="997">
                  <c:v>1.0239029887999639E-7</c:v>
                </c:pt>
                <c:pt idx="998">
                  <c:v>1.0284536430490841E-7</c:v>
                </c:pt>
                <c:pt idx="999">
                  <c:v>1.0330155322140686E-7</c:v>
                </c:pt>
                <c:pt idx="1000">
                  <c:v>1.0376307052082821E-7</c:v>
                </c:pt>
                <c:pt idx="1001">
                  <c:v>1.04225515221166E-7</c:v>
                </c:pt>
                <c:pt idx="1002">
                  <c:v>1.0469261616437199E-7</c:v>
                </c:pt>
                <c:pt idx="1003">
                  <c:v>1.0516123832600267E-7</c:v>
                </c:pt>
                <c:pt idx="1004">
                  <c:v>1.0563444256473939E-7</c:v>
                </c:pt>
                <c:pt idx="1005">
                  <c:v>1.0610856318852945E-7</c:v>
                </c:pt>
                <c:pt idx="1006">
                  <c:v>1.0658737735908214E-7</c:v>
                </c:pt>
                <c:pt idx="1007">
                  <c:v>1.0706719458696918E-7</c:v>
                </c:pt>
                <c:pt idx="1008">
                  <c:v>1.0755179327210641E-7</c:v>
                </c:pt>
                <c:pt idx="1009">
                  <c:v>1.0804019997006508E-7</c:v>
                </c:pt>
                <c:pt idx="1010">
                  <c:v>1.0852949567583164E-7</c:v>
                </c:pt>
                <c:pt idx="1011">
                  <c:v>1.0902352200069112E-7</c:v>
                </c:pt>
                <c:pt idx="1012">
                  <c:v>1.0951801548824312E-7</c:v>
                </c:pt>
                <c:pt idx="1013">
                  <c:v>1.1001749441022542E-7</c:v>
                </c:pt>
                <c:pt idx="1014">
                  <c:v>1.1052097356804595E-7</c:v>
                </c:pt>
                <c:pt idx="1015">
                  <c:v>1.1102549664786636E-7</c:v>
                </c:pt>
                <c:pt idx="1016">
                  <c:v>1.115343574690717E-7</c:v>
                </c:pt>
                <c:pt idx="1017">
                  <c:v>1.1204395234305703E-7</c:v>
                </c:pt>
                <c:pt idx="1018">
                  <c:v>1.1255879779605968E-7</c:v>
                </c:pt>
                <c:pt idx="1019">
                  <c:v>1.1307787560178238E-7</c:v>
                </c:pt>
                <c:pt idx="1020">
                  <c:v>1.1359761053624488E-7</c:v>
                </c:pt>
                <c:pt idx="1021">
                  <c:v>1.1412200112325191E-7</c:v>
                </c:pt>
                <c:pt idx="1022">
                  <c:v>1.1465076267980312E-7</c:v>
                </c:pt>
                <c:pt idx="1023">
                  <c:v>1.1517970435935885E-7</c:v>
                </c:pt>
                <c:pt idx="1024">
                  <c:v>1.1571353434681347E-7</c:v>
                </c:pt>
                <c:pt idx="1025">
                  <c:v>1.1625193982742773E-7</c:v>
                </c:pt>
                <c:pt idx="1026">
                  <c:v>1.1679127147929367E-7</c:v>
                </c:pt>
                <c:pt idx="1027">
                  <c:v>1.1733494527908908E-7</c:v>
                </c:pt>
                <c:pt idx="1028">
                  <c:v>1.1788336837181723E-7</c:v>
                </c:pt>
                <c:pt idx="1029">
                  <c:v>1.1843227024767411E-7</c:v>
                </c:pt>
                <c:pt idx="1030">
                  <c:v>1.1898577177353285E-7</c:v>
                </c:pt>
                <c:pt idx="1031">
                  <c:v>1.1954425044247035E-7</c:v>
                </c:pt>
                <c:pt idx="1032">
                  <c:v>1.2010338436881494E-7</c:v>
                </c:pt>
                <c:pt idx="1033">
                  <c:v>1.2066729003683616E-7</c:v>
                </c:pt>
                <c:pt idx="1034">
                  <c:v>1.212357446039452E-7</c:v>
                </c:pt>
                <c:pt idx="1035">
                  <c:v>1.2180509850900339E-7</c:v>
                </c:pt>
                <c:pt idx="1036">
                  <c:v>1.2237945027159876E-7</c:v>
                </c:pt>
                <c:pt idx="1037">
                  <c:v>1.2295855330551486E-7</c:v>
                </c:pt>
                <c:pt idx="1038">
                  <c:v>1.2353870801276061E-7</c:v>
                </c:pt>
                <c:pt idx="1039">
                  <c:v>1.2412402508981172E-7</c:v>
                </c:pt>
                <c:pt idx="1040">
                  <c:v>1.2471364151770191E-7</c:v>
                </c:pt>
                <c:pt idx="1041">
                  <c:v>1.2530455124481323E-7</c:v>
                </c:pt>
                <c:pt idx="1042">
                  <c:v>1.2590024065536766E-7</c:v>
                </c:pt>
                <c:pt idx="1043">
                  <c:v>1.2650115034257942E-7</c:v>
                </c:pt>
                <c:pt idx="1044">
                  <c:v>1.2710643630914058E-7</c:v>
                </c:pt>
                <c:pt idx="1045">
                  <c:v>1.2771308356171279E-7</c:v>
                </c:pt>
                <c:pt idx="1046">
                  <c:v>1.2832461070495418E-7</c:v>
                </c:pt>
                <c:pt idx="1047">
                  <c:v>1.2894086905638263E-7</c:v>
                </c:pt>
                <c:pt idx="1048">
                  <c:v>1.2955815661822607E-7</c:v>
                </c:pt>
                <c:pt idx="1049">
                  <c:v>1.3018069949713657E-7</c:v>
                </c:pt>
                <c:pt idx="1050">
                  <c:v>1.3080890127108019E-7</c:v>
                </c:pt>
                <c:pt idx="1051">
                  <c:v>1.3143766809473381E-7</c:v>
                </c:pt>
                <c:pt idx="1052">
                  <c:v>1.3207195014176721E-7</c:v>
                </c:pt>
                <c:pt idx="1053">
                  <c:v>1.3270789654555406E-7</c:v>
                </c:pt>
                <c:pt idx="1054">
                  <c:v>1.3334965988806319E-7</c:v>
                </c:pt>
                <c:pt idx="1055">
                  <c:v>1.3399696296557521E-7</c:v>
                </c:pt>
                <c:pt idx="1056">
                  <c:v>1.3464533396551659E-7</c:v>
                </c:pt>
                <c:pt idx="1057">
                  <c:v>1.3529969110230463E-7</c:v>
                </c:pt>
                <c:pt idx="1058">
                  <c:v>1.3595912930189927E-7</c:v>
                </c:pt>
                <c:pt idx="1059">
                  <c:v>1.3662050013192583E-7</c:v>
                </c:pt>
                <c:pt idx="1060">
                  <c:v>1.3728735915913884E-7</c:v>
                </c:pt>
                <c:pt idx="1061">
                  <c:v>1.3795584637066685E-7</c:v>
                </c:pt>
                <c:pt idx="1062">
                  <c:v>1.3863085066079034E-7</c:v>
                </c:pt>
                <c:pt idx="1063">
                  <c:v>1.3930770017566888E-7</c:v>
                </c:pt>
                <c:pt idx="1064">
                  <c:v>1.3999063221124921E-7</c:v>
                </c:pt>
                <c:pt idx="1065">
                  <c:v>1.4067939729235331E-7</c:v>
                </c:pt>
                <c:pt idx="1066">
                  <c:v>1.4137008291845512E-7</c:v>
                </c:pt>
                <c:pt idx="1067">
                  <c:v>1.4206695405799009E-7</c:v>
                </c:pt>
                <c:pt idx="1068">
                  <c:v>1.4276602524288451E-7</c:v>
                </c:pt>
                <c:pt idx="1069">
                  <c:v>1.4347089849778194E-7</c:v>
                </c:pt>
                <c:pt idx="1070">
                  <c:v>1.4417829439138096E-7</c:v>
                </c:pt>
                <c:pt idx="1071">
                  <c:v>1.448924212491343E-7</c:v>
                </c:pt>
                <c:pt idx="1072">
                  <c:v>1.4560855526909217E-7</c:v>
                </c:pt>
                <c:pt idx="1073">
                  <c:v>1.4633165679226519E-7</c:v>
                </c:pt>
                <c:pt idx="1074">
                  <c:v>1.4705695936692284E-7</c:v>
                </c:pt>
                <c:pt idx="1075">
                  <c:v>1.4778941907716744E-7</c:v>
                </c:pt>
                <c:pt idx="1076">
                  <c:v>1.4852424427821578E-7</c:v>
                </c:pt>
                <c:pt idx="1077">
                  <c:v>1.4926192235814174E-7</c:v>
                </c:pt>
                <c:pt idx="1078">
                  <c:v>1.5000668773866438E-7</c:v>
                </c:pt>
                <c:pt idx="1079">
                  <c:v>1.5075504208001772E-7</c:v>
                </c:pt>
                <c:pt idx="1080">
                  <c:v>1.5150663521501993E-7</c:v>
                </c:pt>
                <c:pt idx="1081">
                  <c:v>1.5226567784966639E-7</c:v>
                </c:pt>
                <c:pt idx="1082">
                  <c:v>1.5302796081729658E-7</c:v>
                </c:pt>
                <c:pt idx="1083">
                  <c:v>1.5379706801145183E-7</c:v>
                </c:pt>
                <c:pt idx="1084">
                  <c:v>1.5456954706521422E-7</c:v>
                </c:pt>
                <c:pt idx="1085">
                  <c:v>1.5534575897231313E-7</c:v>
                </c:pt>
                <c:pt idx="1086">
                  <c:v>1.5612600848070807E-7</c:v>
                </c:pt>
                <c:pt idx="1087">
                  <c:v>1.5691379734164248E-7</c:v>
                </c:pt>
                <c:pt idx="1088">
                  <c:v>1.5770556107405463E-7</c:v>
                </c:pt>
                <c:pt idx="1089">
                  <c:v>1.5850091875379592E-7</c:v>
                </c:pt>
                <c:pt idx="1090">
                  <c:v>1.5930087868571082E-7</c:v>
                </c:pt>
                <c:pt idx="1091">
                  <c:v>1.6010890596544794E-7</c:v>
                </c:pt>
                <c:pt idx="1092">
                  <c:v>1.6092068962178934E-7</c:v>
                </c:pt>
                <c:pt idx="1093">
                  <c:v>1.6173723703700899E-7</c:v>
                </c:pt>
                <c:pt idx="1094">
                  <c:v>1.6255806555825235E-7</c:v>
                </c:pt>
                <c:pt idx="1095">
                  <c:v>1.6338343696474003E-7</c:v>
                </c:pt>
                <c:pt idx="1096">
                  <c:v>1.6421477264954768E-7</c:v>
                </c:pt>
                <c:pt idx="1097">
                  <c:v>1.6505128554879028E-7</c:v>
                </c:pt>
                <c:pt idx="1098">
                  <c:v>1.6589271736930551E-7</c:v>
                </c:pt>
                <c:pt idx="1099">
                  <c:v>1.667396576920131E-7</c:v>
                </c:pt>
                <c:pt idx="1100">
                  <c:v>1.6759180943727282E-7</c:v>
                </c:pt>
                <c:pt idx="1101">
                  <c:v>1.6844863824122637E-7</c:v>
                </c:pt>
                <c:pt idx="1102">
                  <c:v>1.6931106368938301E-7</c:v>
                </c:pt>
                <c:pt idx="1103">
                  <c:v>1.7017879388533307E-7</c:v>
                </c:pt>
                <c:pt idx="1104">
                  <c:v>1.7105170985043142E-7</c:v>
                </c:pt>
                <c:pt idx="1105">
                  <c:v>1.7193027223833581E-7</c:v>
                </c:pt>
                <c:pt idx="1106">
                  <c:v>1.7281391652955453E-7</c:v>
                </c:pt>
                <c:pt idx="1107">
                  <c:v>1.7370284080318624E-7</c:v>
                </c:pt>
                <c:pt idx="1108">
                  <c:v>1.7459792278180876E-7</c:v>
                </c:pt>
                <c:pt idx="1109">
                  <c:v>1.7549813019495178E-7</c:v>
                </c:pt>
                <c:pt idx="1110">
                  <c:v>1.7640368284294054E-7</c:v>
                </c:pt>
                <c:pt idx="1111">
                  <c:v>1.7731476696642237E-7</c:v>
                </c:pt>
                <c:pt idx="1112">
                  <c:v>1.78231556664789E-7</c:v>
                </c:pt>
                <c:pt idx="1113">
                  <c:v>1.7915379430627214E-7</c:v>
                </c:pt>
                <c:pt idx="1114">
                  <c:v>1.8008167933012827E-7</c:v>
                </c:pt>
                <c:pt idx="1115">
                  <c:v>1.810153815882014E-7</c:v>
                </c:pt>
                <c:pt idx="1116">
                  <c:v>1.8195506197727689E-7</c:v>
                </c:pt>
                <c:pt idx="1117">
                  <c:v>1.8290044867364116E-7</c:v>
                </c:pt>
                <c:pt idx="1118">
                  <c:v>1.8385101485838768E-7</c:v>
                </c:pt>
                <c:pt idx="1119">
                  <c:v>1.8480772943177713E-7</c:v>
                </c:pt>
                <c:pt idx="1120">
                  <c:v>1.8577002247786042E-7</c:v>
                </c:pt>
                <c:pt idx="1121">
                  <c:v>1.8673832339681783E-7</c:v>
                </c:pt>
                <c:pt idx="1122">
                  <c:v>1.8771287086043072E-7</c:v>
                </c:pt>
                <c:pt idx="1123">
                  <c:v>1.8869338543403011E-7</c:v>
                </c:pt>
                <c:pt idx="1124">
                  <c:v>1.8967955182637726E-7</c:v>
                </c:pt>
                <c:pt idx="1125">
                  <c:v>1.906720305589765E-7</c:v>
                </c:pt>
                <c:pt idx="1126">
                  <c:v>1.916704702974081E-7</c:v>
                </c:pt>
                <c:pt idx="1127">
                  <c:v>1.9267457888007078E-7</c:v>
                </c:pt>
                <c:pt idx="1128">
                  <c:v>1.9368503396165545E-7</c:v>
                </c:pt>
                <c:pt idx="1129">
                  <c:v>1.947014942828367E-7</c:v>
                </c:pt>
                <c:pt idx="1130">
                  <c:v>1.9572410490843253E-7</c:v>
                </c:pt>
                <c:pt idx="1131">
                  <c:v>1.9675306225534121E-7</c:v>
                </c:pt>
                <c:pt idx="1132">
                  <c:v>1.9778812073175355E-7</c:v>
                </c:pt>
                <c:pt idx="1133">
                  <c:v>1.9882978211304451E-7</c:v>
                </c:pt>
                <c:pt idx="1134">
                  <c:v>1.9987741764316169E-7</c:v>
                </c:pt>
                <c:pt idx="1135">
                  <c:v>2.0093155829451124E-7</c:v>
                </c:pt>
                <c:pt idx="1136">
                  <c:v>2.0199195773758563E-7</c:v>
                </c:pt>
                <c:pt idx="1137">
                  <c:v>2.0305876052739786E-7</c:v>
                </c:pt>
                <c:pt idx="1138">
                  <c:v>2.0413218005100809E-7</c:v>
                </c:pt>
                <c:pt idx="1139">
                  <c:v>2.0521189002501478E-7</c:v>
                </c:pt>
                <c:pt idx="1140">
                  <c:v>2.0629812953374119E-7</c:v>
                </c:pt>
                <c:pt idx="1141">
                  <c:v>2.0739103235762715E-7</c:v>
                </c:pt>
                <c:pt idx="1142">
                  <c:v>2.0849028822354499E-7</c:v>
                </c:pt>
                <c:pt idx="1143">
                  <c:v>2.0959657888719612E-7</c:v>
                </c:pt>
                <c:pt idx="1144">
                  <c:v>2.1070910860951229E-7</c:v>
                </c:pt>
                <c:pt idx="1145">
                  <c:v>2.1182859394681673E-7</c:v>
                </c:pt>
                <c:pt idx="1146">
                  <c:v>2.1295470099040374E-7</c:v>
                </c:pt>
                <c:pt idx="1147">
                  <c:v>2.1408758528481944E-7</c:v>
                </c:pt>
                <c:pt idx="1148">
                  <c:v>2.1522702566412821E-7</c:v>
                </c:pt>
                <c:pt idx="1149">
                  <c:v>2.1637319602007449E-7</c:v>
                </c:pt>
                <c:pt idx="1150">
                  <c:v>2.1752633812919491E-7</c:v>
                </c:pt>
                <c:pt idx="1151">
                  <c:v>2.186865882986105E-7</c:v>
                </c:pt>
                <c:pt idx="1152">
                  <c:v>2.1985362205990409E-7</c:v>
                </c:pt>
                <c:pt idx="1153">
                  <c:v>2.2102769143396659E-7</c:v>
                </c:pt>
                <c:pt idx="1154">
                  <c:v>2.2220848932789193E-7</c:v>
                </c:pt>
                <c:pt idx="1155">
                  <c:v>2.2339673032495498E-7</c:v>
                </c:pt>
                <c:pt idx="1156">
                  <c:v>2.2459161637443225E-7</c:v>
                </c:pt>
                <c:pt idx="1157">
                  <c:v>2.2579389184216713E-7</c:v>
                </c:pt>
                <c:pt idx="1158">
                  <c:v>2.2700322797340236E-7</c:v>
                </c:pt>
                <c:pt idx="1159">
                  <c:v>2.2821979358699871E-7</c:v>
                </c:pt>
                <c:pt idx="1160">
                  <c:v>2.2944336287389489E-7</c:v>
                </c:pt>
                <c:pt idx="1161">
                  <c:v>2.3067412889421716E-7</c:v>
                </c:pt>
                <c:pt idx="1162">
                  <c:v>2.3191233803011406E-7</c:v>
                </c:pt>
                <c:pt idx="1163">
                  <c:v>2.3315767728864545E-7</c:v>
                </c:pt>
                <c:pt idx="1164">
                  <c:v>2.3441041099956786E-7</c:v>
                </c:pt>
                <c:pt idx="1165">
                  <c:v>2.3567070296477116E-7</c:v>
                </c:pt>
                <c:pt idx="1166">
                  <c:v>2.3693824792189464E-7</c:v>
                </c:pt>
                <c:pt idx="1167">
                  <c:v>2.3821331210282899E-7</c:v>
                </c:pt>
                <c:pt idx="1168">
                  <c:v>2.3949559501827998E-7</c:v>
                </c:pt>
                <c:pt idx="1169">
                  <c:v>2.4078584352881742E-7</c:v>
                </c:pt>
                <c:pt idx="1170">
                  <c:v>2.4208325126205462E-7</c:v>
                </c:pt>
                <c:pt idx="1171">
                  <c:v>2.433885043050391E-7</c:v>
                </c:pt>
                <c:pt idx="1172">
                  <c:v>2.447013705483964E-7</c:v>
                </c:pt>
                <c:pt idx="1173">
                  <c:v>2.4602163883877971E-7</c:v>
                </c:pt>
                <c:pt idx="1174">
                  <c:v>2.4734998810585647E-7</c:v>
                </c:pt>
                <c:pt idx="1175">
                  <c:v>2.4868561568422317E-7</c:v>
                </c:pt>
                <c:pt idx="1176">
                  <c:v>2.5002922307318678E-7</c:v>
                </c:pt>
                <c:pt idx="1177">
                  <c:v>2.5138065723536025E-7</c:v>
                </c:pt>
                <c:pt idx="1178">
                  <c:v>2.5274002190846697E-7</c:v>
                </c:pt>
                <c:pt idx="1179">
                  <c:v>2.5410709729241207E-7</c:v>
                </c:pt>
                <c:pt idx="1180">
                  <c:v>2.5548216737811713E-7</c:v>
                </c:pt>
                <c:pt idx="1181">
                  <c:v>2.5686493458484935E-7</c:v>
                </c:pt>
                <c:pt idx="1182">
                  <c:v>2.5825561278020464E-7</c:v>
                </c:pt>
                <c:pt idx="1183">
                  <c:v>2.5965447991797621E-7</c:v>
                </c:pt>
                <c:pt idx="1184">
                  <c:v>2.610612301075311E-7</c:v>
                </c:pt>
                <c:pt idx="1185">
                  <c:v>2.6247615344498481E-7</c:v>
                </c:pt>
                <c:pt idx="1186">
                  <c:v>2.6389943650998678E-7</c:v>
                </c:pt>
                <c:pt idx="1187">
                  <c:v>2.6533076787257622E-7</c:v>
                </c:pt>
                <c:pt idx="1188">
                  <c:v>2.6676994987582532E-7</c:v>
                </c:pt>
                <c:pt idx="1189">
                  <c:v>2.6821778037268809E-7</c:v>
                </c:pt>
                <c:pt idx="1190">
                  <c:v>2.696734449658686E-7</c:v>
                </c:pt>
                <c:pt idx="1191">
                  <c:v>2.7113767159822162E-7</c:v>
                </c:pt>
                <c:pt idx="1192">
                  <c:v>2.7261022946150239E-7</c:v>
                </c:pt>
                <c:pt idx="1193">
                  <c:v>2.7409083060517728E-7</c:v>
                </c:pt>
                <c:pt idx="1194">
                  <c:v>2.7557978958432728E-7</c:v>
                </c:pt>
                <c:pt idx="1195">
                  <c:v>2.770773147404214E-7</c:v>
                </c:pt>
                <c:pt idx="1196">
                  <c:v>2.78583098586857E-7</c:v>
                </c:pt>
                <c:pt idx="1197">
                  <c:v>2.8009744852309555E-7</c:v>
                </c:pt>
                <c:pt idx="1198">
                  <c:v>2.8162015419234952E-7</c:v>
                </c:pt>
                <c:pt idx="1199">
                  <c:v>2.8315144060197687E-7</c:v>
                </c:pt>
                <c:pt idx="1200">
                  <c:v>2.8469151643853303E-7</c:v>
                </c:pt>
                <c:pt idx="1201">
                  <c:v>2.8624016107867703E-7</c:v>
                </c:pt>
                <c:pt idx="1202">
                  <c:v>2.8779767622737282E-7</c:v>
                </c:pt>
                <c:pt idx="1203">
                  <c:v>2.8936366698744269E-7</c:v>
                </c:pt>
                <c:pt idx="1204">
                  <c:v>2.909385340700066E-7</c:v>
                </c:pt>
                <c:pt idx="1205">
                  <c:v>2.9252189523788769E-7</c:v>
                </c:pt>
                <c:pt idx="1206">
                  <c:v>2.9411407315023732E-7</c:v>
                </c:pt>
                <c:pt idx="1207">
                  <c:v>2.9571486357703283E-7</c:v>
                </c:pt>
                <c:pt idx="1208">
                  <c:v>2.9732449598396489E-7</c:v>
                </c:pt>
                <c:pt idx="1209">
                  <c:v>2.9894327609801153E-7</c:v>
                </c:pt>
                <c:pt idx="1210">
                  <c:v>3.0057089693633761E-7</c:v>
                </c:pt>
                <c:pt idx="1211">
                  <c:v>3.0220707864710384E-7</c:v>
                </c:pt>
                <c:pt idx="1212">
                  <c:v>3.0385215289937644E-7</c:v>
                </c:pt>
                <c:pt idx="1213">
                  <c:v>3.0550643607512047E-7</c:v>
                </c:pt>
                <c:pt idx="1214">
                  <c:v>3.0716962680383155E-7</c:v>
                </c:pt>
                <c:pt idx="1215">
                  <c:v>3.0884196170507554E-7</c:v>
                </c:pt>
                <c:pt idx="1216">
                  <c:v>3.1052322687222848E-7</c:v>
                </c:pt>
                <c:pt idx="1217">
                  <c:v>3.1221366386076961E-7</c:v>
                </c:pt>
                <c:pt idx="1218">
                  <c:v>3.1391306896892464E-7</c:v>
                </c:pt>
                <c:pt idx="1219">
                  <c:v>3.1562167984043887E-7</c:v>
                </c:pt>
                <c:pt idx="1220">
                  <c:v>3.1733981204280419E-7</c:v>
                </c:pt>
                <c:pt idx="1221">
                  <c:v>3.1906715654012815E-7</c:v>
                </c:pt>
                <c:pt idx="1222">
                  <c:v>3.2080350914115093E-7</c:v>
                </c:pt>
                <c:pt idx="1223">
                  <c:v>3.225491242647333E-7</c:v>
                </c:pt>
                <c:pt idx="1224">
                  <c:v>3.2430379825193648E-7</c:v>
                </c:pt>
                <c:pt idx="1225">
                  <c:v>3.2606778736055829E-7</c:v>
                </c:pt>
                <c:pt idx="1226">
                  <c:v>3.2784133076945422E-7</c:v>
                </c:pt>
                <c:pt idx="1227">
                  <c:v>3.2962420880962424E-7</c:v>
                </c:pt>
                <c:pt idx="1228">
                  <c:v>3.3141675284012551E-7</c:v>
                </c:pt>
                <c:pt idx="1229">
                  <c:v>3.3321865312654286E-7</c:v>
                </c:pt>
                <c:pt idx="1230">
                  <c:v>3.3502963101978647E-7</c:v>
                </c:pt>
                <c:pt idx="1231">
                  <c:v>3.368500443382831E-7</c:v>
                </c:pt>
                <c:pt idx="1232">
                  <c:v>3.3868022117980246E-7</c:v>
                </c:pt>
                <c:pt idx="1233">
                  <c:v>3.4051985924567465E-7</c:v>
                </c:pt>
                <c:pt idx="1234">
                  <c:v>3.423686716330132E-7</c:v>
                </c:pt>
                <c:pt idx="1235">
                  <c:v>3.4422755083357302E-7</c:v>
                </c:pt>
                <c:pt idx="1236">
                  <c:v>3.4609572692391714E-7</c:v>
                </c:pt>
                <c:pt idx="1237">
                  <c:v>3.4797347007010135E-7</c:v>
                </c:pt>
                <c:pt idx="1238">
                  <c:v>3.4986102598657416E-7</c:v>
                </c:pt>
                <c:pt idx="1239">
                  <c:v>3.5175818637189533E-7</c:v>
                </c:pt>
                <c:pt idx="1240">
                  <c:v>3.5366519911740604E-7</c:v>
                </c:pt>
                <c:pt idx="1241">
                  <c:v>3.5558185642877069E-7</c:v>
                </c:pt>
                <c:pt idx="1242">
                  <c:v>3.5750787010720253E-7</c:v>
                </c:pt>
                <c:pt idx="1243">
                  <c:v>3.5944360726655878E-7</c:v>
                </c:pt>
                <c:pt idx="1244">
                  <c:v>3.6138940597817762E-7</c:v>
                </c:pt>
                <c:pt idx="1245">
                  <c:v>3.6334487143340782E-7</c:v>
                </c:pt>
                <c:pt idx="1246">
                  <c:v>3.6530989701922757E-7</c:v>
                </c:pt>
                <c:pt idx="1247">
                  <c:v>3.6728474853128253E-7</c:v>
                </c:pt>
                <c:pt idx="1248">
                  <c:v>3.6926968251095138E-7</c:v>
                </c:pt>
                <c:pt idx="1249">
                  <c:v>3.712644791506383E-7</c:v>
                </c:pt>
                <c:pt idx="1250">
                  <c:v>3.7326939646917127E-7</c:v>
                </c:pt>
                <c:pt idx="1251">
                  <c:v>3.7528421459376501E-7</c:v>
                </c:pt>
                <c:pt idx="1252">
                  <c:v>3.7730872957744018E-7</c:v>
                </c:pt>
                <c:pt idx="1253">
                  <c:v>3.7934321590052749E-7</c:v>
                </c:pt>
                <c:pt idx="1254">
                  <c:v>3.8138792444342904E-7</c:v>
                </c:pt>
                <c:pt idx="1255">
                  <c:v>3.8344263294638268E-7</c:v>
                </c:pt>
                <c:pt idx="1256">
                  <c:v>3.8550714166059445E-7</c:v>
                </c:pt>
                <c:pt idx="1257">
                  <c:v>3.875817175534343E-7</c:v>
                </c:pt>
                <c:pt idx="1258">
                  <c:v>3.8966605943968895E-7</c:v>
                </c:pt>
                <c:pt idx="1259">
                  <c:v>3.9176053626130055E-7</c:v>
                </c:pt>
                <c:pt idx="1260">
                  <c:v>3.9386493534599736E-7</c:v>
                </c:pt>
                <c:pt idx="1261">
                  <c:v>3.9597942933838831E-7</c:v>
                </c:pt>
                <c:pt idx="1262">
                  <c:v>3.981039066651443E-7</c:v>
                </c:pt>
                <c:pt idx="1263">
                  <c:v>4.0023863048118189E-7</c:v>
                </c:pt>
                <c:pt idx="1264">
                  <c:v>4.0238338344770818E-7</c:v>
                </c:pt>
                <c:pt idx="1265">
                  <c:v>4.045384283278808E-7</c:v>
                </c:pt>
                <c:pt idx="1266">
                  <c:v>4.0670346033190717E-7</c:v>
                </c:pt>
                <c:pt idx="1267">
                  <c:v>4.0887827764248364E-7</c:v>
                </c:pt>
                <c:pt idx="1268">
                  <c:v>4.1106325197169287E-7</c:v>
                </c:pt>
                <c:pt idx="1269">
                  <c:v>4.1325864222123752E-7</c:v>
                </c:pt>
                <c:pt idx="1270">
                  <c:v>4.1546413676837716E-7</c:v>
                </c:pt>
                <c:pt idx="1271">
                  <c:v>4.1767962044292599E-7</c:v>
                </c:pt>
                <c:pt idx="1272">
                  <c:v>4.1990527155898579E-7</c:v>
                </c:pt>
                <c:pt idx="1273">
                  <c:v>4.2214087814891655E-7</c:v>
                </c:pt>
                <c:pt idx="1274">
                  <c:v>4.243862407156562E-7</c:v>
                </c:pt>
                <c:pt idx="1275">
                  <c:v>4.2664221825377421E-7</c:v>
                </c:pt>
                <c:pt idx="1276">
                  <c:v>4.2890800619767162E-7</c:v>
                </c:pt>
                <c:pt idx="1277">
                  <c:v>4.3118388749520166E-7</c:v>
                </c:pt>
                <c:pt idx="1278">
                  <c:v>4.3347022295618478E-7</c:v>
                </c:pt>
                <c:pt idx="1279">
                  <c:v>4.357661206554324E-7</c:v>
                </c:pt>
                <c:pt idx="1280">
                  <c:v>4.38072541983514E-7</c:v>
                </c:pt>
                <c:pt idx="1281">
                  <c:v>4.4038916716551557E-7</c:v>
                </c:pt>
                <c:pt idx="1282">
                  <c:v>4.4271577989934896E-7</c:v>
                </c:pt>
                <c:pt idx="1283">
                  <c:v>4.4505217555356005E-7</c:v>
                </c:pt>
                <c:pt idx="1284">
                  <c:v>4.4739863987649194E-7</c:v>
                </c:pt>
                <c:pt idx="1285">
                  <c:v>4.4975544266745938E-7</c:v>
                </c:pt>
                <c:pt idx="1286">
                  <c:v>4.5212235791546604E-7</c:v>
                </c:pt>
                <c:pt idx="1287">
                  <c:v>4.5449917146966734E-7</c:v>
                </c:pt>
                <c:pt idx="1288">
                  <c:v>4.5688616244632708E-7</c:v>
                </c:pt>
                <c:pt idx="1289">
                  <c:v>4.5928301659844397E-7</c:v>
                </c:pt>
                <c:pt idx="1290">
                  <c:v>4.6169010787292359E-7</c:v>
                </c:pt>
                <c:pt idx="1291">
                  <c:v>4.6410721213493271E-7</c:v>
                </c:pt>
                <c:pt idx="1292">
                  <c:v>4.6653402109273E-7</c:v>
                </c:pt>
                <c:pt idx="1293">
                  <c:v>4.6897091631694108E-7</c:v>
                </c:pt>
                <c:pt idx="1294">
                  <c:v>4.7141816501213918E-7</c:v>
                </c:pt>
                <c:pt idx="1295">
                  <c:v>4.7387553963741026E-7</c:v>
                </c:pt>
                <c:pt idx="1296">
                  <c:v>4.7634272124552146E-7</c:v>
                </c:pt>
                <c:pt idx="1297">
                  <c:v>4.7881950023239512E-7</c:v>
                </c:pt>
                <c:pt idx="1298">
                  <c:v>4.8130625453333724E-7</c:v>
                </c:pt>
                <c:pt idx="1299">
                  <c:v>4.8380325440384474E-7</c:v>
                </c:pt>
                <c:pt idx="1300">
                  <c:v>4.8631016957159969E-7</c:v>
                </c:pt>
                <c:pt idx="1301">
                  <c:v>4.8882677961063826E-7</c:v>
                </c:pt>
                <c:pt idx="1302">
                  <c:v>4.9135346122723927E-7</c:v>
                </c:pt>
                <c:pt idx="1303">
                  <c:v>4.9388988866323146E-7</c:v>
                </c:pt>
                <c:pt idx="1304">
                  <c:v>4.9643574922130229E-7</c:v>
                </c:pt>
                <c:pt idx="1305">
                  <c:v>4.989915245419596E-7</c:v>
                </c:pt>
                <c:pt idx="1306">
                  <c:v>5.0155738540092482E-7</c:v>
                </c:pt>
                <c:pt idx="1307">
                  <c:v>5.0413259932831649E-7</c:v>
                </c:pt>
                <c:pt idx="1308">
                  <c:v>5.0671804877468849E-7</c:v>
                </c:pt>
                <c:pt idx="1309">
                  <c:v>5.0931279779412005E-7</c:v>
                </c:pt>
                <c:pt idx="1310">
                  <c:v>5.1191723238168592E-7</c:v>
                </c:pt>
                <c:pt idx="1311">
                  <c:v>5.1453172019841808E-7</c:v>
                </c:pt>
                <c:pt idx="1312">
                  <c:v>5.1715532674809849E-7</c:v>
                </c:pt>
                <c:pt idx="1313">
                  <c:v>5.1978893386286841E-7</c:v>
                </c:pt>
                <c:pt idx="1314">
                  <c:v>5.2243169984848653E-7</c:v>
                </c:pt>
                <c:pt idx="1315">
                  <c:v>5.2508401041746768E-7</c:v>
                </c:pt>
                <c:pt idx="1316">
                  <c:v>5.2774613601558997E-7</c:v>
                </c:pt>
                <c:pt idx="1317">
                  <c:v>5.3041723584040352E-7</c:v>
                </c:pt>
                <c:pt idx="1318">
                  <c:v>5.3309829701513531E-7</c:v>
                </c:pt>
                <c:pt idx="1319">
                  <c:v>5.3578836452070541E-7</c:v>
                </c:pt>
                <c:pt idx="1320">
                  <c:v>5.3848772548211639E-7</c:v>
                </c:pt>
                <c:pt idx="1321">
                  <c:v>5.4119674934378268E-7</c:v>
                </c:pt>
                <c:pt idx="1322">
                  <c:v>5.4391458854279584E-7</c:v>
                </c:pt>
                <c:pt idx="1323">
                  <c:v>5.4664213367128519E-7</c:v>
                </c:pt>
                <c:pt idx="1324">
                  <c:v>5.4937852311690961E-7</c:v>
                </c:pt>
                <c:pt idx="1325">
                  <c:v>5.5212404159065274E-7</c:v>
                </c:pt>
                <c:pt idx="1326">
                  <c:v>5.5487905660400047E-7</c:v>
                </c:pt>
                <c:pt idx="1327">
                  <c:v>5.5764271342626658E-7</c:v>
                </c:pt>
                <c:pt idx="1328">
                  <c:v>5.6041590257683785E-7</c:v>
                </c:pt>
                <c:pt idx="1329">
                  <c:v>5.6319765748681677E-7</c:v>
                </c:pt>
                <c:pt idx="1330">
                  <c:v>5.6598845844075891E-7</c:v>
                </c:pt>
                <c:pt idx="1331">
                  <c:v>5.6878847189832012E-7</c:v>
                </c:pt>
                <c:pt idx="1332">
                  <c:v>5.7159693641370049E-7</c:v>
                </c:pt>
                <c:pt idx="1333">
                  <c:v>5.7441403166625921E-7</c:v>
                </c:pt>
                <c:pt idx="1334">
                  <c:v>5.772402259104562E-7</c:v>
                </c:pt>
                <c:pt idx="1335">
                  <c:v>5.800751652508023E-7</c:v>
                </c:pt>
                <c:pt idx="1336">
                  <c:v>5.829185983903603E-7</c:v>
                </c:pt>
                <c:pt idx="1337">
                  <c:v>5.8577079755701693E-7</c:v>
                </c:pt>
                <c:pt idx="1338">
                  <c:v>5.8863141263595687E-7</c:v>
                </c:pt>
                <c:pt idx="1339">
                  <c:v>5.9150029399804968E-7</c:v>
                </c:pt>
                <c:pt idx="1340">
                  <c:v>5.9437771559850525E-7</c:v>
                </c:pt>
                <c:pt idx="1341">
                  <c:v>5.9726332764181014E-7</c:v>
                </c:pt>
                <c:pt idx="1342">
                  <c:v>6.0015749228676073E-7</c:v>
                </c:pt>
                <c:pt idx="1343">
                  <c:v>6.0305995147612991E-7</c:v>
                </c:pt>
                <c:pt idx="1344">
                  <c:v>6.0597035617879059E-7</c:v>
                </c:pt>
                <c:pt idx="1345">
                  <c:v>6.0888907030115797E-7</c:v>
                </c:pt>
                <c:pt idx="1346">
                  <c:v>6.1181573776554354E-7</c:v>
                </c:pt>
                <c:pt idx="1347">
                  <c:v>6.1475011043498678E-7</c:v>
                </c:pt>
                <c:pt idx="1348">
                  <c:v>6.1769255317787037E-7</c:v>
                </c:pt>
                <c:pt idx="1349">
                  <c:v>6.2064332240163344E-7</c:v>
                </c:pt>
                <c:pt idx="1350">
                  <c:v>6.2360152764074621E-7</c:v>
                </c:pt>
                <c:pt idx="1351">
                  <c:v>6.2656744294995636E-7</c:v>
                </c:pt>
                <c:pt idx="1352">
                  <c:v>6.2954142094309387E-7</c:v>
                </c:pt>
                <c:pt idx="1353">
                  <c:v>6.3252247800930878E-7</c:v>
                </c:pt>
                <c:pt idx="1354">
                  <c:v>6.3551098960284843E-7</c:v>
                </c:pt>
                <c:pt idx="1355">
                  <c:v>6.385073089204393E-7</c:v>
                </c:pt>
                <c:pt idx="1356">
                  <c:v>6.4151106607891418E-7</c:v>
                </c:pt>
                <c:pt idx="1357">
                  <c:v>6.4452199309342104E-7</c:v>
                </c:pt>
                <c:pt idx="1358">
                  <c:v>6.4754035180448203E-7</c:v>
                </c:pt>
                <c:pt idx="1359">
                  <c:v>6.5056586734942727E-7</c:v>
                </c:pt>
                <c:pt idx="1360">
                  <c:v>6.5359827773091137E-7</c:v>
                </c:pt>
                <c:pt idx="1361">
                  <c:v>6.5663783931258854E-7</c:v>
                </c:pt>
                <c:pt idx="1362">
                  <c:v>6.596842829574428E-7</c:v>
                </c:pt>
                <c:pt idx="1363">
                  <c:v>6.6273724146945987E-7</c:v>
                </c:pt>
                <c:pt idx="1364">
                  <c:v>6.6579707797787056E-7</c:v>
                </c:pt>
                <c:pt idx="1365">
                  <c:v>6.6886351661397423E-7</c:v>
                </c:pt>
                <c:pt idx="1366">
                  <c:v>6.7193681312214607E-7</c:v>
                </c:pt>
                <c:pt idx="1367">
                  <c:v>6.7501668489427076E-7</c:v>
                </c:pt>
                <c:pt idx="1368">
                  <c:v>6.7810276318297826E-7</c:v>
                </c:pt>
                <c:pt idx="1369">
                  <c:v>6.8119539872745452E-7</c:v>
                </c:pt>
                <c:pt idx="1370">
                  <c:v>6.8429431441495654E-7</c:v>
                </c:pt>
                <c:pt idx="1371">
                  <c:v>6.8739913502715494E-7</c:v>
                </c:pt>
                <c:pt idx="1372">
                  <c:v>6.905102169388205E-7</c:v>
                </c:pt>
                <c:pt idx="1373">
                  <c:v>6.9362717783695466E-7</c:v>
                </c:pt>
                <c:pt idx="1374">
                  <c:v>6.9675036181346162E-7</c:v>
                </c:pt>
                <c:pt idx="1375">
                  <c:v>6.998794845305344E-7</c:v>
                </c:pt>
                <c:pt idx="1376">
                  <c:v>7.0301416369195372E-7</c:v>
                </c:pt>
                <c:pt idx="1377">
                  <c:v>7.0615412919680774E-7</c:v>
                </c:pt>
                <c:pt idx="1378">
                  <c:v>7.0929963242761852E-7</c:v>
                </c:pt>
                <c:pt idx="1379">
                  <c:v>7.1245101050253884E-7</c:v>
                </c:pt>
                <c:pt idx="1380">
                  <c:v>7.1560735136494845E-7</c:v>
                </c:pt>
                <c:pt idx="1381">
                  <c:v>7.1876952659573553E-7</c:v>
                </c:pt>
                <c:pt idx="1382">
                  <c:v>7.2193661736879314E-7</c:v>
                </c:pt>
                <c:pt idx="1383">
                  <c:v>7.2510896686813314E-7</c:v>
                </c:pt>
                <c:pt idx="1384">
                  <c:v>7.2828618498740255E-7</c:v>
                </c:pt>
                <c:pt idx="1385">
                  <c:v>7.3146799326199232E-7</c:v>
                </c:pt>
                <c:pt idx="1386">
                  <c:v>7.3465463577204259E-7</c:v>
                </c:pt>
                <c:pt idx="1387">
                  <c:v>7.3784644247108263E-7</c:v>
                </c:pt>
                <c:pt idx="1388">
                  <c:v>7.4104239495575939E-7</c:v>
                </c:pt>
                <c:pt idx="1389">
                  <c:v>7.4424293502332401E-7</c:v>
                </c:pt>
                <c:pt idx="1390">
                  <c:v>7.4744819436053539E-7</c:v>
                </c:pt>
                <c:pt idx="1391">
                  <c:v>7.5065735193354598E-7</c:v>
                </c:pt>
                <c:pt idx="1392">
                  <c:v>7.5387065097953139E-7</c:v>
                </c:pt>
                <c:pt idx="1393">
                  <c:v>7.5708842046010369E-7</c:v>
                </c:pt>
                <c:pt idx="1394">
                  <c:v>7.6031025680845969E-7</c:v>
                </c:pt>
                <c:pt idx="1395">
                  <c:v>7.6353586751059946E-7</c:v>
                </c:pt>
                <c:pt idx="1396">
                  <c:v>7.6676486232995663E-7</c:v>
                </c:pt>
                <c:pt idx="1397">
                  <c:v>7.6999757713664117E-7</c:v>
                </c:pt>
                <c:pt idx="1398">
                  <c:v>7.7323371839441124E-7</c:v>
                </c:pt>
                <c:pt idx="1399">
                  <c:v>7.7647361372021369E-7</c:v>
                </c:pt>
                <c:pt idx="1400">
                  <c:v>7.7971685882205986E-7</c:v>
                </c:pt>
                <c:pt idx="1401">
                  <c:v>7.8296305692768085E-7</c:v>
                </c:pt>
                <c:pt idx="1402">
                  <c:v>7.8621263965606131E-7</c:v>
                </c:pt>
                <c:pt idx="1403">
                  <c:v>7.8946520249874496E-7</c:v>
                </c:pt>
                <c:pt idx="1404">
                  <c:v>7.9272034832958524E-7</c:v>
                </c:pt>
                <c:pt idx="1405">
                  <c:v>7.9597840510947572E-7</c:v>
                </c:pt>
                <c:pt idx="1406">
                  <c:v>7.9923906708890368E-7</c:v>
                </c:pt>
                <c:pt idx="1407">
                  <c:v>8.0250265985398556E-7</c:v>
                </c:pt>
                <c:pt idx="1408">
                  <c:v>8.057687731957096E-7</c:v>
                </c:pt>
                <c:pt idx="1409">
                  <c:v>8.0903700429886857E-7</c:v>
                </c:pt>
                <c:pt idx="1410">
                  <c:v>8.1230715141811657E-7</c:v>
                </c:pt>
                <c:pt idx="1411">
                  <c:v>8.1557944269369345E-7</c:v>
                </c:pt>
                <c:pt idx="1412">
                  <c:v>8.1885410001920409E-7</c:v>
                </c:pt>
                <c:pt idx="1413">
                  <c:v>8.2213028312966866E-7</c:v>
                </c:pt>
                <c:pt idx="1414">
                  <c:v>8.2540812291461495E-7</c:v>
                </c:pt>
                <c:pt idx="1415">
                  <c:v>8.286880303774204E-7</c:v>
                </c:pt>
                <c:pt idx="1416">
                  <c:v>8.3196959035497695E-7</c:v>
                </c:pt>
                <c:pt idx="1417">
                  <c:v>8.352524914493208E-7</c:v>
                </c:pt>
                <c:pt idx="1418">
                  <c:v>8.3853642778637289E-7</c:v>
                </c:pt>
                <c:pt idx="1419">
                  <c:v>8.4182162610124969E-7</c:v>
                </c:pt>
                <c:pt idx="1420">
                  <c:v>8.4510767844677586E-7</c:v>
                </c:pt>
                <c:pt idx="1421">
                  <c:v>8.4839499431119445E-7</c:v>
                </c:pt>
                <c:pt idx="1422">
                  <c:v>8.5168315943699016E-7</c:v>
                </c:pt>
                <c:pt idx="1423">
                  <c:v>8.5497176663495182E-7</c:v>
                </c:pt>
                <c:pt idx="1424">
                  <c:v>8.5826122483995562E-7</c:v>
                </c:pt>
                <c:pt idx="1425">
                  <c:v>8.6155112058503483E-7</c:v>
                </c:pt>
                <c:pt idx="1426">
                  <c:v>8.6484104736345516E-7</c:v>
                </c:pt>
                <c:pt idx="1427">
                  <c:v>8.6813141341045345E-7</c:v>
                </c:pt>
                <c:pt idx="1428">
                  <c:v>8.7142180599410819E-7</c:v>
                </c:pt>
                <c:pt idx="1429">
                  <c:v>8.7471243545311177E-7</c:v>
                </c:pt>
                <c:pt idx="1430">
                  <c:v>8.7800298609016383E-7</c:v>
                </c:pt>
                <c:pt idx="1431">
                  <c:v>8.8129314268555526E-7</c:v>
                </c:pt>
                <c:pt idx="1432">
                  <c:v>8.8458321073700416E-7</c:v>
                </c:pt>
                <c:pt idx="1433">
                  <c:v>8.8787277402079267E-7</c:v>
                </c:pt>
                <c:pt idx="1434">
                  <c:v>8.9116151819399214E-7</c:v>
                </c:pt>
                <c:pt idx="1435">
                  <c:v>8.9444965374330336E-7</c:v>
                </c:pt>
                <c:pt idx="1436">
                  <c:v>8.9773695646669812E-7</c:v>
                </c:pt>
                <c:pt idx="1437">
                  <c:v>9.0102353597322282E-7</c:v>
                </c:pt>
                <c:pt idx="1438">
                  <c:v>9.0430855021983688E-7</c:v>
                </c:pt>
                <c:pt idx="1439">
                  <c:v>9.0759282809861785E-7</c:v>
                </c:pt>
                <c:pt idx="1440">
                  <c:v>9.1087542810317724E-7</c:v>
                </c:pt>
                <c:pt idx="1441">
                  <c:v>9.1415656124510375E-7</c:v>
                </c:pt>
                <c:pt idx="1442">
                  <c:v>9.1743652265226685E-7</c:v>
                </c:pt>
                <c:pt idx="1443">
                  <c:v>9.2071437333745504E-7</c:v>
                </c:pt>
                <c:pt idx="1444">
                  <c:v>9.2399102981859152E-7</c:v>
                </c:pt>
                <c:pt idx="1445">
                  <c:v>9.272654549050017E-7</c:v>
                </c:pt>
                <c:pt idx="1446">
                  <c:v>9.3053794918550608E-7</c:v>
                </c:pt>
                <c:pt idx="1447">
                  <c:v>9.3380809860397473E-7</c:v>
                </c:pt>
                <c:pt idx="1448">
                  <c:v>9.3707619888587465E-7</c:v>
                </c:pt>
                <c:pt idx="1449">
                  <c:v>9.4034192121205009E-7</c:v>
                </c:pt>
                <c:pt idx="1450">
                  <c:v>9.4360485383527378E-7</c:v>
                </c:pt>
                <c:pt idx="1451">
                  <c:v>9.4686538626648175E-7</c:v>
                </c:pt>
                <c:pt idx="1452">
                  <c:v>9.5012300900079001E-7</c:v>
                </c:pt>
                <c:pt idx="1453">
                  <c:v>9.5337810674264168E-7</c:v>
                </c:pt>
                <c:pt idx="1454">
                  <c:v>9.5663025981978416E-7</c:v>
                </c:pt>
                <c:pt idx="1455">
                  <c:v>9.5987914808213199E-7</c:v>
                </c:pt>
                <c:pt idx="1456">
                  <c:v>9.6312497029594832E-7</c:v>
                </c:pt>
                <c:pt idx="1457">
                  <c:v>9.6636740285864353E-7</c:v>
                </c:pt>
                <c:pt idx="1458">
                  <c:v>9.6960612770000888E-7</c:v>
                </c:pt>
                <c:pt idx="1459">
                  <c:v>9.7284143679199697E-7</c:v>
                </c:pt>
                <c:pt idx="1460">
                  <c:v>9.7607351965808873E-7</c:v>
                </c:pt>
                <c:pt idx="1461">
                  <c:v>9.7930143719796951E-7</c:v>
                </c:pt>
                <c:pt idx="1462">
                  <c:v>9.8252539068075244E-7</c:v>
                </c:pt>
                <c:pt idx="1463">
                  <c:v>9.8574575575857349E-7</c:v>
                </c:pt>
                <c:pt idx="1464">
                  <c:v>9.8896211154540734E-7</c:v>
                </c:pt>
                <c:pt idx="1465">
                  <c:v>9.9217404400798061E-7</c:v>
                </c:pt>
                <c:pt idx="1466">
                  <c:v>9.9538183831793848E-7</c:v>
                </c:pt>
                <c:pt idx="1467">
                  <c:v>9.9858516912825577E-7</c:v>
                </c:pt>
                <c:pt idx="1468">
                  <c:v>1.0017837124341451E-6</c:v>
                </c:pt>
                <c:pt idx="1469">
                  <c:v>1.0049776628048911E-6</c:v>
                </c:pt>
                <c:pt idx="1470">
                  <c:v>1.0081666979340382E-6</c:v>
                </c:pt>
                <c:pt idx="1471">
                  <c:v>1.0113510995894984E-6</c:v>
                </c:pt>
                <c:pt idx="1472">
                  <c:v>1.0145305419552519E-6</c:v>
                </c:pt>
                <c:pt idx="1473">
                  <c:v>1.0177046101996014E-6</c:v>
                </c:pt>
                <c:pt idx="1474">
                  <c:v>1.0208734973779848E-6</c:v>
                </c:pt>
                <c:pt idx="1475">
                  <c:v>1.0240369722120887E-6</c:v>
                </c:pt>
                <c:pt idx="1476">
                  <c:v>1.027195223503238E-6</c:v>
                </c:pt>
                <c:pt idx="1477">
                  <c:v>1.0303479265519609E-6</c:v>
                </c:pt>
                <c:pt idx="1478">
                  <c:v>1.0334952629876083E-6</c:v>
                </c:pt>
                <c:pt idx="1479">
                  <c:v>1.0366369960136024E-6</c:v>
                </c:pt>
                <c:pt idx="1480">
                  <c:v>1.0397727144315498E-6</c:v>
                </c:pt>
                <c:pt idx="1481">
                  <c:v>1.0429026065408476E-6</c:v>
                </c:pt>
                <c:pt idx="1482">
                  <c:v>1.0460264388796596E-6</c:v>
                </c:pt>
                <c:pt idx="1483">
                  <c:v>1.0491438002791193E-6</c:v>
                </c:pt>
                <c:pt idx="1484">
                  <c:v>1.0522548814684895E-6</c:v>
                </c:pt>
                <c:pt idx="1485">
                  <c:v>1.0553600428880558E-6</c:v>
                </c:pt>
                <c:pt idx="1486">
                  <c:v>1.0584588678144208E-6</c:v>
                </c:pt>
                <c:pt idx="1487">
                  <c:v>1.0615510310148477E-6</c:v>
                </c:pt>
                <c:pt idx="1488">
                  <c:v>1.0646367172784259E-6</c:v>
                </c:pt>
                <c:pt idx="1489">
                  <c:v>1.0677156040043739E-6</c:v>
                </c:pt>
                <c:pt idx="1490">
                  <c:v>1.0707873704048101E-6</c:v>
                </c:pt>
                <c:pt idx="1491">
                  <c:v>1.0738522921896405E-6</c:v>
                </c:pt>
                <c:pt idx="1492">
                  <c:v>1.0769105484220671E-6</c:v>
                </c:pt>
                <c:pt idx="1493">
                  <c:v>1.0799618130195056E-6</c:v>
                </c:pt>
                <c:pt idx="1494">
                  <c:v>1.0830057619107932E-6</c:v>
                </c:pt>
                <c:pt idx="1495">
                  <c:v>1.0860425775340547E-6</c:v>
                </c:pt>
                <c:pt idx="1496">
                  <c:v>1.0890720260789806E-6</c:v>
                </c:pt>
                <c:pt idx="1497">
                  <c:v>1.0920936130402994E-6</c:v>
                </c:pt>
                <c:pt idx="1498">
                  <c:v>1.095107699077433E-6</c:v>
                </c:pt>
                <c:pt idx="1499">
                  <c:v>1.0981144615861686E-6</c:v>
                </c:pt>
                <c:pt idx="1500">
                  <c:v>1.1011135728585147E-6</c:v>
                </c:pt>
                <c:pt idx="1501">
                  <c:v>1.1041047151105852E-6</c:v>
                </c:pt>
                <c:pt idx="1502">
                  <c:v>1.1070880694069794E-6</c:v>
                </c:pt>
                <c:pt idx="1503">
                  <c:v>1.1100633997292215E-6</c:v>
                </c:pt>
                <c:pt idx="1504">
                  <c:v>1.1130307984076864E-6</c:v>
                </c:pt>
                <c:pt idx="1505">
                  <c:v>1.1159900324000285E-6</c:v>
                </c:pt>
                <c:pt idx="1506">
                  <c:v>1.1189412748753814E-6</c:v>
                </c:pt>
                <c:pt idx="1507">
                  <c:v>1.121884205554786E-6</c:v>
                </c:pt>
                <c:pt idx="1508">
                  <c:v>1.1248190856453731E-6</c:v>
                </c:pt>
                <c:pt idx="1509">
                  <c:v>1.1277455900503455E-6</c:v>
                </c:pt>
                <c:pt idx="1510">
                  <c:v>1.1306633180894621E-6</c:v>
                </c:pt>
                <c:pt idx="1511">
                  <c:v>1.1335725309583743E-6</c:v>
                </c:pt>
                <c:pt idx="1512">
                  <c:v>1.1364728279935242E-6</c:v>
                </c:pt>
                <c:pt idx="1513">
                  <c:v>1.1393645574295187E-6</c:v>
                </c:pt>
                <c:pt idx="1514">
                  <c:v>1.1422478856704907E-6</c:v>
                </c:pt>
                <c:pt idx="1515">
                  <c:v>1.145122405640381E-6</c:v>
                </c:pt>
                <c:pt idx="1516">
                  <c:v>1.1479878828042723E-6</c:v>
                </c:pt>
                <c:pt idx="1517">
                  <c:v>1.150844491921945E-6</c:v>
                </c:pt>
                <c:pt idx="1518">
                  <c:v>1.1536919168645008E-6</c:v>
                </c:pt>
                <c:pt idx="1519">
                  <c:v>1.1565304118935721E-6</c:v>
                </c:pt>
                <c:pt idx="1520">
                  <c:v>1.1593595764176465E-6</c:v>
                </c:pt>
                <c:pt idx="1521">
                  <c:v>1.1621796636216674E-6</c:v>
                </c:pt>
                <c:pt idx="1522">
                  <c:v>1.1649903573291256E-6</c:v>
                </c:pt>
                <c:pt idx="1523">
                  <c:v>1.167791343908632E-6</c:v>
                </c:pt>
                <c:pt idx="1524">
                  <c:v>1.1705833646629662E-6</c:v>
                </c:pt>
                <c:pt idx="1525">
                  <c:v>1.1733655302959012E-6</c:v>
                </c:pt>
                <c:pt idx="1526">
                  <c:v>1.1761381002647317E-6</c:v>
                </c:pt>
                <c:pt idx="1527">
                  <c:v>1.1789013269166559E-6</c:v>
                </c:pt>
                <c:pt idx="1528">
                  <c:v>1.1816548077838425E-6</c:v>
                </c:pt>
                <c:pt idx="1529">
                  <c:v>1.1843987945139566E-6</c:v>
                </c:pt>
                <c:pt idx="1530">
                  <c:v>1.1871329683909281E-6</c:v>
                </c:pt>
                <c:pt idx="1531">
                  <c:v>1.1898574972855243E-6</c:v>
                </c:pt>
                <c:pt idx="1532">
                  <c:v>1.1925720634163912E-6</c:v>
                </c:pt>
                <c:pt idx="1533">
                  <c:v>1.195276916622884E-6</c:v>
                </c:pt>
                <c:pt idx="1534">
                  <c:v>1.1979717394698872E-6</c:v>
                </c:pt>
                <c:pt idx="1535">
                  <c:v>1.2006567806725722E-6</c:v>
                </c:pt>
                <c:pt idx="1536">
                  <c:v>1.2033316414150416E-6</c:v>
                </c:pt>
                <c:pt idx="1537">
                  <c:v>1.2059965700237781E-6</c:v>
                </c:pt>
                <c:pt idx="1538">
                  <c:v>1.2086511691184397E-6</c:v>
                </c:pt>
                <c:pt idx="1539">
                  <c:v>1.2112957681121987E-6</c:v>
                </c:pt>
                <c:pt idx="1540">
                  <c:v>1.2139299704821947E-6</c:v>
                </c:pt>
                <c:pt idx="1541">
                  <c:v>1.2165540233551924E-6</c:v>
                </c:pt>
                <c:pt idx="1542">
                  <c:v>1.2191676127517163E-6</c:v>
                </c:pt>
                <c:pt idx="1543">
                  <c:v>1.2217709041226214E-6</c:v>
                </c:pt>
                <c:pt idx="1544">
                  <c:v>1.2243641348992299E-6</c:v>
                </c:pt>
                <c:pt idx="1545">
                  <c:v>1.2269469871865282E-6</c:v>
                </c:pt>
                <c:pt idx="1546">
                  <c:v>1.2295191526591024E-6</c:v>
                </c:pt>
                <c:pt idx="1547">
                  <c:v>1.232080793528179E-6</c:v>
                </c:pt>
                <c:pt idx="1548">
                  <c:v>1.2346321500532703E-6</c:v>
                </c:pt>
                <c:pt idx="1549">
                  <c:v>1.2371729068806104E-6</c:v>
                </c:pt>
                <c:pt idx="1550">
                  <c:v>1.2397033038818331E-6</c:v>
                </c:pt>
                <c:pt idx="1551">
                  <c:v>1.2422230268387725E-6</c:v>
                </c:pt>
                <c:pt idx="1552">
                  <c:v>1.2447322356027832E-6</c:v>
                </c:pt>
                <c:pt idx="1553">
                  <c:v>1.2472306177194504E-6</c:v>
                </c:pt>
                <c:pt idx="1554">
                  <c:v>1.2497183305342907E-6</c:v>
                </c:pt>
                <c:pt idx="1555">
                  <c:v>1.252195687982255E-6</c:v>
                </c:pt>
                <c:pt idx="1556">
                  <c:v>1.2546622948356965E-6</c:v>
                </c:pt>
                <c:pt idx="1557">
                  <c:v>1.2571178450506079E-6</c:v>
                </c:pt>
                <c:pt idx="1558">
                  <c:v>1.2595625756950537E-6</c:v>
                </c:pt>
                <c:pt idx="1559">
                  <c:v>1.2619966394564088E-6</c:v>
                </c:pt>
                <c:pt idx="1560">
                  <c:v>1.2644203444647634E-6</c:v>
                </c:pt>
                <c:pt idx="1561">
                  <c:v>1.2668327570717388E-6</c:v>
                </c:pt>
                <c:pt idx="1562">
                  <c:v>1.2692346551159968E-6</c:v>
                </c:pt>
                <c:pt idx="1563">
                  <c:v>1.2716256451119767E-6</c:v>
                </c:pt>
                <c:pt idx="1564">
                  <c:v>1.2740059545102086E-6</c:v>
                </c:pt>
                <c:pt idx="1565">
                  <c:v>1.2763753514757511E-6</c:v>
                </c:pt>
                <c:pt idx="1566">
                  <c:v>1.2787339074584966E-6</c:v>
                </c:pt>
                <c:pt idx="1567">
                  <c:v>1.2810813897575224E-6</c:v>
                </c:pt>
                <c:pt idx="1568">
                  <c:v>1.2834180294660959E-6</c:v>
                </c:pt>
                <c:pt idx="1569">
                  <c:v>1.2857439719118403E-6</c:v>
                </c:pt>
                <c:pt idx="1570">
                  <c:v>1.2880589040053571E-6</c:v>
                </c:pt>
                <c:pt idx="1571">
                  <c:v>1.2903629753633217E-6</c:v>
                </c:pt>
                <c:pt idx="1572">
                  <c:v>1.2926559525463195E-6</c:v>
                </c:pt>
                <c:pt idx="1573">
                  <c:v>1.2949379859220827E-6</c:v>
                </c:pt>
                <c:pt idx="1574">
                  <c:v>1.2972092953951709E-6</c:v>
                </c:pt>
                <c:pt idx="1575">
                  <c:v>1.2994695681248155E-6</c:v>
                </c:pt>
                <c:pt idx="1576">
                  <c:v>1.3017190276582836E-6</c:v>
                </c:pt>
                <c:pt idx="1577">
                  <c:v>1.3039572867495293E-6</c:v>
                </c:pt>
                <c:pt idx="1578">
                  <c:v>1.3061845673667434E-6</c:v>
                </c:pt>
                <c:pt idx="1579">
                  <c:v>1.3084010865990528E-6</c:v>
                </c:pt>
                <c:pt idx="1580">
                  <c:v>1.3106065351871846E-6</c:v>
                </c:pt>
                <c:pt idx="1581">
                  <c:v>1.3128010550133874E-6</c:v>
                </c:pt>
                <c:pt idx="1582">
                  <c:v>1.3149849357401681E-6</c:v>
                </c:pt>
                <c:pt idx="1583">
                  <c:v>1.31715779056017E-6</c:v>
                </c:pt>
                <c:pt idx="1584">
                  <c:v>1.3193198341964845E-6</c:v>
                </c:pt>
                <c:pt idx="1585">
                  <c:v>1.3214706802878838E-6</c:v>
                </c:pt>
                <c:pt idx="1586">
                  <c:v>1.3236106233723745E-6</c:v>
                </c:pt>
                <c:pt idx="1587">
                  <c:v>1.3257397991718538E-6</c:v>
                </c:pt>
                <c:pt idx="1588">
                  <c:v>1.3278584147433768E-6</c:v>
                </c:pt>
                <c:pt idx="1589">
                  <c:v>1.3299661546639862E-6</c:v>
                </c:pt>
                <c:pt idx="1590">
                  <c:v>1.3320626376468403E-6</c:v>
                </c:pt>
                <c:pt idx="1591">
                  <c:v>1.3341485950060007E-6</c:v>
                </c:pt>
                <c:pt idx="1592">
                  <c:v>1.336223785536229E-6</c:v>
                </c:pt>
                <c:pt idx="1593">
                  <c:v>1.3382877524504684E-6</c:v>
                </c:pt>
                <c:pt idx="1594">
                  <c:v>1.3403407823522969E-6</c:v>
                </c:pt>
                <c:pt idx="1595">
                  <c:v>1.3423830823711795E-6</c:v>
                </c:pt>
                <c:pt idx="1596">
                  <c:v>1.344414780894776E-6</c:v>
                </c:pt>
                <c:pt idx="1597">
                  <c:v>1.3464355668802034E-6</c:v>
                </c:pt>
                <c:pt idx="1598">
                  <c:v>1.348445645104686E-6</c:v>
                </c:pt>
                <c:pt idx="1599">
                  <c:v>1.3504452161167666E-6</c:v>
                </c:pt>
                <c:pt idx="1600">
                  <c:v>1.3524338917435143E-6</c:v>
                </c:pt>
                <c:pt idx="1601">
                  <c:v>1.3544118747181759E-6</c:v>
                </c:pt>
                <c:pt idx="1602">
                  <c:v>1.3563793661387194E-6</c:v>
                </c:pt>
                <c:pt idx="1603">
                  <c:v>1.3583360518411956E-6</c:v>
                </c:pt>
                <c:pt idx="1604">
                  <c:v>1.3602821321467196E-6</c:v>
                </c:pt>
                <c:pt idx="1605">
                  <c:v>1.3622172225654579E-6</c:v>
                </c:pt>
                <c:pt idx="1606">
                  <c:v>1.3641421080687325E-6</c:v>
                </c:pt>
                <c:pt idx="1607">
                  <c:v>1.3660563975499315E-6</c:v>
                </c:pt>
                <c:pt idx="1608">
                  <c:v>1.3679602123257296E-6</c:v>
                </c:pt>
                <c:pt idx="1609">
                  <c:v>1.3698533118456507E-6</c:v>
                </c:pt>
                <c:pt idx="1610">
                  <c:v>1.3717358926174535E-6</c:v>
                </c:pt>
                <c:pt idx="1611">
                  <c:v>1.3736080767560734E-6</c:v>
                </c:pt>
                <c:pt idx="1612">
                  <c:v>1.375469550611507E-6</c:v>
                </c:pt>
                <c:pt idx="1613">
                  <c:v>1.3773210111716112E-6</c:v>
                </c:pt>
                <c:pt idx="1614">
                  <c:v>1.3791615645213809E-6</c:v>
                </c:pt>
                <c:pt idx="1615">
                  <c:v>1.3809919814021054E-6</c:v>
                </c:pt>
                <c:pt idx="1616">
                  <c:v>1.382811875302713E-6</c:v>
                </c:pt>
                <c:pt idx="1617">
                  <c:v>1.3846214360977583E-6</c:v>
                </c:pt>
                <c:pt idx="1618">
                  <c:v>1.3864208499612489E-6</c:v>
                </c:pt>
                <c:pt idx="1619">
                  <c:v>1.3882102994262552E-6</c:v>
                </c:pt>
                <c:pt idx="1620">
                  <c:v>1.389989393874254E-6</c:v>
                </c:pt>
                <c:pt idx="1621">
                  <c:v>1.3917583905757685E-6</c:v>
                </c:pt>
                <c:pt idx="1622">
                  <c:v>1.3935169050611017E-6</c:v>
                </c:pt>
                <c:pt idx="1623">
                  <c:v>1.3952656205672044E-6</c:v>
                </c:pt>
                <c:pt idx="1624">
                  <c:v>1.3970042165942351E-6</c:v>
                </c:pt>
                <c:pt idx="1625">
                  <c:v>1.3987323077040873E-6</c:v>
                </c:pt>
                <c:pt idx="1626">
                  <c:v>1.400450646043704E-6</c:v>
                </c:pt>
                <c:pt idx="1627">
                  <c:v>1.4021588406049815E-6</c:v>
                </c:pt>
                <c:pt idx="1628">
                  <c:v>1.4038570713293353E-6</c:v>
                </c:pt>
                <c:pt idx="1629">
                  <c:v>1.4055455169778175E-6</c:v>
                </c:pt>
                <c:pt idx="1630">
                  <c:v>1.4072237881337285E-6</c:v>
                </c:pt>
                <c:pt idx="1631">
                  <c:v>1.4088926259897709E-6</c:v>
                </c:pt>
                <c:pt idx="1632">
                  <c:v>1.4105511457704025E-6</c:v>
                </c:pt>
                <c:pt idx="1633">
                  <c:v>1.4122000190676821E-6</c:v>
                </c:pt>
                <c:pt idx="1634">
                  <c:v>1.413839415349889E-6</c:v>
                </c:pt>
                <c:pt idx="1635">
                  <c:v>1.4154690125987554E-6</c:v>
                </c:pt>
                <c:pt idx="1636">
                  <c:v>1.4170889146722813E-6</c:v>
                </c:pt>
                <c:pt idx="1637">
                  <c:v>1.4186988743602702E-6</c:v>
                </c:pt>
                <c:pt idx="1638">
                  <c:v>1.4202994826818029E-6</c:v>
                </c:pt>
                <c:pt idx="1639">
                  <c:v>1.4218904166851112E-6</c:v>
                </c:pt>
                <c:pt idx="1640">
                  <c:v>1.4234718453869173E-6</c:v>
                </c:pt>
                <c:pt idx="1641">
                  <c:v>1.4250438644488586E-6</c:v>
                </c:pt>
                <c:pt idx="1642">
                  <c:v>1.4266062230417844E-6</c:v>
                </c:pt>
                <c:pt idx="1643">
                  <c:v>1.4281595034979208E-6</c:v>
                </c:pt>
                <c:pt idx="1644">
                  <c:v>1.4297033799198248E-6</c:v>
                </c:pt>
                <c:pt idx="1645">
                  <c:v>1.4312375330888494E-6</c:v>
                </c:pt>
                <c:pt idx="1646">
                  <c:v>1.4327626160489991E-6</c:v>
                </c:pt>
                <c:pt idx="1647">
                  <c:v>1.4342783045935139E-6</c:v>
                </c:pt>
                <c:pt idx="1648">
                  <c:v>1.4357846921089005E-6</c:v>
                </c:pt>
                <c:pt idx="1649">
                  <c:v>1.4372819390249335E-6</c:v>
                </c:pt>
                <c:pt idx="1650">
                  <c:v>1.4387702724037743E-6</c:v>
                </c:pt>
                <c:pt idx="1651">
                  <c:v>1.4402492982003257E-6</c:v>
                </c:pt>
                <c:pt idx="1652">
                  <c:v>1.4417195860885577E-6</c:v>
                </c:pt>
                <c:pt idx="1653">
                  <c:v>1.4431808768724834E-6</c:v>
                </c:pt>
                <c:pt idx="1654">
                  <c:v>1.4446332564101152E-6</c:v>
                </c:pt>
                <c:pt idx="1655">
                  <c:v>1.4460764698293036E-6</c:v>
                </c:pt>
                <c:pt idx="1656">
                  <c:v>1.4475110824820982E-6</c:v>
                </c:pt>
                <c:pt idx="1657">
                  <c:v>1.4489367658757485E-6</c:v>
                </c:pt>
                <c:pt idx="1658">
                  <c:v>1.4503536042085136E-6</c:v>
                </c:pt>
                <c:pt idx="1659">
                  <c:v>1.4517618170953095E-6</c:v>
                </c:pt>
                <c:pt idx="1660">
                  <c:v>1.453161009600659E-6</c:v>
                </c:pt>
                <c:pt idx="1661">
                  <c:v>1.4545518779120453E-6</c:v>
                </c:pt>
                <c:pt idx="1662">
                  <c:v>1.4559340229826256E-6</c:v>
                </c:pt>
                <c:pt idx="1663">
                  <c:v>1.4573075955806164E-6</c:v>
                </c:pt>
                <c:pt idx="1664">
                  <c:v>1.4586727417997954E-6</c:v>
                </c:pt>
                <c:pt idx="1665">
                  <c:v>1.460029065539706E-6</c:v>
                </c:pt>
                <c:pt idx="1666">
                  <c:v>1.4613772556936453E-6</c:v>
                </c:pt>
                <c:pt idx="1667">
                  <c:v>1.4627169122313962E-6</c:v>
                </c:pt>
                <c:pt idx="1668">
                  <c:v>1.4640481799457329E-6</c:v>
                </c:pt>
                <c:pt idx="1669">
                  <c:v>1.4653712010980282E-6</c:v>
                </c:pt>
                <c:pt idx="1670">
                  <c:v>1.4666856470120029E-6</c:v>
                </c:pt>
                <c:pt idx="1671">
                  <c:v>1.4679920633824757E-6</c:v>
                </c:pt>
                <c:pt idx="1672">
                  <c:v>1.4692901859230979E-6</c:v>
                </c:pt>
                <c:pt idx="1673">
                  <c:v>1.4705800876256916E-6</c:v>
                </c:pt>
                <c:pt idx="1674">
                  <c:v>1.471861975172388E-6</c:v>
                </c:pt>
                <c:pt idx="1675">
                  <c:v>1.473135916807183E-6</c:v>
                </c:pt>
                <c:pt idx="1676">
                  <c:v>1.47440197872125E-6</c:v>
                </c:pt>
                <c:pt idx="1677">
                  <c:v>1.4756598957934365E-6</c:v>
                </c:pt>
                <c:pt idx="1678">
                  <c:v>1.4769098058458953E-6</c:v>
                </c:pt>
                <c:pt idx="1679">
                  <c:v>1.4781517767135099E-6</c:v>
                </c:pt>
                <c:pt idx="1680">
                  <c:v>1.4793859417576469E-6</c:v>
                </c:pt>
                <c:pt idx="1681">
                  <c:v>1.4806124995338666E-6</c:v>
                </c:pt>
                <c:pt idx="1682">
                  <c:v>1.4818315111583848E-6</c:v>
                </c:pt>
                <c:pt idx="1683">
                  <c:v>1.4830425741542802E-6</c:v>
                </c:pt>
                <c:pt idx="1684">
                  <c:v>1.4842463500121813E-6</c:v>
                </c:pt>
                <c:pt idx="1685">
                  <c:v>1.4854425002137462E-6</c:v>
                </c:pt>
                <c:pt idx="1686">
                  <c:v>1.4866310859254674E-6</c:v>
                </c:pt>
                <c:pt idx="1687">
                  <c:v>1.4878122335575639E-6</c:v>
                </c:pt>
                <c:pt idx="1688">
                  <c:v>1.4889856064438238E-6</c:v>
                </c:pt>
                <c:pt idx="1689">
                  <c:v>1.490151793755938E-6</c:v>
                </c:pt>
                <c:pt idx="1690">
                  <c:v>1.4913104573547255E-6</c:v>
                </c:pt>
                <c:pt idx="1691">
                  <c:v>1.4924617234696716E-6</c:v>
                </c:pt>
                <c:pt idx="1692">
                  <c:v>1.4936056493164556E-6</c:v>
                </c:pt>
                <c:pt idx="1693">
                  <c:v>1.4947424239253531E-6</c:v>
                </c:pt>
                <c:pt idx="1694">
                  <c:v>1.4958721004409439E-6</c:v>
                </c:pt>
                <c:pt idx="1695">
                  <c:v>1.496994796958361E-6</c:v>
                </c:pt>
                <c:pt idx="1696">
                  <c:v>1.4981101743649977E-6</c:v>
                </c:pt>
                <c:pt idx="1697">
                  <c:v>1.4992188097010429E-6</c:v>
                </c:pt>
                <c:pt idx="1698">
                  <c:v>1.5003202942591082E-6</c:v>
                </c:pt>
                <c:pt idx="1699">
                  <c:v>1.5014148131087571E-6</c:v>
                </c:pt>
                <c:pt idx="1700">
                  <c:v>1.5025024161592486E-6</c:v>
                </c:pt>
                <c:pt idx="1701">
                  <c:v>1.5035832180319617E-6</c:v>
                </c:pt>
                <c:pt idx="1702">
                  <c:v>1.5046568791037227E-6</c:v>
                </c:pt>
                <c:pt idx="1703">
                  <c:v>1.5057239701543433E-6</c:v>
                </c:pt>
                <c:pt idx="1704">
                  <c:v>1.5067841486428567E-6</c:v>
                </c:pt>
                <c:pt idx="1705">
                  <c:v>1.5078375296640171E-6</c:v>
                </c:pt>
                <c:pt idx="1706">
                  <c:v>1.5088841585765349E-6</c:v>
                </c:pt>
                <c:pt idx="1707">
                  <c:v>1.509924146961537E-6</c:v>
                </c:pt>
                <c:pt idx="1708">
                  <c:v>1.5109576706090321E-6</c:v>
                </c:pt>
                <c:pt idx="1709">
                  <c:v>1.5119847711856569E-6</c:v>
                </c:pt>
                <c:pt idx="1710">
                  <c:v>1.5130055547733222E-6</c:v>
                </c:pt>
                <c:pt idx="1711">
                  <c:v>1.5140196116545567E-6</c:v>
                </c:pt>
                <c:pt idx="1712">
                  <c:v>1.5150271184984948E-6</c:v>
                </c:pt>
                <c:pt idx="1713">
                  <c:v>1.5160286312870147E-6</c:v>
                </c:pt>
                <c:pt idx="1714">
                  <c:v>1.5170237364660932E-6</c:v>
                </c:pt>
                <c:pt idx="1715">
                  <c:v>1.5180125395378233E-6</c:v>
                </c:pt>
                <c:pt idx="1716">
                  <c:v>1.5189951442699934E-6</c:v>
                </c:pt>
                <c:pt idx="1717">
                  <c:v>1.5199712057308254E-6</c:v>
                </c:pt>
                <c:pt idx="1718">
                  <c:v>1.5209412772590066E-6</c:v>
                </c:pt>
                <c:pt idx="1719">
                  <c:v>1.5219050130268955E-6</c:v>
                </c:pt>
                <c:pt idx="1720">
                  <c:v>1.5228628965397988E-6</c:v>
                </c:pt>
                <c:pt idx="1721">
                  <c:v>1.5238146451897906E-6</c:v>
                </c:pt>
                <c:pt idx="1722">
                  <c:v>1.5247602951967436E-6</c:v>
                </c:pt>
                <c:pt idx="1723">
                  <c:v>1.5256999467417231E-6</c:v>
                </c:pt>
                <c:pt idx="1724">
                  <c:v>1.5266336983717822E-6</c:v>
                </c:pt>
                <c:pt idx="1725">
                  <c:v>1.5275616470211111E-6</c:v>
                </c:pt>
                <c:pt idx="1726">
                  <c:v>1.5284838864884435E-6</c:v>
                </c:pt>
                <c:pt idx="1727">
                  <c:v>1.5294005106159692E-6</c:v>
                </c:pt>
                <c:pt idx="1728">
                  <c:v>1.530311105978976E-6</c:v>
                </c:pt>
                <c:pt idx="1729">
                  <c:v>1.5312157713709587E-6</c:v>
                </c:pt>
                <c:pt idx="1730">
                  <c:v>1.5321151088039822E-6</c:v>
                </c:pt>
                <c:pt idx="1731">
                  <c:v>1.533008701585202E-6</c:v>
                </c:pt>
                <c:pt idx="1732">
                  <c:v>1.5338966438824375E-6</c:v>
                </c:pt>
                <c:pt idx="1733">
                  <c:v>1.5347790268312987E-6</c:v>
                </c:pt>
                <c:pt idx="1734">
                  <c:v>1.5356558766881935E-6</c:v>
                </c:pt>
                <c:pt idx="1735">
                  <c:v>1.5365273482771355E-6</c:v>
                </c:pt>
                <c:pt idx="1736">
                  <c:v>1.5373935298684688E-6</c:v>
                </c:pt>
                <c:pt idx="1737">
                  <c:v>1.538254006740865E-6</c:v>
                </c:pt>
                <c:pt idx="1738">
                  <c:v>1.5391093085240871E-6</c:v>
                </c:pt>
                <c:pt idx="1739">
                  <c:v>1.5399590834430219E-6</c:v>
                </c:pt>
                <c:pt idx="1740">
                  <c:v>1.5408034204874402E-6</c:v>
                </c:pt>
                <c:pt idx="1741">
                  <c:v>1.541642843799744E-6</c:v>
                </c:pt>
                <c:pt idx="1742">
                  <c:v>1.5424769986734842E-6</c:v>
                </c:pt>
                <c:pt idx="1743">
                  <c:v>1.5433059068168527E-6</c:v>
                </c:pt>
                <c:pt idx="1744">
                  <c:v>1.5441297179219486E-6</c:v>
                </c:pt>
                <c:pt idx="1745">
                  <c:v>1.5449484510146479E-6</c:v>
                </c:pt>
                <c:pt idx="1746">
                  <c:v>1.5457617540322309E-6</c:v>
                </c:pt>
                <c:pt idx="1747">
                  <c:v>1.5465702128639421E-6</c:v>
                </c:pt>
                <c:pt idx="1748">
                  <c:v>1.5473737781789429E-6</c:v>
                </c:pt>
                <c:pt idx="1749">
                  <c:v>1.5481721611928222E-6</c:v>
                </c:pt>
                <c:pt idx="1750">
                  <c:v>1.5489658781284987E-6</c:v>
                </c:pt>
                <c:pt idx="1751">
                  <c:v>1.5497545738218731E-6</c:v>
                </c:pt>
                <c:pt idx="1752">
                  <c:v>1.5505383939542244E-6</c:v>
                </c:pt>
                <c:pt idx="1753">
                  <c:v>1.5513174386386089E-6</c:v>
                </c:pt>
                <c:pt idx="1754">
                  <c:v>1.5520916788427506E-6</c:v>
                </c:pt>
                <c:pt idx="1755">
                  <c:v>1.5528611494831188E-6</c:v>
                </c:pt>
                <c:pt idx="1756">
                  <c:v>1.5536258850349001E-6</c:v>
                </c:pt>
                <c:pt idx="1757">
                  <c:v>1.5543859610129809E-6</c:v>
                </c:pt>
                <c:pt idx="1758">
                  <c:v>1.5551413675069964E-6</c:v>
                </c:pt>
                <c:pt idx="1759">
                  <c:v>1.5558921164733146E-6</c:v>
                </c:pt>
                <c:pt idx="1760">
                  <c:v>1.556638346957203E-6</c:v>
                </c:pt>
                <c:pt idx="1761">
                  <c:v>1.5573799831659431E-6</c:v>
                </c:pt>
                <c:pt idx="1762">
                  <c:v>1.5581171618593487E-6</c:v>
                </c:pt>
                <c:pt idx="1763">
                  <c:v>1.5588498493075213E-6</c:v>
                </c:pt>
                <c:pt idx="1764">
                  <c:v>1.5595780755212506E-6</c:v>
                </c:pt>
                <c:pt idx="1765">
                  <c:v>1.5603019127073236E-6</c:v>
                </c:pt>
                <c:pt idx="1766">
                  <c:v>1.5610213468928802E-6</c:v>
                </c:pt>
                <c:pt idx="1767">
                  <c:v>1.5617363843284346E-6</c:v>
                </c:pt>
                <c:pt idx="1768">
                  <c:v>1.5624471593492596E-6</c:v>
                </c:pt>
                <c:pt idx="1769">
                  <c:v>1.5631535926258438E-6</c:v>
                </c:pt>
                <c:pt idx="1770">
                  <c:v>1.563855817721489E-6</c:v>
                </c:pt>
                <c:pt idx="1771">
                  <c:v>1.5645537958142051E-6</c:v>
                </c:pt>
                <c:pt idx="1772">
                  <c:v>1.5652475953306245E-6</c:v>
                </c:pt>
                <c:pt idx="1773">
                  <c:v>1.5659372413671447E-6</c:v>
                </c:pt>
                <c:pt idx="1774">
                  <c:v>1.5666227587404344E-6</c:v>
                </c:pt>
                <c:pt idx="1775">
                  <c:v>1.5673041719900352E-6</c:v>
                </c:pt>
                <c:pt idx="1776">
                  <c:v>1.5679815462229827E-6</c:v>
                </c:pt>
                <c:pt idx="1777">
                  <c:v>1.5686548411947694E-6</c:v>
                </c:pt>
                <c:pt idx="1778">
                  <c:v>1.5693241857172613E-6</c:v>
                </c:pt>
                <c:pt idx="1779">
                  <c:v>1.5699895383650995E-6</c:v>
                </c:pt>
                <c:pt idx="1780">
                  <c:v>1.5706509198392049E-6</c:v>
                </c:pt>
                <c:pt idx="1781">
                  <c:v>1.5713084154139738E-6</c:v>
                </c:pt>
                <c:pt idx="1782">
                  <c:v>1.5719620250431395E-6</c:v>
                </c:pt>
                <c:pt idx="1783">
                  <c:v>1.5726117478477567E-6</c:v>
                </c:pt>
                <c:pt idx="1784">
                  <c:v>1.5732576657650227E-6</c:v>
                </c:pt>
                <c:pt idx="1785">
                  <c:v>1.5738997983633636E-6</c:v>
                </c:pt>
                <c:pt idx="1786">
                  <c:v>1.5745381650151159E-6</c:v>
                </c:pt>
                <c:pt idx="1787">
                  <c:v>1.5751727633542304E-6</c:v>
                </c:pt>
                <c:pt idx="1788">
                  <c:v>1.575803652245681E-6</c:v>
                </c:pt>
                <c:pt idx="1789">
                  <c:v>1.5764308708235183E-6</c:v>
                </c:pt>
                <c:pt idx="1790">
                  <c:v>1.5770544571600494E-6</c:v>
                </c:pt>
                <c:pt idx="1791">
                  <c:v>1.5776743861530114E-6</c:v>
                </c:pt>
                <c:pt idx="1792">
                  <c:v>1.5782907152404674E-6</c:v>
                </c:pt>
                <c:pt idx="1793">
                  <c:v>1.5789035022444586E-6</c:v>
                </c:pt>
                <c:pt idx="1794">
                  <c:v>1.5795126994570836E-6</c:v>
                </c:pt>
                <c:pt idx="1795">
                  <c:v>1.5801183854131871E-6</c:v>
                </c:pt>
                <c:pt idx="1796">
                  <c:v>1.5807206155120618E-6</c:v>
                </c:pt>
                <c:pt idx="1797">
                  <c:v>1.581319341088445E-6</c:v>
                </c:pt>
                <c:pt idx="1798">
                  <c:v>1.5819146179270357E-6</c:v>
                </c:pt>
                <c:pt idx="1799">
                  <c:v>1.5825064584113078E-6</c:v>
                </c:pt>
                <c:pt idx="1800">
                  <c:v>1.5830949803916853E-6</c:v>
                </c:pt>
                <c:pt idx="1801">
                  <c:v>1.5836801335184428E-6</c:v>
                </c:pt>
                <c:pt idx="1802">
                  <c:v>1.5842619087426536E-6</c:v>
                </c:pt>
                <c:pt idx="1803">
                  <c:v>1.5848403797815394E-6</c:v>
                </c:pt>
                <c:pt idx="1804">
                  <c:v>1.5854155996690944E-6</c:v>
                </c:pt>
                <c:pt idx="1805">
                  <c:v>1.5859875166102133E-6</c:v>
                </c:pt>
                <c:pt idx="1806">
                  <c:v>1.5865562034259873E-6</c:v>
                </c:pt>
                <c:pt idx="1807">
                  <c:v>1.5871216904567815E-6</c:v>
                </c:pt>
                <c:pt idx="1808">
                  <c:v>1.5876840091453466E-6</c:v>
                </c:pt>
                <c:pt idx="1809">
                  <c:v>1.5882431889396114E-6</c:v>
                </c:pt>
                <c:pt idx="1810">
                  <c:v>1.5887991965779623E-6</c:v>
                </c:pt>
                <c:pt idx="1811">
                  <c:v>1.5893521235688593E-6</c:v>
                </c:pt>
                <c:pt idx="1812">
                  <c:v>1.5899019371875297E-6</c:v>
                </c:pt>
                <c:pt idx="1813">
                  <c:v>1.5904486642026564E-6</c:v>
                </c:pt>
                <c:pt idx="1814">
                  <c:v>1.5909923749233455E-6</c:v>
                </c:pt>
                <c:pt idx="1815">
                  <c:v>1.5915330768657689E-6</c:v>
                </c:pt>
                <c:pt idx="1816">
                  <c:v>1.5920707545280844E-6</c:v>
                </c:pt>
                <c:pt idx="1817">
                  <c:v>1.5926054556355064E-6</c:v>
                </c:pt>
                <c:pt idx="1818">
                  <c:v>1.5931372490839469E-6</c:v>
                </c:pt>
                <c:pt idx="1819">
                  <c:v>1.5936660784923458E-6</c:v>
                </c:pt>
                <c:pt idx="1820">
                  <c:v>1.5941919897117865E-6</c:v>
                </c:pt>
                <c:pt idx="1821">
                  <c:v>1.5947150290685497E-6</c:v>
                </c:pt>
                <c:pt idx="1822">
                  <c:v>1.5952352421833129E-6</c:v>
                </c:pt>
                <c:pt idx="1823">
                  <c:v>1.5957526323038618E-6</c:v>
                </c:pt>
                <c:pt idx="1824">
                  <c:v>1.5962671414272822E-6</c:v>
                </c:pt>
                <c:pt idx="1825">
                  <c:v>1.5967788771654105E-6</c:v>
                </c:pt>
                <c:pt idx="1826">
                  <c:v>1.5972878203063335E-6</c:v>
                </c:pt>
                <c:pt idx="1827">
                  <c:v>1.5977940366946125E-6</c:v>
                </c:pt>
                <c:pt idx="1828">
                  <c:v>1.5982975076914001E-6</c:v>
                </c:pt>
                <c:pt idx="1829">
                  <c:v>1.5987982754084796E-6</c:v>
                </c:pt>
                <c:pt idx="1830">
                  <c:v>1.5992963421327103E-6</c:v>
                </c:pt>
                <c:pt idx="1831">
                  <c:v>1.5997917102467988E-6</c:v>
                </c:pt>
                <c:pt idx="1832">
                  <c:v>1.6002844616719911E-6</c:v>
                </c:pt>
                <c:pt idx="1833">
                  <c:v>1.6007745976104671E-6</c:v>
                </c:pt>
                <c:pt idx="1834">
                  <c:v>1.6012621193704437E-6</c:v>
                </c:pt>
                <c:pt idx="1835">
                  <c:v>1.6017470051753269E-6</c:v>
                </c:pt>
                <c:pt idx="1836">
                  <c:v>1.6022293584183649E-6</c:v>
                </c:pt>
                <c:pt idx="1837">
                  <c:v>1.6027091572526875E-6</c:v>
                </c:pt>
                <c:pt idx="1838">
                  <c:v>1.603186400415751E-6</c:v>
                </c:pt>
                <c:pt idx="1839">
                  <c:v>1.6036611501229412E-6</c:v>
                </c:pt>
                <c:pt idx="1840">
                  <c:v>1.6041334242541894E-6</c:v>
                </c:pt>
                <c:pt idx="1841">
                  <c:v>1.604603220589444E-6</c:v>
                </c:pt>
                <c:pt idx="1842">
                  <c:v>1.6050705381743869E-6</c:v>
                </c:pt>
                <c:pt idx="1843">
                  <c:v>1.6055354560780242E-6</c:v>
                </c:pt>
                <c:pt idx="1844">
                  <c:v>1.6059979090479657E-6</c:v>
                </c:pt>
                <c:pt idx="1845">
                  <c:v>1.6064579574539608E-6</c:v>
                </c:pt>
                <c:pt idx="1846">
                  <c:v>1.606915638409572E-6</c:v>
                </c:pt>
                <c:pt idx="1847">
                  <c:v>1.6073709274689828E-6</c:v>
                </c:pt>
                <c:pt idx="1848">
                  <c:v>1.607823923872258E-6</c:v>
                </c:pt>
                <c:pt idx="1849">
                  <c:v>1.6082745612828858E-6</c:v>
                </c:pt>
                <c:pt idx="1850">
                  <c:v>1.6087228765183993E-6</c:v>
                </c:pt>
                <c:pt idx="1851">
                  <c:v>1.6091689058539786E-6</c:v>
                </c:pt>
                <c:pt idx="1852">
                  <c:v>1.6096126443196886E-6</c:v>
                </c:pt>
                <c:pt idx="1853">
                  <c:v>1.6100541278671944E-6</c:v>
                </c:pt>
                <c:pt idx="1854">
                  <c:v>1.6104933522944881E-6</c:v>
                </c:pt>
                <c:pt idx="1855">
                  <c:v>1.6109303917497452E-6</c:v>
                </c:pt>
                <c:pt idx="1856">
                  <c:v>1.6113652410722771E-6</c:v>
                </c:pt>
                <c:pt idx="1857">
                  <c:v>1.6117978719001518E-6</c:v>
                </c:pt>
                <c:pt idx="1858">
                  <c:v>1.6122283408532009E-6</c:v>
                </c:pt>
                <c:pt idx="1859">
                  <c:v>1.61265662034194E-6</c:v>
                </c:pt>
                <c:pt idx="1860">
                  <c:v>1.6130827432533847E-6</c:v>
                </c:pt>
                <c:pt idx="1861">
                  <c:v>1.6135067654789605E-6</c:v>
                </c:pt>
                <c:pt idx="1862">
                  <c:v>1.6139286981011934E-6</c:v>
                </c:pt>
                <c:pt idx="1863">
                  <c:v>1.6143484938391951E-6</c:v>
                </c:pt>
                <c:pt idx="1864">
                  <c:v>1.6147662254257708E-6</c:v>
                </c:pt>
                <c:pt idx="1865">
                  <c:v>1.6151818847732038E-6</c:v>
                </c:pt>
                <c:pt idx="1866">
                  <c:v>1.6155955043547499E-6</c:v>
                </c:pt>
                <c:pt idx="1867">
                  <c:v>1.6160070543864899E-6</c:v>
                </c:pt>
                <c:pt idx="1868">
                  <c:v>1.6164166272704671E-6</c:v>
                </c:pt>
                <c:pt idx="1869">
                  <c:v>1.6168241531741303E-6</c:v>
                </c:pt>
                <c:pt idx="1870">
                  <c:v>1.617229724293953E-6</c:v>
                </c:pt>
                <c:pt idx="1871">
                  <c:v>1.6176333098381103E-6</c:v>
                </c:pt>
                <c:pt idx="1872">
                  <c:v>1.6180349012619139E-6</c:v>
                </c:pt>
                <c:pt idx="1873">
                  <c:v>1.6184345901023452E-6</c:v>
                </c:pt>
                <c:pt idx="1874">
                  <c:v>1.6188323449860824E-6</c:v>
                </c:pt>
                <c:pt idx="1875">
                  <c:v>1.6192281948969334E-6</c:v>
                </c:pt>
                <c:pt idx="1876">
                  <c:v>1.6196221303865737E-6</c:v>
                </c:pt>
                <c:pt idx="1877">
                  <c:v>1.6200141812665173E-6</c:v>
                </c:pt>
                <c:pt idx="1878">
                  <c:v>1.6204043143278945E-6</c:v>
                </c:pt>
                <c:pt idx="1879">
                  <c:v>1.6207925813502215E-6</c:v>
                </c:pt>
                <c:pt idx="1880">
                  <c:v>1.6211790495434358E-6</c:v>
                </c:pt>
                <c:pt idx="1881">
                  <c:v>1.6215636466363575E-6</c:v>
                </c:pt>
                <c:pt idx="1882">
                  <c:v>1.6219464627595756E-6</c:v>
                </c:pt>
                <c:pt idx="1883">
                  <c:v>1.6223274246357843E-6</c:v>
                </c:pt>
                <c:pt idx="1884">
                  <c:v>1.6227065995166287E-6</c:v>
                </c:pt>
                <c:pt idx="1885">
                  <c:v>1.6230839750657645E-6</c:v>
                </c:pt>
                <c:pt idx="1886">
                  <c:v>1.6234596405085344E-6</c:v>
                </c:pt>
                <c:pt idx="1887">
                  <c:v>1.6238335218854211E-6</c:v>
                </c:pt>
                <c:pt idx="1888">
                  <c:v>1.624205685496211E-6</c:v>
                </c:pt>
                <c:pt idx="1889">
                  <c:v>1.6245760577245555E-6</c:v>
                </c:pt>
                <c:pt idx="1890">
                  <c:v>1.624944726048514E-6</c:v>
                </c:pt>
                <c:pt idx="1891">
                  <c:v>1.6253116783570874E-6</c:v>
                </c:pt>
                <c:pt idx="1892">
                  <c:v>1.6256769176565329E-6</c:v>
                </c:pt>
                <c:pt idx="1893">
                  <c:v>1.6260404926864922E-6</c:v>
                </c:pt>
                <c:pt idx="1894">
                  <c:v>1.6264023671853622E-6</c:v>
                </c:pt>
                <c:pt idx="1895">
                  <c:v>1.6267626284021321E-6</c:v>
                </c:pt>
                <c:pt idx="1896">
                  <c:v>1.6271212018238363E-6</c:v>
                </c:pt>
                <c:pt idx="1897">
                  <c:v>1.6274781507711426E-6</c:v>
                </c:pt>
                <c:pt idx="1898">
                  <c:v>1.627833461583185E-6</c:v>
                </c:pt>
                <c:pt idx="1899">
                  <c:v>1.6281871584543996E-6</c:v>
                </c:pt>
                <c:pt idx="1900">
                  <c:v>1.6285392661655789E-6</c:v>
                </c:pt>
                <c:pt idx="1901">
                  <c:v>1.6288897698879563E-6</c:v>
                </c:pt>
                <c:pt idx="1902">
                  <c:v>1.6292386944132083E-6</c:v>
                </c:pt>
                <c:pt idx="1903">
                  <c:v>1.6295861024803253E-6</c:v>
                </c:pt>
                <c:pt idx="1904">
                  <c:v>1.6299319400387137E-6</c:v>
                </c:pt>
                <c:pt idx="1905">
                  <c:v>1.6302762084988463E-6</c:v>
                </c:pt>
                <c:pt idx="1906">
                  <c:v>1.6306189917826304E-6</c:v>
                </c:pt>
                <c:pt idx="1907">
                  <c:v>1.6309602135457471E-6</c:v>
                </c:pt>
                <c:pt idx="1908">
                  <c:v>1.6312998964785497E-6</c:v>
                </c:pt>
                <c:pt idx="1909">
                  <c:v>1.6316381251208412E-6</c:v>
                </c:pt>
                <c:pt idx="1910">
                  <c:v>1.6319748602146234E-6</c:v>
                </c:pt>
                <c:pt idx="1911">
                  <c:v>1.6323100863092767E-6</c:v>
                </c:pt>
                <c:pt idx="1912">
                  <c:v>1.6326438636309278E-6</c:v>
                </c:pt>
                <c:pt idx="1913">
                  <c:v>1.6329761761754744E-6</c:v>
                </c:pt>
                <c:pt idx="1914">
                  <c:v>1.6333070463588144E-6</c:v>
                </c:pt>
                <c:pt idx="1915">
                  <c:v>1.6336364574030029E-6</c:v>
                </c:pt>
                <c:pt idx="1916">
                  <c:v>1.6339644086072129E-6</c:v>
                </c:pt>
                <c:pt idx="1917">
                  <c:v>1.6342909439148579E-6</c:v>
                </c:pt>
                <c:pt idx="1918">
                  <c:v>1.6346160852466306E-6</c:v>
                </c:pt>
                <c:pt idx="1919">
                  <c:v>1.6349398301154541E-6</c:v>
                </c:pt>
                <c:pt idx="1920">
                  <c:v>1.6352621846303561E-6</c:v>
                </c:pt>
                <c:pt idx="1921">
                  <c:v>1.6355831463951048E-6</c:v>
                </c:pt>
                <c:pt idx="1922">
                  <c:v>1.6359027362704011E-6</c:v>
                </c:pt>
                <c:pt idx="1923">
                  <c:v>1.6362209361670762E-6</c:v>
                </c:pt>
                <c:pt idx="1924">
                  <c:v>1.6365377670861486E-6</c:v>
                </c:pt>
                <c:pt idx="1925">
                  <c:v>1.636853309986213E-6</c:v>
                </c:pt>
                <c:pt idx="1926">
                  <c:v>1.6371674630729444E-6</c:v>
                </c:pt>
                <c:pt idx="1927">
                  <c:v>1.637480269936567E-6</c:v>
                </c:pt>
                <c:pt idx="1928">
                  <c:v>1.6377917880059604E-6</c:v>
                </c:pt>
                <c:pt idx="1929">
                  <c:v>1.6381019992407555E-6</c:v>
                </c:pt>
                <c:pt idx="1930">
                  <c:v>1.6384109228393568E-6</c:v>
                </c:pt>
                <c:pt idx="1931">
                  <c:v>1.6387185175498017E-6</c:v>
                </c:pt>
                <c:pt idx="1932">
                  <c:v>1.6390248631589898E-6</c:v>
                </c:pt>
                <c:pt idx="1933">
                  <c:v>1.6393299179295849E-6</c:v>
                </c:pt>
                <c:pt idx="1934">
                  <c:v>1.6396337235694236E-6</c:v>
                </c:pt>
                <c:pt idx="1935">
                  <c:v>1.6399362385290198E-6</c:v>
                </c:pt>
                <c:pt idx="1936">
                  <c:v>1.6402375187625866E-6</c:v>
                </c:pt>
                <c:pt idx="1937">
                  <c:v>1.6405375451391884E-6</c:v>
                </c:pt>
                <c:pt idx="1938">
                  <c:v>1.6408362981557393E-6</c:v>
                </c:pt>
                <c:pt idx="1939">
                  <c:v>1.6411338344878922E-6</c:v>
                </c:pt>
                <c:pt idx="1940">
                  <c:v>1.6414301716252902E-6</c:v>
                </c:pt>
                <c:pt idx="1941">
                  <c:v>1.6417252902436818E-6</c:v>
                </c:pt>
                <c:pt idx="1942">
                  <c:v>1.6420192080335587E-6</c:v>
                </c:pt>
                <c:pt idx="1943">
                  <c:v>1.6423119432653169E-6</c:v>
                </c:pt>
                <c:pt idx="1944">
                  <c:v>1.6426035131538719E-6</c:v>
                </c:pt>
                <c:pt idx="1945">
                  <c:v>1.6428938745906716E-6</c:v>
                </c:pt>
                <c:pt idx="1946">
                  <c:v>1.6431831053091946E-6</c:v>
                </c:pt>
                <c:pt idx="1947">
                  <c:v>1.6434711245040071E-6</c:v>
                </c:pt>
                <c:pt idx="1948">
                  <c:v>1.6437580473637132E-6</c:v>
                </c:pt>
                <c:pt idx="1949">
                  <c:v>1.6440437926966798E-6</c:v>
                </c:pt>
                <c:pt idx="1950">
                  <c:v>1.6443283771258109E-6</c:v>
                </c:pt>
                <c:pt idx="1951">
                  <c:v>1.644611817864387E-6</c:v>
                </c:pt>
                <c:pt idx="1952">
                  <c:v>1.6448941311150304E-6</c:v>
                </c:pt>
                <c:pt idx="1953">
                  <c:v>1.645175296530485E-6</c:v>
                </c:pt>
                <c:pt idx="1954">
                  <c:v>1.6454553676751669E-6</c:v>
                </c:pt>
                <c:pt idx="1955">
                  <c:v>1.6457343238189371E-6</c:v>
                </c:pt>
                <c:pt idx="1956">
                  <c:v>1.6460121809898176E-6</c:v>
                </c:pt>
                <c:pt idx="1957">
                  <c:v>1.6462889557916286E-6</c:v>
                </c:pt>
                <c:pt idx="1958">
                  <c:v>1.6465646638289783E-6</c:v>
                </c:pt>
                <c:pt idx="1959">
                  <c:v>1.6468392604967018E-6</c:v>
                </c:pt>
                <c:pt idx="1960">
                  <c:v>1.6471128218483059E-6</c:v>
                </c:pt>
                <c:pt idx="1961">
                  <c:v>1.6473853029008989E-6</c:v>
                </c:pt>
                <c:pt idx="1962">
                  <c:v>1.6476567423595991E-6</c:v>
                </c:pt>
                <c:pt idx="1963">
                  <c:v>1.6479270955261358E-6</c:v>
                </c:pt>
                <c:pt idx="1964">
                  <c:v>1.6481964144562974E-6</c:v>
                </c:pt>
                <c:pt idx="1965">
                  <c:v>1.648464738086727E-6</c:v>
                </c:pt>
                <c:pt idx="1966">
                  <c:v>1.6487320203911226E-6</c:v>
                </c:pt>
                <c:pt idx="1967">
                  <c:v>1.6489982391295457E-6</c:v>
                </c:pt>
                <c:pt idx="1968">
                  <c:v>1.6492634469549094E-6</c:v>
                </c:pt>
                <c:pt idx="1969">
                  <c:v>1.64952765808866E-6</c:v>
                </c:pt>
                <c:pt idx="1970">
                  <c:v>1.6497908505568512E-6</c:v>
                </c:pt>
                <c:pt idx="1971">
                  <c:v>1.6500529781845566E-6</c:v>
                </c:pt>
                <c:pt idx="1972">
                  <c:v>1.6503141535579104E-6</c:v>
                </c:pt>
                <c:pt idx="1973">
                  <c:v>1.6505743534698487E-6</c:v>
                </c:pt>
                <c:pt idx="1974">
                  <c:v>1.6508335926567502E-6</c:v>
                </c:pt>
                <c:pt idx="1975">
                  <c:v>1.6510918242561726E-6</c:v>
                </c:pt>
                <c:pt idx="1976">
                  <c:v>1.6513490867166595E-6</c:v>
                </c:pt>
                <c:pt idx="1977">
                  <c:v>1.6516053701300488E-6</c:v>
                </c:pt>
                <c:pt idx="1978">
                  <c:v>1.651860651976988E-6</c:v>
                </c:pt>
                <c:pt idx="1979">
                  <c:v>1.6521150433180628E-6</c:v>
                </c:pt>
                <c:pt idx="1980">
                  <c:v>1.6523684606374126E-6</c:v>
                </c:pt>
                <c:pt idx="1981">
                  <c:v>1.6526209174280907E-6</c:v>
                </c:pt>
                <c:pt idx="1982">
                  <c:v>1.6528724270345201E-6</c:v>
                </c:pt>
                <c:pt idx="1983">
                  <c:v>1.6531230033717846E-6</c:v>
                </c:pt>
                <c:pt idx="1984">
                  <c:v>1.6533726594556065E-6</c:v>
                </c:pt>
                <c:pt idx="1985">
                  <c:v>1.6536214088700499E-6</c:v>
                </c:pt>
                <c:pt idx="1986">
                  <c:v>1.6538692278575029E-6</c:v>
                </c:pt>
                <c:pt idx="1987">
                  <c:v>1.6541161667543611E-6</c:v>
                </c:pt>
                <c:pt idx="1988">
                  <c:v>1.654362140946336E-6</c:v>
                </c:pt>
                <c:pt idx="1989">
                  <c:v>1.6546072610392845E-6</c:v>
                </c:pt>
                <c:pt idx="1990">
                  <c:v>1.654851502720495E-6</c:v>
                </c:pt>
                <c:pt idx="1991">
                  <c:v>1.6550948187140027E-6</c:v>
                </c:pt>
                <c:pt idx="1992">
                  <c:v>1.6553372820226856E-6</c:v>
                </c:pt>
                <c:pt idx="1993">
                  <c:v>1.655578844371363E-6</c:v>
                </c:pt>
                <c:pt idx="1994">
                  <c:v>1.6558195186475514E-6</c:v>
                </c:pt>
                <c:pt idx="1995">
                  <c:v>1.6560593411307128E-6</c:v>
                </c:pt>
                <c:pt idx="1996">
                  <c:v>1.6562983007290863E-6</c:v>
                </c:pt>
                <c:pt idx="1997">
                  <c:v>1.6565363729300925E-6</c:v>
                </c:pt>
                <c:pt idx="1998">
                  <c:v>1.6567736068802035E-6</c:v>
                </c:pt>
                <c:pt idx="1999">
                  <c:v>1.6570099778190752E-6</c:v>
                </c:pt>
              </c:numCache>
            </c:numRef>
          </c:yVal>
          <c:smooth val="0"/>
        </c:ser>
        <c:ser>
          <c:idx val="2"/>
          <c:order val="1"/>
          <c:tx>
            <c:v>SMXn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MODEL!$A$2:$A$2002</c:f>
              <c:numCache>
                <c:formatCode>0.00E+00</c:formatCode>
                <c:ptCount val="20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</c:numCache>
            </c:numRef>
          </c:xVal>
          <c:yVal>
            <c:numRef>
              <c:f>MODEL!$O$2:$O$2002</c:f>
              <c:numCache>
                <c:formatCode>0.00E+00</c:formatCode>
                <c:ptCount val="2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2.9939869619999887E-11</c:v>
                </c:pt>
                <c:pt idx="64">
                  <c:v>1.7290454577604061E-10</c:v>
                </c:pt>
                <c:pt idx="65">
                  <c:v>4.8200996450615117E-10</c:v>
                </c:pt>
                <c:pt idx="66">
                  <c:v>9.9832258930232101E-10</c:v>
                </c:pt>
                <c:pt idx="67">
                  <c:v>1.7552283566133887E-9</c:v>
                </c:pt>
                <c:pt idx="68">
                  <c:v>2.7802963097607557E-9</c:v>
                </c:pt>
                <c:pt idx="69">
                  <c:v>4.0962571365517927E-9</c:v>
                </c:pt>
                <c:pt idx="70">
                  <c:v>5.7215640140579327E-9</c:v>
                </c:pt>
                <c:pt idx="71">
                  <c:v>7.6707914417061646E-9</c:v>
                </c:pt>
                <c:pt idx="72">
                  <c:v>9.9549672528326725E-9</c:v>
                </c:pt>
                <c:pt idx="73">
                  <c:v>1.2581801328318662E-8</c:v>
                </c:pt>
                <c:pt idx="74">
                  <c:v>1.5555902723241089E-8</c:v>
                </c:pt>
                <c:pt idx="75">
                  <c:v>1.887905007596868E-8</c:v>
                </c:pt>
                <c:pt idx="76">
                  <c:v>2.2550273683306314E-8</c:v>
                </c:pt>
                <c:pt idx="77">
                  <c:v>2.6565948954596183E-8</c:v>
                </c:pt>
                <c:pt idx="78">
                  <c:v>3.0920718920523894E-8</c:v>
                </c:pt>
                <c:pt idx="79">
                  <c:v>3.5606379035935313E-8</c:v>
                </c:pt>
                <c:pt idx="80">
                  <c:v>4.0612983758418318E-8</c:v>
                </c:pt>
                <c:pt idx="81">
                  <c:v>4.5929289484663044E-8</c:v>
                </c:pt>
                <c:pt idx="82">
                  <c:v>5.1541683726161062E-8</c:v>
                </c:pt>
                <c:pt idx="83">
                  <c:v>5.7436069394882092E-8</c:v>
                </c:pt>
                <c:pt idx="84">
                  <c:v>6.3596443753494174E-8</c:v>
                </c:pt>
                <c:pt idx="85">
                  <c:v>7.0006299292070524E-8</c:v>
                </c:pt>
                <c:pt idx="86">
                  <c:v>7.6648044418995118E-8</c:v>
                </c:pt>
                <c:pt idx="87">
                  <c:v>8.3503510935079706E-8</c:v>
                </c:pt>
                <c:pt idx="88">
                  <c:v>9.0554455501186378E-8</c:v>
                </c:pt>
                <c:pt idx="89">
                  <c:v>9.778165218974388E-8</c:v>
                </c:pt>
                <c:pt idx="90">
                  <c:v>1.0516595968794568E-7</c:v>
                </c:pt>
                <c:pt idx="91">
                  <c:v>1.1268846271300429E-7</c:v>
                </c:pt>
                <c:pt idx="92">
                  <c:v>1.2033034132704526E-7</c:v>
                </c:pt>
                <c:pt idx="93">
                  <c:v>1.2807286956278353E-7</c:v>
                </c:pt>
                <c:pt idx="94">
                  <c:v>1.3589770813191282E-7</c:v>
                </c:pt>
                <c:pt idx="95">
                  <c:v>1.437871986108287E-7</c:v>
                </c:pt>
                <c:pt idx="96">
                  <c:v>1.517240114844894E-7</c:v>
                </c:pt>
                <c:pt idx="97">
                  <c:v>1.5969169344140705E-7</c:v>
                </c:pt>
                <c:pt idx="98">
                  <c:v>1.6767439067039154E-7</c:v>
                </c:pt>
                <c:pt idx="99">
                  <c:v>1.756572255138024E-7</c:v>
                </c:pt>
                <c:pt idx="100">
                  <c:v>1.8362581741862717E-7</c:v>
                </c:pt>
                <c:pt idx="101">
                  <c:v>1.9156690861700145E-7</c:v>
                </c:pt>
                <c:pt idx="102">
                  <c:v>1.9946801811052079E-7</c:v>
                </c:pt>
                <c:pt idx="103">
                  <c:v>2.0731775347623864E-7</c:v>
                </c:pt>
                <c:pt idx="104">
                  <c:v>2.1510563175410775E-7</c:v>
                </c:pt>
                <c:pt idx="105">
                  <c:v>2.2282193347410343E-7</c:v>
                </c:pt>
                <c:pt idx="106">
                  <c:v>2.3045800442293925E-7</c:v>
                </c:pt>
                <c:pt idx="107">
                  <c:v>2.3800610501904906E-7</c:v>
                </c:pt>
                <c:pt idx="108">
                  <c:v>2.454592286849852E-7</c:v>
                </c:pt>
                <c:pt idx="109">
                  <c:v>2.5281136181921274E-7</c:v>
                </c:pt>
                <c:pt idx="110">
                  <c:v>2.6005719333647113E-7</c:v>
                </c:pt>
                <c:pt idx="111">
                  <c:v>2.6719243934299366E-7</c:v>
                </c:pt>
                <c:pt idx="112">
                  <c:v>2.7421347265088379E-7</c:v>
                </c:pt>
                <c:pt idx="113">
                  <c:v>2.8111720694075936E-7</c:v>
                </c:pt>
                <c:pt idx="114">
                  <c:v>2.8790136287919314E-7</c:v>
                </c:pt>
                <c:pt idx="115">
                  <c:v>2.9456427999306007E-7</c:v>
                </c:pt>
                <c:pt idx="116">
                  <c:v>3.011050136923428E-7</c:v>
                </c:pt>
                <c:pt idx="117">
                  <c:v>3.075227747379694E-7</c:v>
                </c:pt>
                <c:pt idx="118">
                  <c:v>3.1381757686346076E-7</c:v>
                </c:pt>
                <c:pt idx="119">
                  <c:v>3.1998970290839151E-7</c:v>
                </c:pt>
                <c:pt idx="120">
                  <c:v>3.2604005808335521E-7</c:v>
                </c:pt>
                <c:pt idx="121">
                  <c:v>3.3196960760346553E-7</c:v>
                </c:pt>
                <c:pt idx="122">
                  <c:v>3.3777984117113131E-7</c:v>
                </c:pt>
                <c:pt idx="123">
                  <c:v>3.4347237400658174E-7</c:v>
                </c:pt>
                <c:pt idx="124">
                  <c:v>3.4904927061310454E-7</c:v>
                </c:pt>
                <c:pt idx="125">
                  <c:v>3.5451250256577056E-7</c:v>
                </c:pt>
                <c:pt idx="126">
                  <c:v>3.5986435262802411E-7</c:v>
                </c:pt>
                <c:pt idx="127">
                  <c:v>3.6510723713428935E-7</c:v>
                </c:pt>
                <c:pt idx="128">
                  <c:v>3.7024367747754189E-7</c:v>
                </c:pt>
                <c:pt idx="129">
                  <c:v>3.7527627550067948E-7</c:v>
                </c:pt>
                <c:pt idx="130">
                  <c:v>3.802076897823844E-7</c:v>
                </c:pt>
                <c:pt idx="131">
                  <c:v>3.8504081151432215E-7</c:v>
                </c:pt>
                <c:pt idx="132">
                  <c:v>3.8977814706381519E-7</c:v>
                </c:pt>
                <c:pt idx="133">
                  <c:v>3.9442240862071105E-7</c:v>
                </c:pt>
                <c:pt idx="134">
                  <c:v>3.989762954292296E-7</c:v>
                </c:pt>
                <c:pt idx="135">
                  <c:v>4.034425343322689E-7</c:v>
                </c:pt>
                <c:pt idx="136">
                  <c:v>4.0782370397022356E-7</c:v>
                </c:pt>
                <c:pt idx="137">
                  <c:v>4.1212230968016854E-7</c:v>
                </c:pt>
                <c:pt idx="138">
                  <c:v>4.1634097464816117E-7</c:v>
                </c:pt>
                <c:pt idx="139">
                  <c:v>4.2048223204516651E-7</c:v>
                </c:pt>
                <c:pt idx="140">
                  <c:v>4.2454843948349951E-7</c:v>
                </c:pt>
                <c:pt idx="141">
                  <c:v>4.2854199968711704E-7</c:v>
                </c:pt>
                <c:pt idx="142">
                  <c:v>4.3246518744011754E-7</c:v>
                </c:pt>
                <c:pt idx="143">
                  <c:v>4.3632006970762161E-7</c:v>
                </c:pt>
                <c:pt idx="144">
                  <c:v>4.401088653848049E-7</c:v>
                </c:pt>
                <c:pt idx="145">
                  <c:v>4.438336934564898E-7</c:v>
                </c:pt>
                <c:pt idx="146">
                  <c:v>4.4749646078615799E-7</c:v>
                </c:pt>
                <c:pt idx="147">
                  <c:v>4.5109916645368223E-7</c:v>
                </c:pt>
                <c:pt idx="148">
                  <c:v>4.5464352385793666E-7</c:v>
                </c:pt>
                <c:pt idx="149">
                  <c:v>4.5813145322575833E-7</c:v>
                </c:pt>
                <c:pt idx="150">
                  <c:v>4.6156453522507709E-7</c:v>
                </c:pt>
                <c:pt idx="151">
                  <c:v>4.6494461596931866E-7</c:v>
                </c:pt>
                <c:pt idx="152">
                  <c:v>4.6827309152687941E-7</c:v>
                </c:pt>
                <c:pt idx="153">
                  <c:v>4.7155168789222924E-7</c:v>
                </c:pt>
                <c:pt idx="154">
                  <c:v>4.7478168557878486E-7</c:v>
                </c:pt>
                <c:pt idx="155">
                  <c:v>4.7796456708729524E-7</c:v>
                </c:pt>
                <c:pt idx="156">
                  <c:v>4.811017013301319E-7</c:v>
                </c:pt>
                <c:pt idx="157">
                  <c:v>4.8419448229843327E-7</c:v>
                </c:pt>
                <c:pt idx="158">
                  <c:v>4.8724410892087991E-7</c:v>
                </c:pt>
                <c:pt idx="159">
                  <c:v>4.9025180659894449E-7</c:v>
                </c:pt>
                <c:pt idx="160">
                  <c:v>4.9321876025280415E-7</c:v>
                </c:pt>
                <c:pt idx="161">
                  <c:v>4.9614611414163163E-7</c:v>
                </c:pt>
                <c:pt idx="162">
                  <c:v>4.9903497380480394E-7</c:v>
                </c:pt>
                <c:pt idx="163">
                  <c:v>5.0188640571283173E-7</c:v>
                </c:pt>
                <c:pt idx="164">
                  <c:v>5.0470131347161218E-7</c:v>
                </c:pt>
                <c:pt idx="165">
                  <c:v>5.0748082929927774E-7</c:v>
                </c:pt>
                <c:pt idx="166">
                  <c:v>5.1022592175535117E-7</c:v>
                </c:pt>
                <c:pt idx="167">
                  <c:v>5.1293752637751079E-7</c:v>
                </c:pt>
                <c:pt idx="168">
                  <c:v>5.1561648450713807E-7</c:v>
                </c:pt>
                <c:pt idx="169">
                  <c:v>5.1826374065808515E-7</c:v>
                </c:pt>
                <c:pt idx="170">
                  <c:v>5.2088002185200282E-7</c:v>
                </c:pt>
                <c:pt idx="171">
                  <c:v>5.2346628784533353E-7</c:v>
                </c:pt>
                <c:pt idx="172">
                  <c:v>5.2602321318324494E-7</c:v>
                </c:pt>
                <c:pt idx="173">
                  <c:v>5.2855177501154091E-7</c:v>
                </c:pt>
                <c:pt idx="174">
                  <c:v>5.3105253271114743E-7</c:v>
                </c:pt>
                <c:pt idx="175">
                  <c:v>5.3352622626925389E-7</c:v>
                </c:pt>
                <c:pt idx="176">
                  <c:v>5.3597357465913202E-7</c:v>
                </c:pt>
                <c:pt idx="177">
                  <c:v>5.3839540359021516E-7</c:v>
                </c:pt>
                <c:pt idx="178">
                  <c:v>5.4079232545088991E-7</c:v>
                </c:pt>
                <c:pt idx="179">
                  <c:v>5.4316492961027653E-7</c:v>
                </c:pt>
                <c:pt idx="180">
                  <c:v>5.4551385953780746E-7</c:v>
                </c:pt>
                <c:pt idx="181">
                  <c:v>5.4783974091232714E-7</c:v>
                </c:pt>
                <c:pt idx="182">
                  <c:v>5.5014318222702694E-7</c:v>
                </c:pt>
                <c:pt idx="183">
                  <c:v>5.524246497283281E-7</c:v>
                </c:pt>
                <c:pt idx="184">
                  <c:v>5.5468484867713217E-7</c:v>
                </c:pt>
                <c:pt idx="185">
                  <c:v>5.5692433913479661E-7</c:v>
                </c:pt>
                <c:pt idx="186">
                  <c:v>5.5914354111614415E-7</c:v>
                </c:pt>
                <c:pt idx="187">
                  <c:v>5.6134304344148934E-7</c:v>
                </c:pt>
                <c:pt idx="188">
                  <c:v>5.6352343741168245E-7</c:v>
                </c:pt>
                <c:pt idx="189">
                  <c:v>5.6568510024077525E-7</c:v>
                </c:pt>
                <c:pt idx="190">
                  <c:v>5.6782845297370203E-7</c:v>
                </c:pt>
                <c:pt idx="191">
                  <c:v>5.699541752878463E-7</c:v>
                </c:pt>
                <c:pt idx="192">
                  <c:v>5.7206253337967355E-7</c:v>
                </c:pt>
                <c:pt idx="193">
                  <c:v>5.74153990755267E-7</c:v>
                </c:pt>
                <c:pt idx="194">
                  <c:v>5.7622906023544906E-7</c:v>
                </c:pt>
                <c:pt idx="195">
                  <c:v>5.782882262765571E-7</c:v>
                </c:pt>
                <c:pt idx="196">
                  <c:v>5.8033178408814052E-7</c:v>
                </c:pt>
                <c:pt idx="197">
                  <c:v>5.8236014462999778E-7</c:v>
                </c:pt>
                <c:pt idx="198">
                  <c:v>5.8437364454340379E-7</c:v>
                </c:pt>
                <c:pt idx="199">
                  <c:v>5.863726275861913E-7</c:v>
                </c:pt>
                <c:pt idx="200">
                  <c:v>5.8835752700721782E-7</c:v>
                </c:pt>
                <c:pt idx="201">
                  <c:v>5.9032878798424055E-7</c:v>
                </c:pt>
                <c:pt idx="202">
                  <c:v>5.9228669640825415E-7</c:v>
                </c:pt>
                <c:pt idx="203">
                  <c:v>5.9423148704721429E-7</c:v>
                </c:pt>
                <c:pt idx="204">
                  <c:v>5.9616363120068551E-7</c:v>
                </c:pt>
                <c:pt idx="205">
                  <c:v>5.9808334339348436E-7</c:v>
                </c:pt>
                <c:pt idx="206">
                  <c:v>5.9999088371183658E-7</c:v>
                </c:pt>
                <c:pt idx="207">
                  <c:v>6.0188677464237612E-7</c:v>
                </c:pt>
                <c:pt idx="208">
                  <c:v>6.0377113091422811E-7</c:v>
                </c:pt>
                <c:pt idx="209">
                  <c:v>6.0564426508931584E-7</c:v>
                </c:pt>
                <c:pt idx="210">
                  <c:v>6.0750647305984212E-7</c:v>
                </c:pt>
                <c:pt idx="211">
                  <c:v>6.093580496270909E-7</c:v>
                </c:pt>
                <c:pt idx="212">
                  <c:v>6.1119920916625707E-7</c:v>
                </c:pt>
                <c:pt idx="213">
                  <c:v>6.1303023276222872E-7</c:v>
                </c:pt>
                <c:pt idx="214">
                  <c:v>6.1485139976389054E-7</c:v>
                </c:pt>
                <c:pt idx="215">
                  <c:v>6.1666297235514186E-7</c:v>
                </c:pt>
                <c:pt idx="216">
                  <c:v>6.1846521275093833E-7</c:v>
                </c:pt>
                <c:pt idx="217">
                  <c:v>6.2025817559513278E-7</c:v>
                </c:pt>
                <c:pt idx="218">
                  <c:v>6.2204224262846431E-7</c:v>
                </c:pt>
                <c:pt idx="219">
                  <c:v>6.2381765418264576E-7</c:v>
                </c:pt>
                <c:pt idx="220">
                  <c:v>6.2558452448455258E-7</c:v>
                </c:pt>
                <c:pt idx="221">
                  <c:v>6.2734301041431427E-7</c:v>
                </c:pt>
                <c:pt idx="222">
                  <c:v>6.2909347346488554E-7</c:v>
                </c:pt>
                <c:pt idx="223">
                  <c:v>6.3083601528587717E-7</c:v>
                </c:pt>
                <c:pt idx="224">
                  <c:v>6.3257077867983962E-7</c:v>
                </c:pt>
                <c:pt idx="225">
                  <c:v>6.3429798527864018E-7</c:v>
                </c:pt>
                <c:pt idx="226">
                  <c:v>6.3601784719667689E-7</c:v>
                </c:pt>
                <c:pt idx="227">
                  <c:v>6.3773056824000549E-7</c:v>
                </c:pt>
                <c:pt idx="228">
                  <c:v>6.3943627081594836E-7</c:v>
                </c:pt>
                <c:pt idx="229">
                  <c:v>6.4113515774298156E-7</c:v>
                </c:pt>
                <c:pt idx="230">
                  <c:v>6.4282722200077395E-7</c:v>
                </c:pt>
                <c:pt idx="231">
                  <c:v>6.4451286014247993E-7</c:v>
                </c:pt>
                <c:pt idx="232">
                  <c:v>6.4619217417384201E-7</c:v>
                </c:pt>
                <c:pt idx="233">
                  <c:v>6.4786514759808495E-7</c:v>
                </c:pt>
                <c:pt idx="234">
                  <c:v>6.4953209268350216E-7</c:v>
                </c:pt>
                <c:pt idx="235">
                  <c:v>6.5119307333846057E-7</c:v>
                </c:pt>
                <c:pt idx="236">
                  <c:v>6.5284825380550243E-7</c:v>
                </c:pt>
                <c:pt idx="237">
                  <c:v>6.5449772761283411E-7</c:v>
                </c:pt>
                <c:pt idx="238">
                  <c:v>6.561416597982162E-7</c:v>
                </c:pt>
                <c:pt idx="239">
                  <c:v>6.5778032347170594E-7</c:v>
                </c:pt>
                <c:pt idx="240">
                  <c:v>6.5941368529378298E-7</c:v>
                </c:pt>
                <c:pt idx="241">
                  <c:v>6.6104178718016716E-7</c:v>
                </c:pt>
                <c:pt idx="242">
                  <c:v>6.6266489706963316E-7</c:v>
                </c:pt>
                <c:pt idx="243">
                  <c:v>6.6428308069891216E-7</c:v>
                </c:pt>
                <c:pt idx="244">
                  <c:v>6.6589642417595849E-7</c:v>
                </c:pt>
                <c:pt idx="245">
                  <c:v>6.6750504357078294E-7</c:v>
                </c:pt>
                <c:pt idx="246">
                  <c:v>6.6910910833359279E-7</c:v>
                </c:pt>
                <c:pt idx="247">
                  <c:v>6.7070856632056739E-7</c:v>
                </c:pt>
                <c:pt idx="248">
                  <c:v>6.7230368207494592E-7</c:v>
                </c:pt>
                <c:pt idx="249">
                  <c:v>6.7389446506612601E-7</c:v>
                </c:pt>
                <c:pt idx="250">
                  <c:v>6.7548097234657374E-7</c:v>
                </c:pt>
                <c:pt idx="251">
                  <c:v>6.7706334615031771E-7</c:v>
                </c:pt>
                <c:pt idx="252">
                  <c:v>6.786416396785401E-7</c:v>
                </c:pt>
                <c:pt idx="253">
                  <c:v>6.8021599146276295E-7</c:v>
                </c:pt>
                <c:pt idx="254">
                  <c:v>6.8178651565171496E-7</c:v>
                </c:pt>
                <c:pt idx="255">
                  <c:v>6.8335325633063724E-7</c:v>
                </c:pt>
                <c:pt idx="256">
                  <c:v>6.8491625269678633E-7</c:v>
                </c:pt>
                <c:pt idx="257">
                  <c:v>6.8647561090707663E-7</c:v>
                </c:pt>
                <c:pt idx="258">
                  <c:v>6.8803138485525684E-7</c:v>
                </c:pt>
                <c:pt idx="259">
                  <c:v>6.8958371528525289E-7</c:v>
                </c:pt>
                <c:pt idx="260">
                  <c:v>6.9113260018740935E-7</c:v>
                </c:pt>
                <c:pt idx="261">
                  <c:v>6.9267806688287737E-7</c:v>
                </c:pt>
                <c:pt idx="262">
                  <c:v>6.9422034515785196E-7</c:v>
                </c:pt>
                <c:pt idx="263">
                  <c:v>6.9575936175178075E-7</c:v>
                </c:pt>
                <c:pt idx="264">
                  <c:v>6.9729522939864603E-7</c:v>
                </c:pt>
                <c:pt idx="265">
                  <c:v>6.9882785960968069E-7</c:v>
                </c:pt>
                <c:pt idx="266">
                  <c:v>7.0035770374185293E-7</c:v>
                </c:pt>
                <c:pt idx="267">
                  <c:v>7.0188461620557744E-7</c:v>
                </c:pt>
                <c:pt idx="268">
                  <c:v>7.0340762733091623E-7</c:v>
                </c:pt>
                <c:pt idx="269">
                  <c:v>7.0492800150295805E-7</c:v>
                </c:pt>
                <c:pt idx="270">
                  <c:v>7.0644662665417855E-7</c:v>
                </c:pt>
                <c:pt idx="271">
                  <c:v>7.0796260390281252E-7</c:v>
                </c:pt>
                <c:pt idx="272">
                  <c:v>7.0947416798596566E-7</c:v>
                </c:pt>
                <c:pt idx="273">
                  <c:v>7.1098357650711839E-7</c:v>
                </c:pt>
                <c:pt idx="274">
                  <c:v>7.1249084518524292E-7</c:v>
                </c:pt>
                <c:pt idx="275">
                  <c:v>7.1399602190868999E-7</c:v>
                </c:pt>
                <c:pt idx="276">
                  <c:v>7.1549804246667541E-7</c:v>
                </c:pt>
                <c:pt idx="277">
                  <c:v>7.169972864860494E-7</c:v>
                </c:pt>
                <c:pt idx="278">
                  <c:v>7.1849480538261715E-7</c:v>
                </c:pt>
                <c:pt idx="279">
                  <c:v>7.1998866227235216E-7</c:v>
                </c:pt>
                <c:pt idx="280">
                  <c:v>7.2148102578880513E-7</c:v>
                </c:pt>
                <c:pt idx="281">
                  <c:v>7.2297101599569294E-7</c:v>
                </c:pt>
                <c:pt idx="282">
                  <c:v>7.2445963686014207E-7</c:v>
                </c:pt>
                <c:pt idx="283">
                  <c:v>7.2594490847190404E-7</c:v>
                </c:pt>
                <c:pt idx="284">
                  <c:v>7.2742813408644988E-7</c:v>
                </c:pt>
                <c:pt idx="285">
                  <c:v>7.2890835754454938E-7</c:v>
                </c:pt>
                <c:pt idx="286">
                  <c:v>7.3038762776401878E-7</c:v>
                </c:pt>
                <c:pt idx="287">
                  <c:v>7.3186498476992263E-7</c:v>
                </c:pt>
                <c:pt idx="288">
                  <c:v>7.3333949069409324E-7</c:v>
                </c:pt>
                <c:pt idx="289">
                  <c:v>7.3481236950088882E-7</c:v>
                </c:pt>
                <c:pt idx="290">
                  <c:v>7.3628286950623682E-7</c:v>
                </c:pt>
                <c:pt idx="291">
                  <c:v>7.3775103053511865E-7</c:v>
                </c:pt>
                <c:pt idx="292">
                  <c:v>7.392179222179645E-7</c:v>
                </c:pt>
                <c:pt idx="293">
                  <c:v>7.4068247620007736E-7</c:v>
                </c:pt>
                <c:pt idx="294">
                  <c:v>7.4214496167560078E-7</c:v>
                </c:pt>
                <c:pt idx="295">
                  <c:v>7.436053999605764E-7</c:v>
                </c:pt>
                <c:pt idx="296">
                  <c:v>7.4506398452332594E-7</c:v>
                </c:pt>
                <c:pt idx="297">
                  <c:v>7.4651985918064598E-7</c:v>
                </c:pt>
                <c:pt idx="298">
                  <c:v>7.4797509615943135E-7</c:v>
                </c:pt>
                <c:pt idx="299">
                  <c:v>7.4942764521486122E-7</c:v>
                </c:pt>
                <c:pt idx="300">
                  <c:v>7.5087878500874646E-7</c:v>
                </c:pt>
                <c:pt idx="301">
                  <c:v>7.5232755095194229E-7</c:v>
                </c:pt>
                <c:pt idx="302">
                  <c:v>7.5377511414957016E-7</c:v>
                </c:pt>
                <c:pt idx="303">
                  <c:v>7.5522046995373444E-7</c:v>
                </c:pt>
                <c:pt idx="304">
                  <c:v>7.566647594882416E-7</c:v>
                </c:pt>
                <c:pt idx="305">
                  <c:v>7.5810696363028553E-7</c:v>
                </c:pt>
                <c:pt idx="306">
                  <c:v>7.5954820917879675E-7</c:v>
                </c:pt>
                <c:pt idx="307">
                  <c:v>7.6098661557475171E-7</c:v>
                </c:pt>
                <c:pt idx="308">
                  <c:v>7.6242437770065625E-7</c:v>
                </c:pt>
                <c:pt idx="309">
                  <c:v>7.6385952383431319E-7</c:v>
                </c:pt>
                <c:pt idx="310">
                  <c:v>7.6529421969232619E-7</c:v>
                </c:pt>
                <c:pt idx="311">
                  <c:v>7.6672642474582906E-7</c:v>
                </c:pt>
                <c:pt idx="312">
                  <c:v>7.6815724340558746E-7</c:v>
                </c:pt>
                <c:pt idx="313">
                  <c:v>7.6958674856656002E-7</c:v>
                </c:pt>
                <c:pt idx="314">
                  <c:v>7.7101409350007575E-7</c:v>
                </c:pt>
                <c:pt idx="315">
                  <c:v>7.7244045910913556E-7</c:v>
                </c:pt>
                <c:pt idx="316">
                  <c:v>7.7386489689517464E-7</c:v>
                </c:pt>
                <c:pt idx="317">
                  <c:v>7.7528748217660873E-7</c:v>
                </c:pt>
                <c:pt idx="318">
                  <c:v>7.7670931943594704E-7</c:v>
                </c:pt>
                <c:pt idx="319">
                  <c:v>7.7812852336209826E-7</c:v>
                </c:pt>
                <c:pt idx="320">
                  <c:v>7.7954628813907963E-7</c:v>
                </c:pt>
                <c:pt idx="321">
                  <c:v>7.8096274395736415E-7</c:v>
                </c:pt>
                <c:pt idx="322">
                  <c:v>7.8237794151928132E-7</c:v>
                </c:pt>
                <c:pt idx="323">
                  <c:v>7.8379087585801584E-7</c:v>
                </c:pt>
                <c:pt idx="324">
                  <c:v>7.8520369825012691E-7</c:v>
                </c:pt>
                <c:pt idx="325">
                  <c:v>7.8661435531429242E-7</c:v>
                </c:pt>
                <c:pt idx="326">
                  <c:v>7.880230781688687E-7</c:v>
                </c:pt>
                <c:pt idx="327">
                  <c:v>7.8943001902839727E-7</c:v>
                </c:pt>
                <c:pt idx="328">
                  <c:v>7.9083628193079954E-7</c:v>
                </c:pt>
                <c:pt idx="329">
                  <c:v>7.9224090282109886E-7</c:v>
                </c:pt>
                <c:pt idx="330">
                  <c:v>7.936439584763436E-7</c:v>
                </c:pt>
                <c:pt idx="331">
                  <c:v>7.9504459444794405E-7</c:v>
                </c:pt>
                <c:pt idx="332">
                  <c:v>7.9644503919597284E-7</c:v>
                </c:pt>
                <c:pt idx="333">
                  <c:v>7.9784418832573467E-7</c:v>
                </c:pt>
                <c:pt idx="334">
                  <c:v>7.9924111334906139E-7</c:v>
                </c:pt>
                <c:pt idx="335">
                  <c:v>8.0063609816529084E-7</c:v>
                </c:pt>
                <c:pt idx="336">
                  <c:v>8.0203024617407992E-7</c:v>
                </c:pt>
                <c:pt idx="337">
                  <c:v>8.0342348921604569E-7</c:v>
                </c:pt>
                <c:pt idx="338">
                  <c:v>8.0481498964212367E-7</c:v>
                </c:pt>
                <c:pt idx="339">
                  <c:v>8.062048849306218E-7</c:v>
                </c:pt>
                <c:pt idx="340">
                  <c:v>8.0759327011924704E-7</c:v>
                </c:pt>
                <c:pt idx="341">
                  <c:v>8.0898021658987906E-7</c:v>
                </c:pt>
                <c:pt idx="342">
                  <c:v>8.1036487787836456E-7</c:v>
                </c:pt>
                <c:pt idx="343">
                  <c:v>8.1174847603294786E-7</c:v>
                </c:pt>
                <c:pt idx="344">
                  <c:v>8.1313002862883469E-7</c:v>
                </c:pt>
                <c:pt idx="345">
                  <c:v>8.1451172262479337E-7</c:v>
                </c:pt>
                <c:pt idx="346">
                  <c:v>8.1589148252638599E-7</c:v>
                </c:pt>
                <c:pt idx="347">
                  <c:v>8.1727044212462621E-7</c:v>
                </c:pt>
                <c:pt idx="348">
                  <c:v>8.186475548270307E-7</c:v>
                </c:pt>
                <c:pt idx="349">
                  <c:v>8.2002304064216386E-7</c:v>
                </c:pt>
                <c:pt idx="350">
                  <c:v>8.2139703574498869E-7</c:v>
                </c:pt>
                <c:pt idx="351">
                  <c:v>8.2276966425885692E-7</c:v>
                </c:pt>
                <c:pt idx="352">
                  <c:v>8.2414005874801227E-7</c:v>
                </c:pt>
                <c:pt idx="353">
                  <c:v>8.2550949703064482E-7</c:v>
                </c:pt>
                <c:pt idx="354">
                  <c:v>8.2687787299884112E-7</c:v>
                </c:pt>
                <c:pt idx="355">
                  <c:v>8.2824426081687403E-7</c:v>
                </c:pt>
                <c:pt idx="356">
                  <c:v>8.2960895946566924E-7</c:v>
                </c:pt>
                <c:pt idx="357">
                  <c:v>8.3097306897161794E-7</c:v>
                </c:pt>
                <c:pt idx="358">
                  <c:v>8.323354519008707E-7</c:v>
                </c:pt>
                <c:pt idx="359">
                  <c:v>8.3369630386546586E-7</c:v>
                </c:pt>
                <c:pt idx="360">
                  <c:v>8.3505577996672702E-7</c:v>
                </c:pt>
                <c:pt idx="361">
                  <c:v>8.3641397822030293E-7</c:v>
                </c:pt>
                <c:pt idx="362">
                  <c:v>8.377709668797033E-7</c:v>
                </c:pt>
                <c:pt idx="363">
                  <c:v>8.3912582945431018E-7</c:v>
                </c:pt>
                <c:pt idx="364">
                  <c:v>8.4047989421461555E-7</c:v>
                </c:pt>
                <c:pt idx="365">
                  <c:v>8.4183207558945428E-7</c:v>
                </c:pt>
                <c:pt idx="366">
                  <c:v>8.4318265225747916E-7</c:v>
                </c:pt>
                <c:pt idx="367">
                  <c:v>8.4453149273209769E-7</c:v>
                </c:pt>
                <c:pt idx="368">
                  <c:v>8.4587884813272483E-7</c:v>
                </c:pt>
                <c:pt idx="369">
                  <c:v>8.4722490047887688E-7</c:v>
                </c:pt>
                <c:pt idx="370">
                  <c:v>8.4856972091078739E-7</c:v>
                </c:pt>
                <c:pt idx="371">
                  <c:v>8.4991336302054467E-7</c:v>
                </c:pt>
                <c:pt idx="372">
                  <c:v>8.5125587120400462E-7</c:v>
                </c:pt>
                <c:pt idx="373">
                  <c:v>8.5259537623977222E-7</c:v>
                </c:pt>
                <c:pt idx="374">
                  <c:v>8.5393420405623132E-7</c:v>
                </c:pt>
                <c:pt idx="375">
                  <c:v>8.552712598842822E-7</c:v>
                </c:pt>
                <c:pt idx="376">
                  <c:v>8.5660779053428781E-7</c:v>
                </c:pt>
                <c:pt idx="377">
                  <c:v>8.5794265451487926E-7</c:v>
                </c:pt>
                <c:pt idx="378">
                  <c:v>8.5927513454980314E-7</c:v>
                </c:pt>
                <c:pt idx="379">
                  <c:v>8.6060639152249446E-7</c:v>
                </c:pt>
                <c:pt idx="380">
                  <c:v>8.6193652299084759E-7</c:v>
                </c:pt>
                <c:pt idx="381">
                  <c:v>8.6326555270705221E-7</c:v>
                </c:pt>
                <c:pt idx="382">
                  <c:v>8.6459164165361299E-7</c:v>
                </c:pt>
                <c:pt idx="383">
                  <c:v>8.6591710283612701E-7</c:v>
                </c:pt>
                <c:pt idx="384">
                  <c:v>8.6724080320560436E-7</c:v>
                </c:pt>
                <c:pt idx="385">
                  <c:v>8.6856308453407191E-7</c:v>
                </c:pt>
                <c:pt idx="386">
                  <c:v>8.6988410694341298E-7</c:v>
                </c:pt>
                <c:pt idx="387">
                  <c:v>8.7120359520017203E-7</c:v>
                </c:pt>
                <c:pt idx="388">
                  <c:v>8.7252179541409882E-7</c:v>
                </c:pt>
                <c:pt idx="389">
                  <c:v>8.7383790156061019E-7</c:v>
                </c:pt>
                <c:pt idx="390">
                  <c:v>8.7515199494968056E-7</c:v>
                </c:pt>
                <c:pt idx="391">
                  <c:v>8.7646547287467608E-7</c:v>
                </c:pt>
                <c:pt idx="392">
                  <c:v>8.7777724094406058E-7</c:v>
                </c:pt>
                <c:pt idx="393">
                  <c:v>8.7908723349694411E-7</c:v>
                </c:pt>
                <c:pt idx="394">
                  <c:v>8.803948816647984E-7</c:v>
                </c:pt>
                <c:pt idx="395">
                  <c:v>8.8170227026611662E-7</c:v>
                </c:pt>
                <c:pt idx="396">
                  <c:v>8.8300816091580293E-7</c:v>
                </c:pt>
                <c:pt idx="397">
                  <c:v>8.8431185933224558E-7</c:v>
                </c:pt>
                <c:pt idx="398">
                  <c:v>8.8561351533676266E-7</c:v>
                </c:pt>
                <c:pt idx="399">
                  <c:v>8.8691361916166406E-7</c:v>
                </c:pt>
                <c:pt idx="400">
                  <c:v>8.8821300191046837E-7</c:v>
                </c:pt>
                <c:pt idx="401">
                  <c:v>8.8950966096772266E-7</c:v>
                </c:pt>
                <c:pt idx="402">
                  <c:v>8.9080590535796241E-7</c:v>
                </c:pt>
                <c:pt idx="403">
                  <c:v>8.9209965670090232E-7</c:v>
                </c:pt>
                <c:pt idx="404">
                  <c:v>8.9339215515353342E-7</c:v>
                </c:pt>
                <c:pt idx="405">
                  <c:v>8.9468262515222639E-7</c:v>
                </c:pt>
                <c:pt idx="406">
                  <c:v>8.9597209743852291E-7</c:v>
                </c:pt>
                <c:pt idx="407">
                  <c:v>8.9725970444071147E-7</c:v>
                </c:pt>
                <c:pt idx="408">
                  <c:v>8.9854538727611363E-7</c:v>
                </c:pt>
                <c:pt idx="409">
                  <c:v>8.9982969040055443E-7</c:v>
                </c:pt>
                <c:pt idx="410">
                  <c:v>9.0111237600860304E-7</c:v>
                </c:pt>
                <c:pt idx="411">
                  <c:v>9.0239387031918026E-7</c:v>
                </c:pt>
                <c:pt idx="412">
                  <c:v>9.0367382075623052E-7</c:v>
                </c:pt>
                <c:pt idx="413">
                  <c:v>9.0495166119921506E-7</c:v>
                </c:pt>
                <c:pt idx="414">
                  <c:v>9.0622844791406043E-7</c:v>
                </c:pt>
                <c:pt idx="415">
                  <c:v>9.0750338918981215E-7</c:v>
                </c:pt>
                <c:pt idx="416">
                  <c:v>9.08775525755335E-7</c:v>
                </c:pt>
                <c:pt idx="417">
                  <c:v>9.1004723676752864E-7</c:v>
                </c:pt>
                <c:pt idx="418">
                  <c:v>9.1131644577789209E-7</c:v>
                </c:pt>
                <c:pt idx="419">
                  <c:v>9.1258450872714505E-7</c:v>
                </c:pt>
                <c:pt idx="420">
                  <c:v>9.1385106837617379E-7</c:v>
                </c:pt>
                <c:pt idx="421">
                  <c:v>9.1511554273189997E-7</c:v>
                </c:pt>
                <c:pt idx="422">
                  <c:v>9.163781163672909E-7</c:v>
                </c:pt>
                <c:pt idx="423">
                  <c:v>9.1763979260301116E-7</c:v>
                </c:pt>
                <c:pt idx="424">
                  <c:v>9.188997216704027E-7</c:v>
                </c:pt>
                <c:pt idx="425">
                  <c:v>9.2015694981663643E-7</c:v>
                </c:pt>
                <c:pt idx="426">
                  <c:v>9.2141382539174845E-7</c:v>
                </c:pt>
                <c:pt idx="427">
                  <c:v>9.2266824032991855E-7</c:v>
                </c:pt>
                <c:pt idx="428">
                  <c:v>9.239205403071219E-7</c:v>
                </c:pt>
                <c:pt idx="429">
                  <c:v>9.2517095603067079E-7</c:v>
                </c:pt>
                <c:pt idx="430">
                  <c:v>9.2642044567883664E-7</c:v>
                </c:pt>
                <c:pt idx="431">
                  <c:v>9.2766820771689121E-7</c:v>
                </c:pt>
                <c:pt idx="432">
                  <c:v>9.2891426872358403E-7</c:v>
                </c:pt>
                <c:pt idx="433">
                  <c:v>9.3015763765780713E-7</c:v>
                </c:pt>
                <c:pt idx="434">
                  <c:v>9.3139989319613167E-7</c:v>
                </c:pt>
                <c:pt idx="435">
                  <c:v>9.3264063471217396E-7</c:v>
                </c:pt>
                <c:pt idx="436">
                  <c:v>9.3387932788672612E-7</c:v>
                </c:pt>
                <c:pt idx="437">
                  <c:v>9.3511616329986579E-7</c:v>
                </c:pt>
                <c:pt idx="438">
                  <c:v>9.3635124911311714E-7</c:v>
                </c:pt>
                <c:pt idx="439">
                  <c:v>9.3758465859244001E-7</c:v>
                </c:pt>
                <c:pt idx="440">
                  <c:v>9.3881644988387133E-7</c:v>
                </c:pt>
                <c:pt idx="441">
                  <c:v>9.400455753043627E-7</c:v>
                </c:pt>
                <c:pt idx="442">
                  <c:v>9.4127449160149916E-7</c:v>
                </c:pt>
                <c:pt idx="443">
                  <c:v>9.425010441042552E-7</c:v>
                </c:pt>
                <c:pt idx="444">
                  <c:v>9.4372558409063604E-7</c:v>
                </c:pt>
                <c:pt idx="445">
                  <c:v>9.4494834264595714E-7</c:v>
                </c:pt>
                <c:pt idx="446">
                  <c:v>9.4616938353529099E-7</c:v>
                </c:pt>
                <c:pt idx="447">
                  <c:v>9.4738876125455978E-7</c:v>
                </c:pt>
                <c:pt idx="448">
                  <c:v>9.4860553285015147E-7</c:v>
                </c:pt>
                <c:pt idx="449">
                  <c:v>9.4982123497484E-7</c:v>
                </c:pt>
                <c:pt idx="450">
                  <c:v>9.5103456410963518E-7</c:v>
                </c:pt>
                <c:pt idx="451">
                  <c:v>9.5224697828122671E-7</c:v>
                </c:pt>
                <c:pt idx="452">
                  <c:v>9.5345713298066212E-7</c:v>
                </c:pt>
                <c:pt idx="453">
                  <c:v>9.5466541722856481E-7</c:v>
                </c:pt>
                <c:pt idx="454">
                  <c:v>9.5587095364733033E-7</c:v>
                </c:pt>
                <c:pt idx="455">
                  <c:v>9.5707538656142337E-7</c:v>
                </c:pt>
                <c:pt idx="456">
                  <c:v>9.5827849438514241E-7</c:v>
                </c:pt>
                <c:pt idx="457">
                  <c:v>9.5947908915056195E-7</c:v>
                </c:pt>
                <c:pt idx="458">
                  <c:v>9.6067769750977286E-7</c:v>
                </c:pt>
                <c:pt idx="459">
                  <c:v>9.6187562388927854E-7</c:v>
                </c:pt>
                <c:pt idx="460">
                  <c:v>9.6307136795770811E-7</c:v>
                </c:pt>
                <c:pt idx="461">
                  <c:v>9.642644936548673E-7</c:v>
                </c:pt>
                <c:pt idx="462">
                  <c:v>9.6545492854174394E-7</c:v>
                </c:pt>
                <c:pt idx="463">
                  <c:v>9.6664431177158783E-7</c:v>
                </c:pt>
                <c:pt idx="464">
                  <c:v>9.6783132273716175E-7</c:v>
                </c:pt>
                <c:pt idx="465">
                  <c:v>9.6901753039304745E-7</c:v>
                </c:pt>
                <c:pt idx="466">
                  <c:v>9.702015123095552E-7</c:v>
                </c:pt>
                <c:pt idx="467">
                  <c:v>9.7138366115217227E-7</c:v>
                </c:pt>
                <c:pt idx="468">
                  <c:v>9.7256331942907538E-7</c:v>
                </c:pt>
                <c:pt idx="469">
                  <c:v>9.7374145026422738E-7</c:v>
                </c:pt>
                <c:pt idx="470">
                  <c:v>9.7491702813615389E-7</c:v>
                </c:pt>
                <c:pt idx="471">
                  <c:v>9.7609162915380835E-7</c:v>
                </c:pt>
                <c:pt idx="472">
                  <c:v>9.7726394141315441E-7</c:v>
                </c:pt>
                <c:pt idx="473">
                  <c:v>9.7843467168519704E-7</c:v>
                </c:pt>
                <c:pt idx="474">
                  <c:v>9.7960321109515972E-7</c:v>
                </c:pt>
                <c:pt idx="475">
                  <c:v>9.8077001480379537E-7</c:v>
                </c:pt>
                <c:pt idx="476">
                  <c:v>9.8193521566506022E-7</c:v>
                </c:pt>
                <c:pt idx="477">
                  <c:v>9.830969705701063E-7</c:v>
                </c:pt>
                <c:pt idx="478">
                  <c:v>9.8425787208648684E-7</c:v>
                </c:pt>
                <c:pt idx="479">
                  <c:v>9.8541650070019073E-7</c:v>
                </c:pt>
                <c:pt idx="480">
                  <c:v>9.8657355804533745E-7</c:v>
                </c:pt>
                <c:pt idx="481">
                  <c:v>9.8772846024446852E-7</c:v>
                </c:pt>
                <c:pt idx="482">
                  <c:v>9.8888162460362724E-7</c:v>
                </c:pt>
                <c:pt idx="483">
                  <c:v>9.9003241559659411E-7</c:v>
                </c:pt>
                <c:pt idx="484">
                  <c:v>9.9118067075011153E-7</c:v>
                </c:pt>
                <c:pt idx="485">
                  <c:v>9.9232808137425655E-7</c:v>
                </c:pt>
                <c:pt idx="486">
                  <c:v>9.9347354834125334E-7</c:v>
                </c:pt>
                <c:pt idx="487">
                  <c:v>9.9461665486580111E-7</c:v>
                </c:pt>
                <c:pt idx="488">
                  <c:v>9.9575715527184333E-7</c:v>
                </c:pt>
                <c:pt idx="489">
                  <c:v>9.9689612786679758E-7</c:v>
                </c:pt>
                <c:pt idx="490">
                  <c:v>9.9803279979949564E-7</c:v>
                </c:pt>
                <c:pt idx="491">
                  <c:v>9.9916805049368261E-7</c:v>
                </c:pt>
                <c:pt idx="492">
                  <c:v>1.0003008694746771E-6</c:v>
                </c:pt>
                <c:pt idx="493">
                  <c:v>1.0014321015991169E-6</c:v>
                </c:pt>
                <c:pt idx="494">
                  <c:v>1.0025611434340912E-6</c:v>
                </c:pt>
                <c:pt idx="495">
                  <c:v>1.0036876365134824E-6</c:v>
                </c:pt>
                <c:pt idx="496">
                  <c:v>1.0048126762244346E-6</c:v>
                </c:pt>
                <c:pt idx="497">
                  <c:v>1.005935503491225E-6</c:v>
                </c:pt>
                <c:pt idx="498">
                  <c:v>1.0070569172704273E-6</c:v>
                </c:pt>
                <c:pt idx="499">
                  <c:v>1.0081762002850543E-6</c:v>
                </c:pt>
                <c:pt idx="500">
                  <c:v>1.0092923067259577E-6</c:v>
                </c:pt>
                <c:pt idx="501">
                  <c:v>1.0104077852048251E-6</c:v>
                </c:pt>
                <c:pt idx="502">
                  <c:v>1.0115203876373988E-6</c:v>
                </c:pt>
                <c:pt idx="503">
                  <c:v>1.0126313269960796E-6</c:v>
                </c:pt>
                <c:pt idx="504">
                  <c:v>1.013740045425852E-6</c:v>
                </c:pt>
                <c:pt idx="505">
                  <c:v>1.0148473998622151E-6</c:v>
                </c:pt>
                <c:pt idx="506">
                  <c:v>1.0159514926177753E-6</c:v>
                </c:pt>
                <c:pt idx="507">
                  <c:v>1.0170541665419081E-6</c:v>
                </c:pt>
                <c:pt idx="508">
                  <c:v>1.018154721760542E-6</c:v>
                </c:pt>
                <c:pt idx="509">
                  <c:v>1.019252817987309E-6</c:v>
                </c:pt>
                <c:pt idx="510">
                  <c:v>1.020348670758368E-6</c:v>
                </c:pt>
                <c:pt idx="511">
                  <c:v>1.0214431814336461E-6</c:v>
                </c:pt>
                <c:pt idx="512">
                  <c:v>1.0225356157220542E-6</c:v>
                </c:pt>
                <c:pt idx="513">
                  <c:v>1.0236260445135449E-6</c:v>
                </c:pt>
                <c:pt idx="514">
                  <c:v>1.0247141605577022E-6</c:v>
                </c:pt>
                <c:pt idx="515">
                  <c:v>1.0257997853046625E-6</c:v>
                </c:pt>
                <c:pt idx="516">
                  <c:v>1.0268843415801586E-6</c:v>
                </c:pt>
                <c:pt idx="517">
                  <c:v>1.0279661524136676E-6</c:v>
                </c:pt>
                <c:pt idx="518">
                  <c:v>1.0290465019332205E-6</c:v>
                </c:pt>
                <c:pt idx="519">
                  <c:v>1.0301235633270978E-6</c:v>
                </c:pt>
                <c:pt idx="520">
                  <c:v>1.0311992480076087E-6</c:v>
                </c:pt>
                <c:pt idx="521">
                  <c:v>1.0322720365957257E-6</c:v>
                </c:pt>
                <c:pt idx="522">
                  <c:v>1.033343586389146E-6</c:v>
                </c:pt>
                <c:pt idx="523">
                  <c:v>1.0344131314679384E-6</c:v>
                </c:pt>
                <c:pt idx="524">
                  <c:v>1.0354804420504383E-6</c:v>
                </c:pt>
                <c:pt idx="525">
                  <c:v>1.0365456796920568E-6</c:v>
                </c:pt>
                <c:pt idx="526">
                  <c:v>1.0376089378104565E-6</c:v>
                </c:pt>
                <c:pt idx="527">
                  <c:v>1.0386690328516902E-6</c:v>
                </c:pt>
                <c:pt idx="528">
                  <c:v>1.0397278433335735E-6</c:v>
                </c:pt>
                <c:pt idx="529">
                  <c:v>1.0407838856617978E-6</c:v>
                </c:pt>
                <c:pt idx="530">
                  <c:v>1.0418384443556848E-6</c:v>
                </c:pt>
                <c:pt idx="531">
                  <c:v>1.0428908651381449E-6</c:v>
                </c:pt>
                <c:pt idx="532">
                  <c:v>1.0439413206385695E-6</c:v>
                </c:pt>
                <c:pt idx="533">
                  <c:v>1.044989906303275E-6</c:v>
                </c:pt>
                <c:pt idx="534">
                  <c:v>1.046036607658466E-6</c:v>
                </c:pt>
                <c:pt idx="535">
                  <c:v>1.0470802702918959E-6</c:v>
                </c:pt>
                <c:pt idx="536">
                  <c:v>1.0481216247993093E-6</c:v>
                </c:pt>
                <c:pt idx="537">
                  <c:v>1.0491620656046256E-6</c:v>
                </c:pt>
                <c:pt idx="538">
                  <c:v>1.050199906097376E-6</c:v>
                </c:pt>
                <c:pt idx="539">
                  <c:v>1.0512344221006325E-6</c:v>
                </c:pt>
                <c:pt idx="540">
                  <c:v>1.0522676113552162E-6</c:v>
                </c:pt>
                <c:pt idx="541">
                  <c:v>1.0532991811507795E-6</c:v>
                </c:pt>
                <c:pt idx="542">
                  <c:v>1.0543278680765323E-6</c:v>
                </c:pt>
                <c:pt idx="543">
                  <c:v>1.0553542940130978E-6</c:v>
                </c:pt>
                <c:pt idx="544">
                  <c:v>1.0563798242780691E-6</c:v>
                </c:pt>
                <c:pt idx="545">
                  <c:v>1.0574028222362018E-6</c:v>
                </c:pt>
                <c:pt idx="546">
                  <c:v>1.0584218356528259E-6</c:v>
                </c:pt>
                <c:pt idx="547">
                  <c:v>1.0594395781492476E-6</c:v>
                </c:pt>
                <c:pt idx="548">
                  <c:v>1.0604558029816699E-6</c:v>
                </c:pt>
                <c:pt idx="549">
                  <c:v>1.0614691637792963E-6</c:v>
                </c:pt>
                <c:pt idx="550">
                  <c:v>1.0624802669913271E-6</c:v>
                </c:pt>
                <c:pt idx="551">
                  <c:v>1.0634905679309257E-6</c:v>
                </c:pt>
                <c:pt idx="552">
                  <c:v>1.0644984360375866E-6</c:v>
                </c:pt>
                <c:pt idx="553">
                  <c:v>1.0655023420976401E-6</c:v>
                </c:pt>
                <c:pt idx="554">
                  <c:v>1.0665050722910571E-6</c:v>
                </c:pt>
                <c:pt idx="555">
                  <c:v>1.0675063062347896E-6</c:v>
                </c:pt>
                <c:pt idx="556">
                  <c:v>1.0685046593287003E-6</c:v>
                </c:pt>
                <c:pt idx="557">
                  <c:v>1.0695008258812664E-6</c:v>
                </c:pt>
                <c:pt idx="558">
                  <c:v>1.0704943444931445E-6</c:v>
                </c:pt>
                <c:pt idx="559">
                  <c:v>1.0714861013503482E-6</c:v>
                </c:pt>
                <c:pt idx="560">
                  <c:v>1.0724760784974802E-6</c:v>
                </c:pt>
                <c:pt idx="561">
                  <c:v>1.0734643924281658E-6</c:v>
                </c:pt>
                <c:pt idx="562">
                  <c:v>1.0744490665150381E-6</c:v>
                </c:pt>
                <c:pt idx="563">
                  <c:v>1.0754327505668519E-6</c:v>
                </c:pt>
                <c:pt idx="564">
                  <c:v>1.0764139185796023E-6</c:v>
                </c:pt>
                <c:pt idx="565">
                  <c:v>1.0773923236169973E-6</c:v>
                </c:pt>
                <c:pt idx="566">
                  <c:v>1.0783689145284321E-6</c:v>
                </c:pt>
                <c:pt idx="567">
                  <c:v>1.0793437858104658E-6</c:v>
                </c:pt>
                <c:pt idx="568">
                  <c:v>1.0803150391285138E-6</c:v>
                </c:pt>
                <c:pt idx="569">
                  <c:v>1.0812853623120528E-6</c:v>
                </c:pt>
                <c:pt idx="570">
                  <c:v>1.0822524123190341E-6</c:v>
                </c:pt>
                <c:pt idx="571">
                  <c:v>1.0832174827831853E-6</c:v>
                </c:pt>
                <c:pt idx="572">
                  <c:v>1.0841806958669561E-6</c:v>
                </c:pt>
                <c:pt idx="573">
                  <c:v>1.0851415009916198E-6</c:v>
                </c:pt>
                <c:pt idx="574">
                  <c:v>1.0861007294052734E-6</c:v>
                </c:pt>
                <c:pt idx="575">
                  <c:v>1.0870576285522508E-6</c:v>
                </c:pt>
                <c:pt idx="576">
                  <c:v>1.0880117041839361E-6</c:v>
                </c:pt>
                <c:pt idx="577">
                  <c:v>1.0889642758130055E-6</c:v>
                </c:pt>
                <c:pt idx="578">
                  <c:v>1.0899143740129532E-6</c:v>
                </c:pt>
                <c:pt idx="579">
                  <c:v>1.0908618130897269E-6</c:v>
                </c:pt>
                <c:pt idx="580">
                  <c:v>1.0918075406927989E-6</c:v>
                </c:pt>
                <c:pt idx="581">
                  <c:v>1.0927496821942938E-6</c:v>
                </c:pt>
                <c:pt idx="582">
                  <c:v>1.0936909592578454E-6</c:v>
                </c:pt>
                <c:pt idx="583">
                  <c:v>1.0946290121937841E-6</c:v>
                </c:pt>
                <c:pt idx="584">
                  <c:v>1.095566400157683E-6</c:v>
                </c:pt>
                <c:pt idx="585">
                  <c:v>1.0965007023287479E-6</c:v>
                </c:pt>
                <c:pt idx="586">
                  <c:v>1.0974324837650163E-6</c:v>
                </c:pt>
                <c:pt idx="587">
                  <c:v>1.0983625874723359E-6</c:v>
                </c:pt>
                <c:pt idx="588">
                  <c:v>1.0992904704656811E-6</c:v>
                </c:pt>
                <c:pt idx="589">
                  <c:v>1.1002155707905956E-6</c:v>
                </c:pt>
                <c:pt idx="590">
                  <c:v>1.1011392499030535E-6</c:v>
                </c:pt>
                <c:pt idx="591">
                  <c:v>1.1020597870785159E-6</c:v>
                </c:pt>
                <c:pt idx="592">
                  <c:v>1.1029784396434205E-6</c:v>
                </c:pt>
                <c:pt idx="593">
                  <c:v>1.1038947178527453E-6</c:v>
                </c:pt>
                <c:pt idx="594">
                  <c:v>1.1048087488699202E-6</c:v>
                </c:pt>
                <c:pt idx="595">
                  <c:v>1.1057214084647013E-6</c:v>
                </c:pt>
                <c:pt idx="596">
                  <c:v>1.1066305938743358E-6</c:v>
                </c:pt>
                <c:pt idx="597">
                  <c:v>1.1075383832375796E-6</c:v>
                </c:pt>
                <c:pt idx="598">
                  <c:v>1.1084431185900776E-6</c:v>
                </c:pt>
                <c:pt idx="599">
                  <c:v>1.1093460807817745E-6</c:v>
                </c:pt>
                <c:pt idx="600">
                  <c:v>1.1102467962092166E-6</c:v>
                </c:pt>
                <c:pt idx="601">
                  <c:v>1.1111452959623238E-6</c:v>
                </c:pt>
                <c:pt idx="602">
                  <c:v>1.1120417293183133E-6</c:v>
                </c:pt>
                <c:pt idx="603">
                  <c:v>1.1129354721803779E-6</c:v>
                </c:pt>
                <c:pt idx="604">
                  <c:v>1.1138265304361717E-6</c:v>
                </c:pt>
                <c:pt idx="605">
                  <c:v>1.1147166028919583E-6</c:v>
                </c:pt>
                <c:pt idx="606">
                  <c:v>1.1156037736390603E-6</c:v>
                </c:pt>
                <c:pt idx="607">
                  <c:v>1.1164885552838169E-6</c:v>
                </c:pt>
                <c:pt idx="608">
                  <c:v>1.1173711637352371E-6</c:v>
                </c:pt>
                <c:pt idx="609">
                  <c:v>1.1182503980871584E-6</c:v>
                </c:pt>
                <c:pt idx="610">
                  <c:v>1.1191290187259676E-6</c:v>
                </c:pt>
                <c:pt idx="611">
                  <c:v>1.1200046189207042E-6</c:v>
                </c:pt>
                <c:pt idx="612">
                  <c:v>1.1208791171345559E-6</c:v>
                </c:pt>
                <c:pt idx="613">
                  <c:v>1.1217506480852468E-6</c:v>
                </c:pt>
                <c:pt idx="614">
                  <c:v>1.1226198516687414E-6</c:v>
                </c:pt>
                <c:pt idx="615">
                  <c:v>1.1234869866547109E-6</c:v>
                </c:pt>
                <c:pt idx="616">
                  <c:v>1.1243507518626617E-6</c:v>
                </c:pt>
                <c:pt idx="617">
                  <c:v>1.1252132171584166E-6</c:v>
                </c:pt>
                <c:pt idx="618">
                  <c:v>1.1260727550058658E-6</c:v>
                </c:pt>
                <c:pt idx="619">
                  <c:v>1.12692989158602E-6</c:v>
                </c:pt>
                <c:pt idx="620">
                  <c:v>1.1277861838422546E-6</c:v>
                </c:pt>
                <c:pt idx="621">
                  <c:v>1.128639713305736E-6</c:v>
                </c:pt>
                <c:pt idx="622">
                  <c:v>1.1294896706977387E-6</c:v>
                </c:pt>
                <c:pt idx="623">
                  <c:v>1.1303383164477214E-6</c:v>
                </c:pt>
                <c:pt idx="624">
                  <c:v>1.1311853110694792E-6</c:v>
                </c:pt>
                <c:pt idx="625">
                  <c:v>1.1320292266423689E-6</c:v>
                </c:pt>
                <c:pt idx="626">
                  <c:v>1.1328707696599324E-6</c:v>
                </c:pt>
                <c:pt idx="627">
                  <c:v>1.133709457748311E-6</c:v>
                </c:pt>
                <c:pt idx="628">
                  <c:v>1.1345461836516636E-6</c:v>
                </c:pt>
                <c:pt idx="629">
                  <c:v>1.1353809465525097E-6</c:v>
                </c:pt>
                <c:pt idx="630">
                  <c:v>1.1362138854666668E-6</c:v>
                </c:pt>
                <c:pt idx="631">
                  <c:v>1.1370449801748204E-6</c:v>
                </c:pt>
                <c:pt idx="632">
                  <c:v>1.1378728999790193E-6</c:v>
                </c:pt>
                <c:pt idx="633">
                  <c:v>1.1386984987732202E-6</c:v>
                </c:pt>
                <c:pt idx="634">
                  <c:v>1.139521351113436E-6</c:v>
                </c:pt>
                <c:pt idx="635">
                  <c:v>1.1403422570176937E-6</c:v>
                </c:pt>
                <c:pt idx="636">
                  <c:v>1.1411612883994774E-6</c:v>
                </c:pt>
                <c:pt idx="637">
                  <c:v>1.1419785053242386E-6</c:v>
                </c:pt>
                <c:pt idx="638">
                  <c:v>1.1427933088376588E-6</c:v>
                </c:pt>
                <c:pt idx="639">
                  <c:v>1.143604952693383E-6</c:v>
                </c:pt>
                <c:pt idx="640">
                  <c:v>1.1444142636916936E-6</c:v>
                </c:pt>
                <c:pt idx="641">
                  <c:v>1.1452215701774248E-6</c:v>
                </c:pt>
                <c:pt idx="642">
                  <c:v>1.1460262681472591E-6</c:v>
                </c:pt>
                <c:pt idx="643">
                  <c:v>1.146829188635233E-6</c:v>
                </c:pt>
                <c:pt idx="644">
                  <c:v>1.1476303099970924E-6</c:v>
                </c:pt>
                <c:pt idx="645">
                  <c:v>1.1484290106006635E-6</c:v>
                </c:pt>
                <c:pt idx="646">
                  <c:v>1.1492247224159089E-6</c:v>
                </c:pt>
                <c:pt idx="647">
                  <c:v>1.1500195236523638E-6</c:v>
                </c:pt>
                <c:pt idx="648">
                  <c:v>1.1508109425043329E-6</c:v>
                </c:pt>
                <c:pt idx="649">
                  <c:v>1.1516002403231854E-6</c:v>
                </c:pt>
                <c:pt idx="650">
                  <c:v>1.1523870148343138E-6</c:v>
                </c:pt>
                <c:pt idx="651">
                  <c:v>1.1531706549381145E-6</c:v>
                </c:pt>
                <c:pt idx="652">
                  <c:v>1.1539532436860319E-6</c:v>
                </c:pt>
                <c:pt idx="653">
                  <c:v>1.1547338092002645E-6</c:v>
                </c:pt>
                <c:pt idx="654">
                  <c:v>1.155511522573363E-6</c:v>
                </c:pt>
                <c:pt idx="655">
                  <c:v>1.1562863523493307E-6</c:v>
                </c:pt>
                <c:pt idx="656">
                  <c:v>1.1570593217750326E-6</c:v>
                </c:pt>
                <c:pt idx="657">
                  <c:v>1.1578298442012023E-6</c:v>
                </c:pt>
                <c:pt idx="658">
                  <c:v>1.1585986312385078E-6</c:v>
                </c:pt>
                <c:pt idx="659">
                  <c:v>1.1593651996482304E-6</c:v>
                </c:pt>
                <c:pt idx="660">
                  <c:v>1.1601287692072492E-6</c:v>
                </c:pt>
                <c:pt idx="661">
                  <c:v>1.1608908671130854E-6</c:v>
                </c:pt>
                <c:pt idx="662">
                  <c:v>1.1616503081394682E-6</c:v>
                </c:pt>
                <c:pt idx="663">
                  <c:v>1.1624070561761043E-6</c:v>
                </c:pt>
                <c:pt idx="664">
                  <c:v>1.1631613853913721E-6</c:v>
                </c:pt>
                <c:pt idx="665">
                  <c:v>1.1639140675487608E-6</c:v>
                </c:pt>
                <c:pt idx="666">
                  <c:v>1.1646644333631358E-6</c:v>
                </c:pt>
                <c:pt idx="667">
                  <c:v>1.1654118283661999E-6</c:v>
                </c:pt>
                <c:pt idx="668">
                  <c:v>1.1661578569295233E-6</c:v>
                </c:pt>
                <c:pt idx="669">
                  <c:v>1.1669005955672276E-6</c:v>
                </c:pt>
                <c:pt idx="670">
                  <c:v>1.1676412588371186E-6</c:v>
                </c:pt>
                <c:pt idx="671">
                  <c:v>1.168379565983512E-6</c:v>
                </c:pt>
                <c:pt idx="672">
                  <c:v>1.1691155890697113E-6</c:v>
                </c:pt>
                <c:pt idx="673">
                  <c:v>1.1698500182715935E-6</c:v>
                </c:pt>
                <c:pt idx="674">
                  <c:v>1.1705822710025121E-6</c:v>
                </c:pt>
                <c:pt idx="675">
                  <c:v>1.1713109654251061E-6</c:v>
                </c:pt>
                <c:pt idx="676">
                  <c:v>1.1720383487188484E-6</c:v>
                </c:pt>
                <c:pt idx="677">
                  <c:v>1.1727631923475991E-6</c:v>
                </c:pt>
                <c:pt idx="678">
                  <c:v>1.1734854748992393E-6</c:v>
                </c:pt>
                <c:pt idx="679">
                  <c:v>1.1742054739186737E-6</c:v>
                </c:pt>
                <c:pt idx="680">
                  <c:v>1.174923222442988E-6</c:v>
                </c:pt>
                <c:pt idx="681">
                  <c:v>1.1756388814575112E-6</c:v>
                </c:pt>
                <c:pt idx="682">
                  <c:v>1.1763515896805091E-6</c:v>
                </c:pt>
                <c:pt idx="683">
                  <c:v>1.177063054064312E-6</c:v>
                </c:pt>
                <c:pt idx="684">
                  <c:v>1.1777713355420937E-6</c:v>
                </c:pt>
                <c:pt idx="685">
                  <c:v>1.1784770285069301E-6</c:v>
                </c:pt>
                <c:pt idx="686">
                  <c:v>1.1791819818636234E-6</c:v>
                </c:pt>
                <c:pt idx="687">
                  <c:v>1.179882574151498E-6</c:v>
                </c:pt>
                <c:pt idx="688">
                  <c:v>1.1805815379701585E-6</c:v>
                </c:pt>
                <c:pt idx="689">
                  <c:v>1.1812786550635141E-6</c:v>
                </c:pt>
                <c:pt idx="690">
                  <c:v>1.1819744861811925E-6</c:v>
                </c:pt>
                <c:pt idx="691">
                  <c:v>1.1826669297184715E-6</c:v>
                </c:pt>
                <c:pt idx="692">
                  <c:v>1.1833566600034729E-6</c:v>
                </c:pt>
                <c:pt idx="693">
                  <c:v>1.184044087040071E-6</c:v>
                </c:pt>
                <c:pt idx="694">
                  <c:v>1.1847308974906335E-6</c:v>
                </c:pt>
                <c:pt idx="695">
                  <c:v>1.1854133606649951E-6</c:v>
                </c:pt>
                <c:pt idx="696">
                  <c:v>1.1860942007408346E-6</c:v>
                </c:pt>
                <c:pt idx="697">
                  <c:v>1.1867733040883389E-6</c:v>
                </c:pt>
                <c:pt idx="698">
                  <c:v>1.187450547654458E-6</c:v>
                </c:pt>
                <c:pt idx="699">
                  <c:v>1.1881244132014222E-6</c:v>
                </c:pt>
                <c:pt idx="700">
                  <c:v>1.1887956710384869E-6</c:v>
                </c:pt>
                <c:pt idx="701">
                  <c:v>1.1894640588591793E-6</c:v>
                </c:pt>
                <c:pt idx="702">
                  <c:v>1.1901303678522708E-6</c:v>
                </c:pt>
                <c:pt idx="703">
                  <c:v>1.1907946935927177E-6</c:v>
                </c:pt>
                <c:pt idx="704">
                  <c:v>1.1914571070327936E-6</c:v>
                </c:pt>
                <c:pt idx="705">
                  <c:v>1.192117668674013E-6</c:v>
                </c:pt>
                <c:pt idx="706">
                  <c:v>1.1927749136203587E-6</c:v>
                </c:pt>
                <c:pt idx="707">
                  <c:v>1.1934310510226405E-6</c:v>
                </c:pt>
                <c:pt idx="708">
                  <c:v>1.1940842316526211E-6</c:v>
                </c:pt>
                <c:pt idx="709">
                  <c:v>1.1947343944981519E-6</c:v>
                </c:pt>
                <c:pt idx="710">
                  <c:v>1.1953824041045041E-6</c:v>
                </c:pt>
                <c:pt idx="711">
                  <c:v>1.1960285006573987E-6</c:v>
                </c:pt>
                <c:pt idx="712">
                  <c:v>1.1966726991101158E-6</c:v>
                </c:pt>
                <c:pt idx="713">
                  <c:v>1.1973150373767092E-6</c:v>
                </c:pt>
                <c:pt idx="714">
                  <c:v>1.197953431233424E-6</c:v>
                </c:pt>
                <c:pt idx="715">
                  <c:v>1.1985908317028043E-6</c:v>
                </c:pt>
                <c:pt idx="716">
                  <c:v>1.1992252981753036E-6</c:v>
                </c:pt>
                <c:pt idx="717">
                  <c:v>1.1998574456553664E-6</c:v>
                </c:pt>
                <c:pt idx="718">
                  <c:v>1.2004869685957553E-6</c:v>
                </c:pt>
                <c:pt idx="719">
                  <c:v>1.2011145100745022E-6</c:v>
                </c:pt>
                <c:pt idx="720">
                  <c:v>1.2017402238569114E-6</c:v>
                </c:pt>
                <c:pt idx="721">
                  <c:v>1.2023635042138041E-6</c:v>
                </c:pt>
                <c:pt idx="722">
                  <c:v>1.2029835333555118E-6</c:v>
                </c:pt>
                <c:pt idx="723">
                  <c:v>1.2036025877090629E-6</c:v>
                </c:pt>
                <c:pt idx="724">
                  <c:v>1.2042180983176956E-6</c:v>
                </c:pt>
                <c:pt idx="725">
                  <c:v>1.2048313853961121E-6</c:v>
                </c:pt>
                <c:pt idx="726">
                  <c:v>1.2054420753348897E-6</c:v>
                </c:pt>
                <c:pt idx="727">
                  <c:v>1.2060508882753887E-6</c:v>
                </c:pt>
                <c:pt idx="728">
                  <c:v>1.206657317543438E-6</c:v>
                </c:pt>
                <c:pt idx="729">
                  <c:v>1.2072620243860111E-6</c:v>
                </c:pt>
                <c:pt idx="730">
                  <c:v>1.2078649440518812E-6</c:v>
                </c:pt>
                <c:pt idx="731">
                  <c:v>1.2084640309145793E-6</c:v>
                </c:pt>
                <c:pt idx="732">
                  <c:v>1.2090607085873964E-6</c:v>
                </c:pt>
                <c:pt idx="733">
                  <c:v>1.2096562472664406E-6</c:v>
                </c:pt>
                <c:pt idx="734">
                  <c:v>1.210249158202982E-6</c:v>
                </c:pt>
                <c:pt idx="735">
                  <c:v>1.2108393120835136E-6</c:v>
                </c:pt>
                <c:pt idx="736">
                  <c:v>1.2114276369324592E-6</c:v>
                </c:pt>
                <c:pt idx="737">
                  <c:v>1.2120136084617469E-6</c:v>
                </c:pt>
                <c:pt idx="738">
                  <c:v>1.2125956964976315E-6</c:v>
                </c:pt>
                <c:pt idx="739">
                  <c:v>1.2131768917943469E-6</c:v>
                </c:pt>
                <c:pt idx="740">
                  <c:v>1.2137546314504563E-6</c:v>
                </c:pt>
                <c:pt idx="741">
                  <c:v>1.2143317269326941E-6</c:v>
                </c:pt>
                <c:pt idx="742">
                  <c:v>1.2149055327119862E-6</c:v>
                </c:pt>
                <c:pt idx="743">
                  <c:v>1.2154766443063987E-6</c:v>
                </c:pt>
                <c:pt idx="744">
                  <c:v>1.2160459224205148E-6</c:v>
                </c:pt>
                <c:pt idx="745">
                  <c:v>1.2166129373840493E-6</c:v>
                </c:pt>
                <c:pt idx="746">
                  <c:v>1.2171776829288691E-6</c:v>
                </c:pt>
                <c:pt idx="747">
                  <c:v>1.2177392458933707E-6</c:v>
                </c:pt>
                <c:pt idx="748">
                  <c:v>1.2182993971788149E-6</c:v>
                </c:pt>
                <c:pt idx="749">
                  <c:v>1.2188561173798278E-6</c:v>
                </c:pt>
                <c:pt idx="750">
                  <c:v>1.2194123288649796E-6</c:v>
                </c:pt>
                <c:pt idx="751">
                  <c:v>1.2199652982503879E-6</c:v>
                </c:pt>
                <c:pt idx="752">
                  <c:v>1.2205155846709589E-6</c:v>
                </c:pt>
                <c:pt idx="753">
                  <c:v>1.2210634684366919E-6</c:v>
                </c:pt>
                <c:pt idx="754">
                  <c:v>1.2216096680156375E-6</c:v>
                </c:pt>
                <c:pt idx="755">
                  <c:v>1.2221537020144799E-6</c:v>
                </c:pt>
                <c:pt idx="756">
                  <c:v>1.2226940013855894E-6</c:v>
                </c:pt>
                <c:pt idx="757">
                  <c:v>1.2232329204372363E-6</c:v>
                </c:pt>
                <c:pt idx="758">
                  <c:v>1.2237685175123491E-6</c:v>
                </c:pt>
                <c:pt idx="759">
                  <c:v>1.2243036583563487E-6</c:v>
                </c:pt>
                <c:pt idx="760">
                  <c:v>1.2248355637368296E-6</c:v>
                </c:pt>
                <c:pt idx="761">
                  <c:v>1.2253648871965262E-6</c:v>
                </c:pt>
                <c:pt idx="762">
                  <c:v>1.2258918401524437E-6</c:v>
                </c:pt>
                <c:pt idx="763">
                  <c:v>1.2264165498940736E-6</c:v>
                </c:pt>
                <c:pt idx="764">
                  <c:v>1.2269391050463604E-6</c:v>
                </c:pt>
                <c:pt idx="765">
                  <c:v>1.2274596895210115E-6</c:v>
                </c:pt>
                <c:pt idx="766">
                  <c:v>1.2279766230073247E-6</c:v>
                </c:pt>
                <c:pt idx="767">
                  <c:v>1.2284923614166594E-6</c:v>
                </c:pt>
                <c:pt idx="768">
                  <c:v>1.2290047463242932E-6</c:v>
                </c:pt>
                <c:pt idx="769">
                  <c:v>1.2295144502825987E-6</c:v>
                </c:pt>
                <c:pt idx="770">
                  <c:v>1.2300218122188799E-6</c:v>
                </c:pt>
                <c:pt idx="771">
                  <c:v>1.2305270173864308E-6</c:v>
                </c:pt>
                <c:pt idx="772">
                  <c:v>1.2310300663716028E-6</c:v>
                </c:pt>
                <c:pt idx="773">
                  <c:v>1.2315311027407313E-6</c:v>
                </c:pt>
                <c:pt idx="774">
                  <c:v>1.2320301067430113E-6</c:v>
                </c:pt>
                <c:pt idx="775">
                  <c:v>1.2325272110513846E-6</c:v>
                </c:pt>
                <c:pt idx="776">
                  <c:v>1.2330206830847673E-6</c:v>
                </c:pt>
                <c:pt idx="777">
                  <c:v>1.2335129933529014E-6</c:v>
                </c:pt>
                <c:pt idx="778">
                  <c:v>1.234002070002272E-6</c:v>
                </c:pt>
                <c:pt idx="779">
                  <c:v>1.2344885153643946E-6</c:v>
                </c:pt>
                <c:pt idx="780">
                  <c:v>1.2349726413465714E-6</c:v>
                </c:pt>
                <c:pt idx="781">
                  <c:v>1.2354563443538928E-6</c:v>
                </c:pt>
                <c:pt idx="782">
                  <c:v>1.2359349973593157E-6</c:v>
                </c:pt>
                <c:pt idx="783">
                  <c:v>1.2364121020873522E-6</c:v>
                </c:pt>
                <c:pt idx="784">
                  <c:v>1.2368874017942316E-6</c:v>
                </c:pt>
                <c:pt idx="785">
                  <c:v>1.2373609142826603E-6</c:v>
                </c:pt>
                <c:pt idx="786">
                  <c:v>1.2378308227069066E-6</c:v>
                </c:pt>
                <c:pt idx="787">
                  <c:v>1.2382997100539173E-6</c:v>
                </c:pt>
                <c:pt idx="788">
                  <c:v>1.2387648694747347E-6</c:v>
                </c:pt>
                <c:pt idx="789">
                  <c:v>1.2392274234364782E-6</c:v>
                </c:pt>
                <c:pt idx="790">
                  <c:v>1.2396877791368845E-6</c:v>
                </c:pt>
                <c:pt idx="791">
                  <c:v>1.2401460445896467E-6</c:v>
                </c:pt>
                <c:pt idx="792">
                  <c:v>1.2406017608513842E-6</c:v>
                </c:pt>
                <c:pt idx="793">
                  <c:v>1.2410555480202148E-6</c:v>
                </c:pt>
                <c:pt idx="794">
                  <c:v>1.2415074571147513E-6</c:v>
                </c:pt>
                <c:pt idx="795">
                  <c:v>1.2419568889523259E-6</c:v>
                </c:pt>
                <c:pt idx="796">
                  <c:v>1.2424027381110108E-6</c:v>
                </c:pt>
                <c:pt idx="797">
                  <c:v>1.2428475854108329E-6</c:v>
                </c:pt>
                <c:pt idx="798">
                  <c:v>1.2432886953955743E-6</c:v>
                </c:pt>
                <c:pt idx="799">
                  <c:v>1.2437272850298141E-6</c:v>
                </c:pt>
                <c:pt idx="800">
                  <c:v>1.2441648370479144E-6</c:v>
                </c:pt>
                <c:pt idx="801">
                  <c:v>1.2445996360657845E-6</c:v>
                </c:pt>
                <c:pt idx="802">
                  <c:v>1.2450320825080066E-6</c:v>
                </c:pt>
                <c:pt idx="803">
                  <c:v>1.2454618691513545E-6</c:v>
                </c:pt>
                <c:pt idx="804">
                  <c:v>1.2458896806589502E-6</c:v>
                </c:pt>
                <c:pt idx="805">
                  <c:v>1.2463132783577489E-6</c:v>
                </c:pt>
                <c:pt idx="806">
                  <c:v>1.2467358113026583E-6</c:v>
                </c:pt>
                <c:pt idx="807">
                  <c:v>1.2471546367157537E-6</c:v>
                </c:pt>
                <c:pt idx="808">
                  <c:v>1.2475727061031676E-6</c:v>
                </c:pt>
                <c:pt idx="809">
                  <c:v>1.2479872705693065E-6</c:v>
                </c:pt>
                <c:pt idx="810">
                  <c:v>1.2484011213141896E-6</c:v>
                </c:pt>
                <c:pt idx="811">
                  <c:v>1.2488115351556758E-6</c:v>
                </c:pt>
                <c:pt idx="812">
                  <c:v>1.2492195031586166E-6</c:v>
                </c:pt>
                <c:pt idx="813">
                  <c:v>1.2496248587446125E-6</c:v>
                </c:pt>
                <c:pt idx="814">
                  <c:v>1.250028237101974E-6</c:v>
                </c:pt>
                <c:pt idx="815">
                  <c:v>1.2504291796029244E-6</c:v>
                </c:pt>
                <c:pt idx="816">
                  <c:v>1.2508259293199831E-6</c:v>
                </c:pt>
                <c:pt idx="817">
                  <c:v>1.2512217503077941E-6</c:v>
                </c:pt>
                <c:pt idx="818">
                  <c:v>1.2516157531722582E-6</c:v>
                </c:pt>
                <c:pt idx="819">
                  <c:v>1.2520064665405931E-6</c:v>
                </c:pt>
                <c:pt idx="820">
                  <c:v>1.2523957600290229E-6</c:v>
                </c:pt>
                <c:pt idx="821">
                  <c:v>1.2527814935876623E-6</c:v>
                </c:pt>
                <c:pt idx="822">
                  <c:v>1.2531647866836344E-6</c:v>
                </c:pt>
                <c:pt idx="823">
                  <c:v>1.2535454393864365E-6</c:v>
                </c:pt>
                <c:pt idx="824">
                  <c:v>1.2539235468474701E-6</c:v>
                </c:pt>
                <c:pt idx="825">
                  <c:v>1.2542992963490504E-6</c:v>
                </c:pt>
                <c:pt idx="826">
                  <c:v>1.2546732163708317E-6</c:v>
                </c:pt>
                <c:pt idx="827">
                  <c:v>1.2550448020893401E-6</c:v>
                </c:pt>
                <c:pt idx="828">
                  <c:v>1.2554142089568077E-6</c:v>
                </c:pt>
                <c:pt idx="829">
                  <c:v>1.2557795557217197E-6</c:v>
                </c:pt>
                <c:pt idx="830">
                  <c:v>1.2561439806833042E-6</c:v>
                </c:pt>
                <c:pt idx="831">
                  <c:v>1.2565066476423515E-6</c:v>
                </c:pt>
                <c:pt idx="832">
                  <c:v>1.2568655359964394E-6</c:v>
                </c:pt>
                <c:pt idx="833">
                  <c:v>1.2572213185511417E-6</c:v>
                </c:pt>
                <c:pt idx="834">
                  <c:v>1.2575743794955951E-6</c:v>
                </c:pt>
                <c:pt idx="835">
                  <c:v>1.2579267348164515E-6</c:v>
                </c:pt>
                <c:pt idx="836">
                  <c:v>1.2582764743403957E-6</c:v>
                </c:pt>
                <c:pt idx="837">
                  <c:v>1.2586235261712261E-6</c:v>
                </c:pt>
                <c:pt idx="838">
                  <c:v>1.2589680538999981E-6</c:v>
                </c:pt>
                <c:pt idx="839">
                  <c:v>1.2593102789496726E-6</c:v>
                </c:pt>
                <c:pt idx="840">
                  <c:v>1.2596483192646235E-6</c:v>
                </c:pt>
                <c:pt idx="841">
                  <c:v>1.2599848495962737E-6</c:v>
                </c:pt>
                <c:pt idx="842">
                  <c:v>1.2603195900401925E-6</c:v>
                </c:pt>
                <c:pt idx="843">
                  <c:v>1.2606505932896324E-6</c:v>
                </c:pt>
                <c:pt idx="844">
                  <c:v>1.2609804004233516E-6</c:v>
                </c:pt>
                <c:pt idx="845">
                  <c:v>1.2613067236412948E-6</c:v>
                </c:pt>
                <c:pt idx="846">
                  <c:v>1.2616299927446553E-6</c:v>
                </c:pt>
                <c:pt idx="847">
                  <c:v>1.2619525158408254E-6</c:v>
                </c:pt>
                <c:pt idx="848">
                  <c:v>1.262271862009052E-6</c:v>
                </c:pt>
                <c:pt idx="849">
                  <c:v>1.2625884913624586E-6</c:v>
                </c:pt>
                <c:pt idx="850">
                  <c:v>1.2629025711030569E-6</c:v>
                </c:pt>
                <c:pt idx="851">
                  <c:v>1.2632143239090233E-6</c:v>
                </c:pt>
                <c:pt idx="852">
                  <c:v>1.263523784872752E-6</c:v>
                </c:pt>
                <c:pt idx="853">
                  <c:v>1.2638291411731113E-6</c:v>
                </c:pt>
                <c:pt idx="854">
                  <c:v>1.2641330595992447E-6</c:v>
                </c:pt>
                <c:pt idx="855">
                  <c:v>1.2644352479109776E-6</c:v>
                </c:pt>
                <c:pt idx="856">
                  <c:v>1.2647330880842041E-6</c:v>
                </c:pt>
                <c:pt idx="857">
                  <c:v>1.2650297191034302E-6</c:v>
                </c:pt>
                <c:pt idx="858">
                  <c:v>1.2653228359486988E-6</c:v>
                </c:pt>
                <c:pt idx="859">
                  <c:v>1.2656149604630634E-6</c:v>
                </c:pt>
                <c:pt idx="860">
                  <c:v>1.2659037256390551E-6</c:v>
                </c:pt>
                <c:pt idx="861">
                  <c:v>1.2661896359142931E-6</c:v>
                </c:pt>
                <c:pt idx="862">
                  <c:v>1.2664723930809077E-6</c:v>
                </c:pt>
                <c:pt idx="863">
                  <c:v>1.2667527541006875E-6</c:v>
                </c:pt>
                <c:pt idx="864">
                  <c:v>1.26703076437017E-6</c:v>
                </c:pt>
                <c:pt idx="865">
                  <c:v>1.2673065751296203E-6</c:v>
                </c:pt>
                <c:pt idx="866">
                  <c:v>1.2675796879588602E-6</c:v>
                </c:pt>
                <c:pt idx="867">
                  <c:v>1.2678507394973781E-6</c:v>
                </c:pt>
                <c:pt idx="868">
                  <c:v>1.2681197065373633E-6</c:v>
                </c:pt>
                <c:pt idx="869">
                  <c:v>1.2683860985800799E-6</c:v>
                </c:pt>
                <c:pt idx="870">
                  <c:v>1.2686484215809405E-6</c:v>
                </c:pt>
                <c:pt idx="871">
                  <c:v>1.2689094250254707E-6</c:v>
                </c:pt>
                <c:pt idx="872">
                  <c:v>1.2691663250284891E-6</c:v>
                </c:pt>
                <c:pt idx="873">
                  <c:v>1.2694222291006382E-6</c:v>
                </c:pt>
                <c:pt idx="874">
                  <c:v>1.2696747430371397E-6</c:v>
                </c:pt>
                <c:pt idx="875">
                  <c:v>1.2699237712472426E-6</c:v>
                </c:pt>
                <c:pt idx="876">
                  <c:v>1.2701722276510057E-6</c:v>
                </c:pt>
                <c:pt idx="877">
                  <c:v>1.2704174844891059E-6</c:v>
                </c:pt>
                <c:pt idx="878">
                  <c:v>1.2706595231602059E-6</c:v>
                </c:pt>
                <c:pt idx="879">
                  <c:v>1.2708990405914464E-6</c:v>
                </c:pt>
                <c:pt idx="880">
                  <c:v>1.2711357774718322E-6</c:v>
                </c:pt>
                <c:pt idx="881">
                  <c:v>1.2713702866685987E-6</c:v>
                </c:pt>
                <c:pt idx="882">
                  <c:v>1.2716021200159739E-6</c:v>
                </c:pt>
                <c:pt idx="883">
                  <c:v>1.2718318219989531E-6</c:v>
                </c:pt>
                <c:pt idx="884">
                  <c:v>1.2720568592547413E-6</c:v>
                </c:pt>
                <c:pt idx="885">
                  <c:v>1.2722805414326457E-6</c:v>
                </c:pt>
                <c:pt idx="886">
                  <c:v>1.2725021432301271E-6</c:v>
                </c:pt>
                <c:pt idx="887">
                  <c:v>1.2727199443777041E-6</c:v>
                </c:pt>
                <c:pt idx="888">
                  <c:v>1.2729360673310643E-6</c:v>
                </c:pt>
                <c:pt idx="889">
                  <c:v>1.2731486596166865E-6</c:v>
                </c:pt>
                <c:pt idx="890">
                  <c:v>1.2733598783614297E-6</c:v>
                </c:pt>
                <c:pt idx="891">
                  <c:v>1.2735671886004686E-6</c:v>
                </c:pt>
                <c:pt idx="892">
                  <c:v>1.2737715111047217E-6</c:v>
                </c:pt>
                <c:pt idx="893">
                  <c:v>1.2739727325694903E-6</c:v>
                </c:pt>
                <c:pt idx="894">
                  <c:v>1.2741736111926459E-6</c:v>
                </c:pt>
                <c:pt idx="895">
                  <c:v>1.2743709563061799E-6</c:v>
                </c:pt>
                <c:pt idx="896">
                  <c:v>1.2745651160624995E-6</c:v>
                </c:pt>
                <c:pt idx="897">
                  <c:v>1.2747568020680213E-6</c:v>
                </c:pt>
                <c:pt idx="898">
                  <c:v>1.2749456743507593E-6</c:v>
                </c:pt>
                <c:pt idx="899">
                  <c:v>1.2751318500870422E-6</c:v>
                </c:pt>
                <c:pt idx="900">
                  <c:v>1.2753132702087514E-6</c:v>
                </c:pt>
                <c:pt idx="901">
                  <c:v>1.2754933059834456E-6</c:v>
                </c:pt>
                <c:pt idx="902">
                  <c:v>1.2756711666705527E-6</c:v>
                </c:pt>
                <c:pt idx="903">
                  <c:v>1.2758467896135953E-6</c:v>
                </c:pt>
                <c:pt idx="904">
                  <c:v>1.2760178848845722E-6</c:v>
                </c:pt>
                <c:pt idx="905">
                  <c:v>1.2761878030581332E-6</c:v>
                </c:pt>
                <c:pt idx="906">
                  <c:v>1.2763535656939057E-6</c:v>
                </c:pt>
                <c:pt idx="907">
                  <c:v>1.2765179386778862E-6</c:v>
                </c:pt>
                <c:pt idx="908">
                  <c:v>1.2766783601211904E-6</c:v>
                </c:pt>
                <c:pt idx="909">
                  <c:v>1.2768374545916711E-6</c:v>
                </c:pt>
                <c:pt idx="910">
                  <c:v>1.2769931356899575E-6</c:v>
                </c:pt>
                <c:pt idx="911">
                  <c:v>1.2771453510915478E-6</c:v>
                </c:pt>
                <c:pt idx="912">
                  <c:v>1.2772965966419991E-6</c:v>
                </c:pt>
                <c:pt idx="913">
                  <c:v>1.2774442114009843E-6</c:v>
                </c:pt>
                <c:pt idx="914">
                  <c:v>1.2775884767530387E-6</c:v>
                </c:pt>
                <c:pt idx="915">
                  <c:v>1.2777296859705399E-6</c:v>
                </c:pt>
                <c:pt idx="916">
                  <c:v>1.2778680392458832E-6</c:v>
                </c:pt>
                <c:pt idx="917">
                  <c:v>1.2780035792103285E-6</c:v>
                </c:pt>
                <c:pt idx="918">
                  <c:v>1.2781364454484335E-6</c:v>
                </c:pt>
                <c:pt idx="919">
                  <c:v>1.2782666417039631E-6</c:v>
                </c:pt>
                <c:pt idx="920">
                  <c:v>1.2783947516848336E-6</c:v>
                </c:pt>
                <c:pt idx="921">
                  <c:v>1.2785202738001279E-6</c:v>
                </c:pt>
                <c:pt idx="922">
                  <c:v>1.2786409706524586E-6</c:v>
                </c:pt>
                <c:pt idx="923">
                  <c:v>1.2787597572470515E-6</c:v>
                </c:pt>
                <c:pt idx="924">
                  <c:v>1.2788764309205806E-6</c:v>
                </c:pt>
                <c:pt idx="925">
                  <c:v>1.2789881456688134E-6</c:v>
                </c:pt>
                <c:pt idx="926">
                  <c:v>1.2790982296879904E-6</c:v>
                </c:pt>
                <c:pt idx="927">
                  <c:v>1.279206425583721E-6</c:v>
                </c:pt>
                <c:pt idx="928">
                  <c:v>1.2793102078563883E-6</c:v>
                </c:pt>
                <c:pt idx="929">
                  <c:v>1.2794124380714358E-6</c:v>
                </c:pt>
                <c:pt idx="930">
                  <c:v>1.2795105878711221E-6</c:v>
                </c:pt>
                <c:pt idx="931">
                  <c:v>1.2796050498468301E-6</c:v>
                </c:pt>
                <c:pt idx="932">
                  <c:v>1.279698480575571E-6</c:v>
                </c:pt>
                <c:pt idx="933">
                  <c:v>1.2797881027095324E-6</c:v>
                </c:pt>
                <c:pt idx="934">
                  <c:v>1.2798742460132224E-6</c:v>
                </c:pt>
                <c:pt idx="935">
                  <c:v>1.279959075456233E-6</c:v>
                </c:pt>
                <c:pt idx="936">
                  <c:v>1.2800402576102712E-6</c:v>
                </c:pt>
                <c:pt idx="937">
                  <c:v>1.2801180979841917E-6</c:v>
                </c:pt>
                <c:pt idx="938">
                  <c:v>1.28019281023285E-6</c:v>
                </c:pt>
                <c:pt idx="939">
                  <c:v>1.2802645468507961E-6</c:v>
                </c:pt>
                <c:pt idx="940">
                  <c:v>1.2803329575793837E-6</c:v>
                </c:pt>
                <c:pt idx="941">
                  <c:v>1.2803985128779555E-6</c:v>
                </c:pt>
                <c:pt idx="942">
                  <c:v>1.2804613084927564E-6</c:v>
                </c:pt>
                <c:pt idx="943">
                  <c:v>1.2805214173114033E-6</c:v>
                </c:pt>
                <c:pt idx="944">
                  <c:v>1.2805783436760593E-6</c:v>
                </c:pt>
                <c:pt idx="945">
                  <c:v>1.2806326443990606E-6</c:v>
                </c:pt>
                <c:pt idx="946">
                  <c:v>1.280684285527318E-6</c:v>
                </c:pt>
                <c:pt idx="947">
                  <c:v>1.2807308912126561E-6</c:v>
                </c:pt>
                <c:pt idx="948">
                  <c:v>1.2807750840652608E-6</c:v>
                </c:pt>
                <c:pt idx="949">
                  <c:v>1.2808171200484898E-6</c:v>
                </c:pt>
                <c:pt idx="950">
                  <c:v>1.2808568553990454E-6</c:v>
                </c:pt>
                <c:pt idx="951">
                  <c:v>1.2808913608045376E-6</c:v>
                </c:pt>
                <c:pt idx="952">
                  <c:v>1.2809240626130989E-6</c:v>
                </c:pt>
                <c:pt idx="953">
                  <c:v>1.2809542793589225E-6</c:v>
                </c:pt>
                <c:pt idx="954">
                  <c:v>1.2809799415911965E-6</c:v>
                </c:pt>
                <c:pt idx="955">
                  <c:v>1.2810039693790331E-6</c:v>
                </c:pt>
                <c:pt idx="956">
                  <c:v>1.2810231603371528E-6</c:v>
                </c:pt>
                <c:pt idx="957">
                  <c:v>1.2810408759348275E-6</c:v>
                </c:pt>
                <c:pt idx="958">
                  <c:v>1.2810538767670064E-6</c:v>
                </c:pt>
                <c:pt idx="959">
                  <c:v>1.2810655102441117E-6</c:v>
                </c:pt>
                <c:pt idx="960">
                  <c:v>1.281072514618377E-6</c:v>
                </c:pt>
                <c:pt idx="961">
                  <c:v>1.2810758012926779E-6</c:v>
                </c:pt>
                <c:pt idx="962">
                  <c:v>1.2810775741135787E-6</c:v>
                </c:pt>
                <c:pt idx="963">
                  <c:v>1.2810754163631636E-6</c:v>
                </c:pt>
                <c:pt idx="964">
                  <c:v>1.2810691736413954E-6</c:v>
                </c:pt>
                <c:pt idx="965">
                  <c:v>1.2810619831078334E-6</c:v>
                </c:pt>
                <c:pt idx="966">
                  <c:v>1.2810504876528612E-6</c:v>
                </c:pt>
                <c:pt idx="967">
                  <c:v>1.2810354487957518E-6</c:v>
                </c:pt>
                <c:pt idx="968">
                  <c:v>1.281016624214005E-6</c:v>
                </c:pt>
                <c:pt idx="969">
                  <c:v>1.280994183757879E-6</c:v>
                </c:pt>
                <c:pt idx="970">
                  <c:v>1.2809686183512091E-6</c:v>
                </c:pt>
                <c:pt idx="971">
                  <c:v>1.2809420699848995E-6</c:v>
                </c:pt>
                <c:pt idx="972">
                  <c:v>1.2809120027295849E-6</c:v>
                </c:pt>
                <c:pt idx="973">
                  <c:v>1.2808781124707122E-6</c:v>
                </c:pt>
                <c:pt idx="974">
                  <c:v>1.2808405255954989E-6</c:v>
                </c:pt>
                <c:pt idx="975">
                  <c:v>1.2807998747207463E-6</c:v>
                </c:pt>
                <c:pt idx="976">
                  <c:v>1.2807557457762055E-6</c:v>
                </c:pt>
                <c:pt idx="977">
                  <c:v>1.2807081857562641E-6</c:v>
                </c:pt>
                <c:pt idx="978">
                  <c:v>1.2806576831820682E-6</c:v>
                </c:pt>
                <c:pt idx="979">
                  <c:v>1.2806012844951846E-6</c:v>
                </c:pt>
                <c:pt idx="980">
                  <c:v>1.2805421420217732E-6</c:v>
                </c:pt>
                <c:pt idx="981">
                  <c:v>1.2804801245030924E-6</c:v>
                </c:pt>
                <c:pt idx="982">
                  <c:v>1.2804155902401782E-6</c:v>
                </c:pt>
                <c:pt idx="983">
                  <c:v>1.2803480198124423E-6</c:v>
                </c:pt>
                <c:pt idx="984">
                  <c:v>1.2802772968742982E-6</c:v>
                </c:pt>
                <c:pt idx="985">
                  <c:v>1.2802034290021469E-6</c:v>
                </c:pt>
                <c:pt idx="986">
                  <c:v>1.2801243072322793E-6</c:v>
                </c:pt>
                <c:pt idx="987">
                  <c:v>1.2800425458893978E-6</c:v>
                </c:pt>
                <c:pt idx="988">
                  <c:v>1.2799579460658578E-6</c:v>
                </c:pt>
                <c:pt idx="989">
                  <c:v>1.2798704528642925E-6</c:v>
                </c:pt>
                <c:pt idx="990">
                  <c:v>1.2797773622235492E-6</c:v>
                </c:pt>
                <c:pt idx="991">
                  <c:v>1.2796817574635949E-6</c:v>
                </c:pt>
                <c:pt idx="992">
                  <c:v>1.2795834330346027E-6</c:v>
                </c:pt>
                <c:pt idx="993">
                  <c:v>1.2794800835044205E-6</c:v>
                </c:pt>
                <c:pt idx="994">
                  <c:v>1.2793743254990522E-6</c:v>
                </c:pt>
                <c:pt idx="995">
                  <c:v>1.2792659420327701E-6</c:v>
                </c:pt>
                <c:pt idx="996">
                  <c:v>1.2791521592772199E-6</c:v>
                </c:pt>
                <c:pt idx="997">
                  <c:v>1.2790360573875184E-6</c:v>
                </c:pt>
                <c:pt idx="998">
                  <c:v>1.278914782233607E-6</c:v>
                </c:pt>
                <c:pt idx="999">
                  <c:v>1.2787912907889296E-6</c:v>
                </c:pt>
                <c:pt idx="1000">
                  <c:v>1.2786653455012196E-6</c:v>
                </c:pt>
                <c:pt idx="1001">
                  <c:v>1.2785340467270132E-6</c:v>
                </c:pt>
                <c:pt idx="1002">
                  <c:v>1.2784005038673881E-6</c:v>
                </c:pt>
                <c:pt idx="1003">
                  <c:v>1.2782617630642144E-6</c:v>
                </c:pt>
                <c:pt idx="1004">
                  <c:v>1.2781208302575502E-6</c:v>
                </c:pt>
                <c:pt idx="1005">
                  <c:v>1.27797481785546E-6</c:v>
                </c:pt>
                <c:pt idx="1006">
                  <c:v>1.277826716860105E-6</c:v>
                </c:pt>
                <c:pt idx="1007">
                  <c:v>1.2776735324898127E-6</c:v>
                </c:pt>
                <c:pt idx="1008">
                  <c:v>1.2775182729598972E-6</c:v>
                </c:pt>
                <c:pt idx="1009">
                  <c:v>1.2773579387708158E-6</c:v>
                </c:pt>
                <c:pt idx="1010">
                  <c:v>1.2771928517210138E-6</c:v>
                </c:pt>
                <c:pt idx="1011">
                  <c:v>1.2770258840573351E-6</c:v>
                </c:pt>
                <c:pt idx="1012">
                  <c:v>1.2768535518052399E-6</c:v>
                </c:pt>
                <c:pt idx="1013">
                  <c:v>1.2766793163603197E-6</c:v>
                </c:pt>
                <c:pt idx="1014">
                  <c:v>1.2765000563530452E-6</c:v>
                </c:pt>
                <c:pt idx="1015">
                  <c:v>1.2763160926348282E-6</c:v>
                </c:pt>
                <c:pt idx="1016">
                  <c:v>1.276130327719089E-6</c:v>
                </c:pt>
                <c:pt idx="1017">
                  <c:v>1.2759396886815476E-6</c:v>
                </c:pt>
                <c:pt idx="1018">
                  <c:v>1.2757471333637669E-6</c:v>
                </c:pt>
                <c:pt idx="1019">
                  <c:v>1.2755491035768077E-6</c:v>
                </c:pt>
                <c:pt idx="1020">
                  <c:v>1.2753463783122409E-6</c:v>
                </c:pt>
                <c:pt idx="1021">
                  <c:v>1.2751418962142206E-6</c:v>
                </c:pt>
                <c:pt idx="1022">
                  <c:v>1.2749324896651655E-6</c:v>
                </c:pt>
                <c:pt idx="1023">
                  <c:v>1.2747179571253199E-6</c:v>
                </c:pt>
                <c:pt idx="1024">
                  <c:v>1.2745017066614299E-6</c:v>
                </c:pt>
                <c:pt idx="1025">
                  <c:v>1.2742804831831762E-6</c:v>
                </c:pt>
                <c:pt idx="1026">
                  <c:v>1.27405453305131E-6</c:v>
                </c:pt>
                <c:pt idx="1027">
                  <c:v>1.2738264163890565E-6</c:v>
                </c:pt>
                <c:pt idx="1028">
                  <c:v>1.2735933955800061E-6</c:v>
                </c:pt>
                <c:pt idx="1029">
                  <c:v>1.2733556293302675E-6</c:v>
                </c:pt>
                <c:pt idx="1030">
                  <c:v>1.2731157040528508E-6</c:v>
                </c:pt>
                <c:pt idx="1031">
                  <c:v>1.272870799801363E-6</c:v>
                </c:pt>
                <c:pt idx="1032">
                  <c:v>1.2726210955528824E-6</c:v>
                </c:pt>
                <c:pt idx="1033">
                  <c:v>1.272369211702251E-6</c:v>
                </c:pt>
                <c:pt idx="1034">
                  <c:v>1.2721123246771489E-6</c:v>
                </c:pt>
                <c:pt idx="1035">
                  <c:v>1.2718506197768952E-6</c:v>
                </c:pt>
                <c:pt idx="1036">
                  <c:v>1.2715866700720829E-6</c:v>
                </c:pt>
                <c:pt idx="1037">
                  <c:v>1.2713176576448216E-6</c:v>
                </c:pt>
                <c:pt idx="1038">
                  <c:v>1.2710433548919836E-6</c:v>
                </c:pt>
                <c:pt idx="1039">
                  <c:v>1.2707672347087532E-6</c:v>
                </c:pt>
                <c:pt idx="1040">
                  <c:v>1.2704856007439275E-6</c:v>
                </c:pt>
                <c:pt idx="1041">
                  <c:v>1.2701990985209065E-6</c:v>
                </c:pt>
                <c:pt idx="1042">
                  <c:v>1.2699102831677731E-6</c:v>
                </c:pt>
                <c:pt idx="1043">
                  <c:v>1.2696163305881185E-6</c:v>
                </c:pt>
                <c:pt idx="1044">
                  <c:v>1.2693169609274835E-6</c:v>
                </c:pt>
                <c:pt idx="1045">
                  <c:v>1.2690127981250236E-6</c:v>
                </c:pt>
                <c:pt idx="1046">
                  <c:v>1.2687064089529595E-6</c:v>
                </c:pt>
                <c:pt idx="1047">
                  <c:v>1.2683949347810544E-6</c:v>
                </c:pt>
                <c:pt idx="1048">
                  <c:v>1.2680780842883278E-6</c:v>
                </c:pt>
                <c:pt idx="1049">
                  <c:v>1.2677593392975254E-6</c:v>
                </c:pt>
                <c:pt idx="1050">
                  <c:v>1.2674349175249263E-6</c:v>
                </c:pt>
                <c:pt idx="1051">
                  <c:v>1.2671054235378337E-6</c:v>
                </c:pt>
                <c:pt idx="1052">
                  <c:v>1.2667735869748036E-6</c:v>
                </c:pt>
                <c:pt idx="1053">
                  <c:v>1.2664364104651437E-6</c:v>
                </c:pt>
                <c:pt idx="1054">
                  <c:v>1.2660966228720247E-6</c:v>
                </c:pt>
                <c:pt idx="1055">
                  <c:v>1.2657509174259745E-6</c:v>
                </c:pt>
                <c:pt idx="1056">
                  <c:v>1.2653999400261919E-6</c:v>
                </c:pt>
                <c:pt idx="1057">
                  <c:v>1.2650464215940353E-6</c:v>
                </c:pt>
                <c:pt idx="1058">
                  <c:v>1.2646869603559773E-6</c:v>
                </c:pt>
                <c:pt idx="1059">
                  <c:v>1.2643222020163848E-6</c:v>
                </c:pt>
                <c:pt idx="1060">
                  <c:v>1.2639548342168061E-6</c:v>
                </c:pt>
                <c:pt idx="1061">
                  <c:v>1.2635815193631135E-6</c:v>
                </c:pt>
                <c:pt idx="1062">
                  <c:v>1.2632058554621865E-6</c:v>
                </c:pt>
                <c:pt idx="1063">
                  <c:v>1.2628240261719766E-6</c:v>
                </c:pt>
                <c:pt idx="1064">
                  <c:v>1.2624393263282578E-6</c:v>
                </c:pt>
                <c:pt idx="1065">
                  <c:v>1.2620483820013075E-6</c:v>
                </c:pt>
                <c:pt idx="1066">
                  <c:v>1.2616518179467676E-6</c:v>
                </c:pt>
                <c:pt idx="1067">
                  <c:v>1.2612524212807592E-6</c:v>
                </c:pt>
                <c:pt idx="1068">
                  <c:v>1.2608467936591815E-6</c:v>
                </c:pt>
                <c:pt idx="1069">
                  <c:v>1.2604382015150168E-6</c:v>
                </c:pt>
                <c:pt idx="1070">
                  <c:v>1.2600236763891995E-6</c:v>
                </c:pt>
                <c:pt idx="1071">
                  <c:v>1.259606021472888E-6</c:v>
                </c:pt>
                <c:pt idx="1072">
                  <c:v>1.2591818698798344E-6</c:v>
                </c:pt>
                <c:pt idx="1073">
                  <c:v>1.2587545546312405E-6</c:v>
                </c:pt>
                <c:pt idx="1074">
                  <c:v>1.258320640641918E-6</c:v>
                </c:pt>
                <c:pt idx="1075">
                  <c:v>1.2578834884776735E-6</c:v>
                </c:pt>
                <c:pt idx="1076">
                  <c:v>1.2574400790370675E-6</c:v>
                </c:pt>
                <c:pt idx="1077">
                  <c:v>1.2569933629296337E-6</c:v>
                </c:pt>
                <c:pt idx="1078">
                  <c:v>1.2565430331800888E-6</c:v>
                </c:pt>
                <c:pt idx="1079">
                  <c:v>1.2560857020800746E-6</c:v>
                </c:pt>
                <c:pt idx="1080">
                  <c:v>1.2556247610507405E-6</c:v>
                </c:pt>
                <c:pt idx="1081">
                  <c:v>1.255160016818098E-6</c:v>
                </c:pt>
                <c:pt idx="1082">
                  <c:v>1.2546880926086364E-6</c:v>
                </c:pt>
                <c:pt idx="1083">
                  <c:v>1.254212420842097E-6</c:v>
                </c:pt>
                <c:pt idx="1084">
                  <c:v>1.2537295999030958E-6</c:v>
                </c:pt>
                <c:pt idx="1085">
                  <c:v>1.2532430056717085E-6</c:v>
                </c:pt>
                <c:pt idx="1086">
                  <c:v>1.2527524113161486E-6</c:v>
                </c:pt>
                <c:pt idx="1087">
                  <c:v>1.2522576277876993E-6</c:v>
                </c:pt>
                <c:pt idx="1088">
                  <c:v>1.251755298468987E-6</c:v>
                </c:pt>
                <c:pt idx="1089">
                  <c:v>1.2512488809037279E-6</c:v>
                </c:pt>
                <c:pt idx="1090">
                  <c:v>1.2507381968777523E-6</c:v>
                </c:pt>
                <c:pt idx="1091">
                  <c:v>1.2502230400862947E-6</c:v>
                </c:pt>
                <c:pt idx="1092">
                  <c:v>1.2497000678406135E-6</c:v>
                </c:pt>
                <c:pt idx="1093">
                  <c:v>1.2491727943803642E-6</c:v>
                </c:pt>
                <c:pt idx="1094">
                  <c:v>1.2486410147738102E-6</c:v>
                </c:pt>
                <c:pt idx="1095">
                  <c:v>1.2481046116280873E-6</c:v>
                </c:pt>
                <c:pt idx="1096">
                  <c:v>1.2475634288482046E-6</c:v>
                </c:pt>
                <c:pt idx="1097">
                  <c:v>1.2470163557720875E-6</c:v>
                </c:pt>
                <c:pt idx="1098">
                  <c:v>1.2464640621364383E-6</c:v>
                </c:pt>
                <c:pt idx="1099">
                  <c:v>1.245906799955418E-6</c:v>
                </c:pt>
                <c:pt idx="1100">
                  <c:v>1.2453441321213415E-6</c:v>
                </c:pt>
                <c:pt idx="1101">
                  <c:v>1.2447759286524496E-6</c:v>
                </c:pt>
                <c:pt idx="1102">
                  <c:v>1.2442025238353818E-6</c:v>
                </c:pt>
                <c:pt idx="1103">
                  <c:v>1.2436237856912513E-6</c:v>
                </c:pt>
                <c:pt idx="1104">
                  <c:v>1.2430399848763962E-6</c:v>
                </c:pt>
                <c:pt idx="1105">
                  <c:v>1.2424506928573939E-6</c:v>
                </c:pt>
                <c:pt idx="1106">
                  <c:v>1.2418561470000104E-6</c:v>
                </c:pt>
                <c:pt idx="1107">
                  <c:v>1.2412558688333598E-6</c:v>
                </c:pt>
                <c:pt idx="1108">
                  <c:v>1.2406501629575001E-6</c:v>
                </c:pt>
                <c:pt idx="1109">
                  <c:v>1.2400389267678425E-6</c:v>
                </c:pt>
                <c:pt idx="1110">
                  <c:v>1.239422456556643E-6</c:v>
                </c:pt>
                <c:pt idx="1111">
                  <c:v>1.2388002184390596E-6</c:v>
                </c:pt>
                <c:pt idx="1112">
                  <c:v>1.238172520007872E-6</c:v>
                </c:pt>
                <c:pt idx="1113">
                  <c:v>1.237539261206905E-6</c:v>
                </c:pt>
                <c:pt idx="1114">
                  <c:v>1.2369006918052518E-6</c:v>
                </c:pt>
                <c:pt idx="1115">
                  <c:v>1.2362562890766489E-6</c:v>
                </c:pt>
                <c:pt idx="1116">
                  <c:v>1.235606366747325E-6</c:v>
                </c:pt>
                <c:pt idx="1117">
                  <c:v>1.2349508300219354E-6</c:v>
                </c:pt>
                <c:pt idx="1118">
                  <c:v>1.2342895328411974E-6</c:v>
                </c:pt>
                <c:pt idx="1119">
                  <c:v>1.2336227764822476E-6</c:v>
                </c:pt>
                <c:pt idx="1120">
                  <c:v>1.2329504079316203E-6</c:v>
                </c:pt>
                <c:pt idx="1121">
                  <c:v>1.2322719399148098E-6</c:v>
                </c:pt>
                <c:pt idx="1122">
                  <c:v>1.2315880082262155E-6</c:v>
                </c:pt>
                <c:pt idx="1123">
                  <c:v>1.2308981590561565E-6</c:v>
                </c:pt>
                <c:pt idx="1124">
                  <c:v>1.2302022553399064E-6</c:v>
                </c:pt>
                <c:pt idx="1125">
                  <c:v>1.2295009455692178E-6</c:v>
                </c:pt>
                <c:pt idx="1126">
                  <c:v>1.2287933358634081E-6</c:v>
                </c:pt>
                <c:pt idx="1127">
                  <c:v>1.228080098305432E-6</c:v>
                </c:pt>
                <c:pt idx="1128">
                  <c:v>1.2273614536315636E-6</c:v>
                </c:pt>
                <c:pt idx="1129">
                  <c:v>1.2266364962443115E-6</c:v>
                </c:pt>
                <c:pt idx="1130">
                  <c:v>1.2259058897528813E-6</c:v>
                </c:pt>
                <c:pt idx="1131">
                  <c:v>1.2251690999767861E-6</c:v>
                </c:pt>
                <c:pt idx="1132">
                  <c:v>1.2244264151230778E-6</c:v>
                </c:pt>
                <c:pt idx="1133">
                  <c:v>1.2236776752286718E-6</c:v>
                </c:pt>
                <c:pt idx="1134">
                  <c:v>1.2229227995255028E-6</c:v>
                </c:pt>
                <c:pt idx="1135">
                  <c:v>1.2221619991736119E-6</c:v>
                </c:pt>
                <c:pt idx="1136">
                  <c:v>1.2213951712060444E-6</c:v>
                </c:pt>
                <c:pt idx="1137">
                  <c:v>1.2206221575770412E-6</c:v>
                </c:pt>
                <c:pt idx="1138">
                  <c:v>1.2198432272670866E-6</c:v>
                </c:pt>
                <c:pt idx="1139">
                  <c:v>1.21905784998745E-6</c:v>
                </c:pt>
                <c:pt idx="1140">
                  <c:v>1.2182666733022984E-6</c:v>
                </c:pt>
                <c:pt idx="1141">
                  <c:v>1.2174691490085434E-6</c:v>
                </c:pt>
                <c:pt idx="1142">
                  <c:v>1.2166655505357889E-6</c:v>
                </c:pt>
                <c:pt idx="1143">
                  <c:v>1.2158557126935556E-6</c:v>
                </c:pt>
                <c:pt idx="1144">
                  <c:v>1.2150391322440017E-6</c:v>
                </c:pt>
                <c:pt idx="1145">
                  <c:v>1.2142168334648753E-6</c:v>
                </c:pt>
                <c:pt idx="1146">
                  <c:v>1.2133878834385781E-6</c:v>
                </c:pt>
                <c:pt idx="1147">
                  <c:v>1.2125525373663654E-6</c:v>
                </c:pt>
                <c:pt idx="1148">
                  <c:v>1.2117110502619217E-6</c:v>
                </c:pt>
                <c:pt idx="1149">
                  <c:v>1.2108632483284243E-6</c:v>
                </c:pt>
                <c:pt idx="1150">
                  <c:v>1.2100093723367064E-6</c:v>
                </c:pt>
                <c:pt idx="1151">
                  <c:v>1.2091488731294217E-6</c:v>
                </c:pt>
                <c:pt idx="1152">
                  <c:v>1.2082816241162747E-6</c:v>
                </c:pt>
                <c:pt idx="1153">
                  <c:v>1.2074082646803589E-6</c:v>
                </c:pt>
                <c:pt idx="1154">
                  <c:v>1.2065282392289222E-6</c:v>
                </c:pt>
                <c:pt idx="1155">
                  <c:v>1.2056417827322148E-6</c:v>
                </c:pt>
                <c:pt idx="1156">
                  <c:v>1.2047483654329322E-6</c:v>
                </c:pt>
                <c:pt idx="1157">
                  <c:v>1.203849007184733E-6</c:v>
                </c:pt>
                <c:pt idx="1158">
                  <c:v>1.2029427559124503E-6</c:v>
                </c:pt>
                <c:pt idx="1159">
                  <c:v>1.202029860099365E-6</c:v>
                </c:pt>
                <c:pt idx="1160">
                  <c:v>1.2011101684088487E-6</c:v>
                </c:pt>
                <c:pt idx="1161">
                  <c:v>1.2001843013429658E-6</c:v>
                </c:pt>
                <c:pt idx="1162">
                  <c:v>1.1992516902665329E-6</c:v>
                </c:pt>
                <c:pt idx="1163">
                  <c:v>1.1983121833309117E-6</c:v>
                </c:pt>
                <c:pt idx="1164">
                  <c:v>1.1973660169112494E-6</c:v>
                </c:pt>
                <c:pt idx="1165">
                  <c:v>1.1964130259991777E-6</c:v>
                </c:pt>
                <c:pt idx="1166">
                  <c:v>1.1954534476726742E-6</c:v>
                </c:pt>
                <c:pt idx="1167">
                  <c:v>1.1944871145970045E-6</c:v>
                </c:pt>
                <c:pt idx="1168">
                  <c:v>1.1935138603518481E-6</c:v>
                </c:pt>
                <c:pt idx="1169">
                  <c:v>1.1925339116061047E-6</c:v>
                </c:pt>
                <c:pt idx="1170">
                  <c:v>1.1915467121673805E-6</c:v>
                </c:pt>
                <c:pt idx="1171">
                  <c:v>1.1905528945355138E-6</c:v>
                </c:pt>
                <c:pt idx="1172">
                  <c:v>1.1895522748101734E-6</c:v>
                </c:pt>
                <c:pt idx="1173">
                  <c:v>1.1885446911131748E-6</c:v>
                </c:pt>
                <c:pt idx="1174">
                  <c:v>1.187530362279251E-6</c:v>
                </c:pt>
                <c:pt idx="1175">
                  <c:v>1.1865087216352762E-6</c:v>
                </c:pt>
                <c:pt idx="1176">
                  <c:v>1.1854803985270427E-6</c:v>
                </c:pt>
                <c:pt idx="1177">
                  <c:v>1.1844448111412875E-6</c:v>
                </c:pt>
                <c:pt idx="1178">
                  <c:v>1.1834021938338046E-6</c:v>
                </c:pt>
                <c:pt idx="1179">
                  <c:v>1.1823523775890452E-6</c:v>
                </c:pt>
                <c:pt idx="1180">
                  <c:v>1.1812955871768944E-6</c:v>
                </c:pt>
                <c:pt idx="1181">
                  <c:v>1.1802316406284789E-6</c:v>
                </c:pt>
                <c:pt idx="1182">
                  <c:v>1.179160758807777E-6</c:v>
                </c:pt>
                <c:pt idx="1183">
                  <c:v>1.1780827517992728E-6</c:v>
                </c:pt>
                <c:pt idx="1184">
                  <c:v>1.1769974416380651E-6</c:v>
                </c:pt>
                <c:pt idx="1185">
                  <c:v>1.1759050546384574E-6</c:v>
                </c:pt>
                <c:pt idx="1186">
                  <c:v>1.174805403908561E-6</c:v>
                </c:pt>
                <c:pt idx="1187">
                  <c:v>1.1736983168518929E-6</c:v>
                </c:pt>
                <c:pt idx="1188">
                  <c:v>1.1725840234409975E-6</c:v>
                </c:pt>
                <c:pt idx="1189">
                  <c:v>1.1714627319045945E-6</c:v>
                </c:pt>
                <c:pt idx="1190">
                  <c:v>1.1703338452990413E-6</c:v>
                </c:pt>
                <c:pt idx="1191">
                  <c:v>1.1691979976260706E-6</c:v>
                </c:pt>
                <c:pt idx="1192">
                  <c:v>1.1680545829267822E-6</c:v>
                </c:pt>
                <c:pt idx="1193">
                  <c:v>1.166903831518024E-6</c:v>
                </c:pt>
                <c:pt idx="1194">
                  <c:v>1.1657459553273008E-6</c:v>
                </c:pt>
                <c:pt idx="1195">
                  <c:v>1.1645807490712496E-6</c:v>
                </c:pt>
                <c:pt idx="1196">
                  <c:v>1.1634076448139137E-6</c:v>
                </c:pt>
                <c:pt idx="1197">
                  <c:v>1.1622272557392166E-6</c:v>
                </c:pt>
                <c:pt idx="1198">
                  <c:v>1.1610393813262834E-6</c:v>
                </c:pt>
                <c:pt idx="1199">
                  <c:v>1.1598442364041885E-6</c:v>
                </c:pt>
                <c:pt idx="1200">
                  <c:v>1.1586416178174864E-6</c:v>
                </c:pt>
                <c:pt idx="1201">
                  <c:v>1.1574313341292325E-6</c:v>
                </c:pt>
                <c:pt idx="1202">
                  <c:v>1.1562136075680654E-6</c:v>
                </c:pt>
                <c:pt idx="1203">
                  <c:v>1.154987864350221E-6</c:v>
                </c:pt>
                <c:pt idx="1204">
                  <c:v>1.1537547147637663E-6</c:v>
                </c:pt>
                <c:pt idx="1205">
                  <c:v>1.1525139511434875E-6</c:v>
                </c:pt>
                <c:pt idx="1206">
                  <c:v>1.1512657886293926E-6</c:v>
                </c:pt>
                <c:pt idx="1207">
                  <c:v>1.1500100150182019E-6</c:v>
                </c:pt>
                <c:pt idx="1208">
                  <c:v>1.1487464664748512E-6</c:v>
                </c:pt>
                <c:pt idx="1209">
                  <c:v>1.1474753183821358E-6</c:v>
                </c:pt>
                <c:pt idx="1210">
                  <c:v>1.1461963686210103E-6</c:v>
                </c:pt>
                <c:pt idx="1211">
                  <c:v>1.1449098378763067E-6</c:v>
                </c:pt>
                <c:pt idx="1212">
                  <c:v>1.1436155564996413E-6</c:v>
                </c:pt>
                <c:pt idx="1213">
                  <c:v>1.1423136870914019E-6</c:v>
                </c:pt>
                <c:pt idx="1214">
                  <c:v>1.141004019310358E-6</c:v>
                </c:pt>
                <c:pt idx="1215">
                  <c:v>1.1396867688295673E-6</c:v>
                </c:pt>
                <c:pt idx="1216">
                  <c:v>1.138361350180105E-6</c:v>
                </c:pt>
                <c:pt idx="1217">
                  <c:v>1.1370283599330698E-6</c:v>
                </c:pt>
                <c:pt idx="1218">
                  <c:v>1.1356875793148668E-6</c:v>
                </c:pt>
                <c:pt idx="1219">
                  <c:v>1.1343388469596843E-6</c:v>
                </c:pt>
                <c:pt idx="1220">
                  <c:v>1.13298232598647E-6</c:v>
                </c:pt>
                <c:pt idx="1221">
                  <c:v>1.1316178060755095E-6</c:v>
                </c:pt>
                <c:pt idx="1222">
                  <c:v>1.130245138581345E-6</c:v>
                </c:pt>
                <c:pt idx="1223">
                  <c:v>1.1288649102141603E-6</c:v>
                </c:pt>
                <c:pt idx="1224">
                  <c:v>1.1274765238066022E-6</c:v>
                </c:pt>
                <c:pt idx="1225">
                  <c:v>1.1260805645276466E-6</c:v>
                </c:pt>
                <c:pt idx="1226">
                  <c:v>1.1246768011408464E-6</c:v>
                </c:pt>
                <c:pt idx="1227">
                  <c:v>1.1232646480488924E-6</c:v>
                </c:pt>
                <c:pt idx="1228">
                  <c:v>1.1218447006527049E-6</c:v>
                </c:pt>
                <c:pt idx="1229">
                  <c:v>1.1204163704038496E-6</c:v>
                </c:pt>
                <c:pt idx="1230">
                  <c:v>1.1189802515772983E-6</c:v>
                </c:pt>
                <c:pt idx="1231">
                  <c:v>1.1175365417290758E-6</c:v>
                </c:pt>
                <c:pt idx="1232">
                  <c:v>1.1160846357078907E-6</c:v>
                </c:pt>
                <c:pt idx="1233">
                  <c:v>1.1146246873166156E-6</c:v>
                </c:pt>
                <c:pt idx="1234">
                  <c:v>1.1131565447788812E-6</c:v>
                </c:pt>
                <c:pt idx="1235">
                  <c:v>1.1116807844204149E-6</c:v>
                </c:pt>
                <c:pt idx="1236">
                  <c:v>1.1101963728175777E-6</c:v>
                </c:pt>
                <c:pt idx="1237">
                  <c:v>1.1087043395771499E-6</c:v>
                </c:pt>
                <c:pt idx="1238">
                  <c:v>1.1072040784635516E-6</c:v>
                </c:pt>
                <c:pt idx="1239">
                  <c:v>1.1056957354702654E-6</c:v>
                </c:pt>
                <c:pt idx="1240">
                  <c:v>1.1041791581432343E-6</c:v>
                </c:pt>
                <c:pt idx="1241">
                  <c:v>1.1026544897339354E-6</c:v>
                </c:pt>
                <c:pt idx="1242">
                  <c:v>1.1011215780145239E-6</c:v>
                </c:pt>
                <c:pt idx="1243">
                  <c:v>1.0995809952057155E-6</c:v>
                </c:pt>
                <c:pt idx="1244">
                  <c:v>1.0980321328170789E-6</c:v>
                </c:pt>
                <c:pt idx="1245">
                  <c:v>1.0964751312727307E-6</c:v>
                </c:pt>
                <c:pt idx="1246">
                  <c:v>1.0949098426898755E-6</c:v>
                </c:pt>
                <c:pt idx="1247">
                  <c:v>1.0933364787053378E-6</c:v>
                </c:pt>
                <c:pt idx="1248">
                  <c:v>1.0917551649687353E-6</c:v>
                </c:pt>
                <c:pt idx="1249">
                  <c:v>1.0901653074065597E-6</c:v>
                </c:pt>
                <c:pt idx="1250">
                  <c:v>1.0885674898034351E-6</c:v>
                </c:pt>
                <c:pt idx="1251">
                  <c:v>1.0869611176031368E-6</c:v>
                </c:pt>
                <c:pt idx="1252">
                  <c:v>1.0853464169054486E-6</c:v>
                </c:pt>
                <c:pt idx="1253">
                  <c:v>1.0837239582045489E-6</c:v>
                </c:pt>
                <c:pt idx="1254">
                  <c:v>1.082093135515788E-6</c:v>
                </c:pt>
                <c:pt idx="1255">
                  <c:v>1.0804537259028001E-6</c:v>
                </c:pt>
                <c:pt idx="1256">
                  <c:v>1.0788063116692152E-6</c:v>
                </c:pt>
                <c:pt idx="1257">
                  <c:v>1.0771507388490648E-6</c:v>
                </c:pt>
                <c:pt idx="1258">
                  <c:v>1.0754867721376755E-6</c:v>
                </c:pt>
                <c:pt idx="1259">
                  <c:v>1.0738149827516313E-6</c:v>
                </c:pt>
                <c:pt idx="1260">
                  <c:v>1.0721347661656396E-6</c:v>
                </c:pt>
                <c:pt idx="1261">
                  <c:v>1.070446341767825E-6</c:v>
                </c:pt>
                <c:pt idx="1262">
                  <c:v>1.0687498276048059E-6</c:v>
                </c:pt>
                <c:pt idx="1263">
                  <c:v>1.0670450762193006E-6</c:v>
                </c:pt>
                <c:pt idx="1264">
                  <c:v>1.0653318539277243E-6</c:v>
                </c:pt>
                <c:pt idx="1265">
                  <c:v>1.0636103829185611E-6</c:v>
                </c:pt>
                <c:pt idx="1266">
                  <c:v>1.0618807801051309E-6</c:v>
                </c:pt>
                <c:pt idx="1267">
                  <c:v>1.060142903616689E-6</c:v>
                </c:pt>
                <c:pt idx="1268">
                  <c:v>1.0583969658045456E-6</c:v>
                </c:pt>
                <c:pt idx="1269">
                  <c:v>1.0566427223599019E-6</c:v>
                </c:pt>
                <c:pt idx="1270">
                  <c:v>1.0548802904409348E-6</c:v>
                </c:pt>
                <c:pt idx="1271">
                  <c:v>1.0531095340156805E-6</c:v>
                </c:pt>
                <c:pt idx="1272">
                  <c:v>1.0513306695465389E-6</c:v>
                </c:pt>
                <c:pt idx="1273">
                  <c:v>1.0495434555083215E-6</c:v>
                </c:pt>
                <c:pt idx="1274">
                  <c:v>1.0477481106287561E-6</c:v>
                </c:pt>
                <c:pt idx="1275">
                  <c:v>1.0459451907036081E-6</c:v>
                </c:pt>
                <c:pt idx="1276">
                  <c:v>1.0441336335472316E-6</c:v>
                </c:pt>
                <c:pt idx="1277">
                  <c:v>1.0423141251143154E-6</c:v>
                </c:pt>
                <c:pt idx="1278">
                  <c:v>1.0404864164498396E-6</c:v>
                </c:pt>
                <c:pt idx="1279">
                  <c:v>1.0386502702564438E-6</c:v>
                </c:pt>
                <c:pt idx="1280">
                  <c:v>1.0368063666414847E-6</c:v>
                </c:pt>
                <c:pt idx="1281">
                  <c:v>1.034954338438934E-6</c:v>
                </c:pt>
                <c:pt idx="1282">
                  <c:v>1.0330940578024865E-6</c:v>
                </c:pt>
                <c:pt idx="1283">
                  <c:v>1.0312257450011379E-6</c:v>
                </c:pt>
                <c:pt idx="1284">
                  <c:v>1.0293496113424625E-6</c:v>
                </c:pt>
                <c:pt idx="1285">
                  <c:v>1.0274654043972392E-6</c:v>
                </c:pt>
                <c:pt idx="1286">
                  <c:v>1.0255728833979547E-6</c:v>
                </c:pt>
                <c:pt idx="1287">
                  <c:v>1.0236722748533112E-6</c:v>
                </c:pt>
                <c:pt idx="1288">
                  <c:v>1.0217637962136368E-6</c:v>
                </c:pt>
                <c:pt idx="1289">
                  <c:v>1.0198471991975996E-6</c:v>
                </c:pt>
                <c:pt idx="1290">
                  <c:v>1.0179227045916824E-6</c:v>
                </c:pt>
                <c:pt idx="1291">
                  <c:v>1.0159900660156107E-6</c:v>
                </c:pt>
                <c:pt idx="1292">
                  <c:v>1.0140495074043738E-6</c:v>
                </c:pt>
                <c:pt idx="1293">
                  <c:v>1.0121012441646432E-6</c:v>
                </c:pt>
                <c:pt idx="1294">
                  <c:v>1.0101450237913259E-6</c:v>
                </c:pt>
                <c:pt idx="1295">
                  <c:v>1.008180942580678E-6</c:v>
                </c:pt>
                <c:pt idx="1296">
                  <c:v>1.0062088802592457E-6</c:v>
                </c:pt>
                <c:pt idx="1297">
                  <c:v>1.0042290592749443E-6</c:v>
                </c:pt>
                <c:pt idx="1298">
                  <c:v>1.002241358289096E-6</c:v>
                </c:pt>
                <c:pt idx="1299">
                  <c:v>1.0002458714135971E-6</c:v>
                </c:pt>
                <c:pt idx="1300">
                  <c:v>9.9824235481511816E-7</c:v>
                </c:pt>
                <c:pt idx="1301">
                  <c:v>9.9623103798109065E-7</c:v>
                </c:pt>
                <c:pt idx="1302">
                  <c:v>9.942121419544194E-7</c:v>
                </c:pt>
                <c:pt idx="1303">
                  <c:v>9.9218541688204785E-7</c:v>
                </c:pt>
                <c:pt idx="1304">
                  <c:v>9.9015108797291918E-7</c:v>
                </c:pt>
                <c:pt idx="1305">
                  <c:v>9.8810937250738737E-7</c:v>
                </c:pt>
                <c:pt idx="1306">
                  <c:v>9.8606001596499465E-7</c:v>
                </c:pt>
                <c:pt idx="1307">
                  <c:v>9.8400277555003845E-7</c:v>
                </c:pt>
                <c:pt idx="1308">
                  <c:v>9.8193834937500325E-7</c:v>
                </c:pt>
                <c:pt idx="1309">
                  <c:v>9.7986601308828602E-7</c:v>
                </c:pt>
                <c:pt idx="1310">
                  <c:v>9.7778646961419664E-7</c:v>
                </c:pt>
                <c:pt idx="1311">
                  <c:v>9.756994633925482E-7</c:v>
                </c:pt>
                <c:pt idx="1312">
                  <c:v>9.7360475032186083E-7</c:v>
                </c:pt>
                <c:pt idx="1313">
                  <c:v>9.7150270347762885E-7</c:v>
                </c:pt>
                <c:pt idx="1314">
                  <c:v>9.6939293728187127E-7</c:v>
                </c:pt>
                <c:pt idx="1315">
                  <c:v>9.6727615658008982E-7</c:v>
                </c:pt>
                <c:pt idx="1316">
                  <c:v>9.6515210526125407E-7</c:v>
                </c:pt>
                <c:pt idx="1317">
                  <c:v>9.6302053853565294E-7</c:v>
                </c:pt>
                <c:pt idx="1318">
                  <c:v>9.6088215937739252E-7</c:v>
                </c:pt>
                <c:pt idx="1319">
                  <c:v>9.5873591555624249E-7</c:v>
                </c:pt>
                <c:pt idx="1320">
                  <c:v>9.5658285256549902E-7</c:v>
                </c:pt>
                <c:pt idx="1321">
                  <c:v>9.5442271451755232E-7</c:v>
                </c:pt>
                <c:pt idx="1322">
                  <c:v>9.5225525679650804E-7</c:v>
                </c:pt>
                <c:pt idx="1323">
                  <c:v>9.5008118529692619E-7</c:v>
                </c:pt>
                <c:pt idx="1324">
                  <c:v>9.4789944991045123E-7</c:v>
                </c:pt>
                <c:pt idx="1325">
                  <c:v>9.4571109625348564E-7</c:v>
                </c:pt>
                <c:pt idx="1326">
                  <c:v>9.435158693451616E-7</c:v>
                </c:pt>
                <c:pt idx="1327">
                  <c:v>9.4131352537227864E-7</c:v>
                </c:pt>
                <c:pt idx="1328">
                  <c:v>9.3910477343611004E-7</c:v>
                </c:pt>
                <c:pt idx="1329">
                  <c:v>9.3688856633247251E-7</c:v>
                </c:pt>
                <c:pt idx="1330">
                  <c:v>9.3466594989597193E-7</c:v>
                </c:pt>
                <c:pt idx="1331">
                  <c:v>9.3243667080586598E-7</c:v>
                </c:pt>
                <c:pt idx="1332">
                  <c:v>9.3020048626889322E-7</c:v>
                </c:pt>
                <c:pt idx="1333">
                  <c:v>9.2795779296632403E-7</c:v>
                </c:pt>
                <c:pt idx="1334">
                  <c:v>9.2570866454194435E-7</c:v>
                </c:pt>
                <c:pt idx="1335">
                  <c:v>9.2345285637157028E-7</c:v>
                </c:pt>
                <c:pt idx="1336">
                  <c:v>9.2119029249026204E-7</c:v>
                </c:pt>
                <c:pt idx="1337">
                  <c:v>9.1892153257728384E-7</c:v>
                </c:pt>
                <c:pt idx="1338">
                  <c:v>9.1664632915342579E-7</c:v>
                </c:pt>
                <c:pt idx="1339">
                  <c:v>9.1436460649555771E-7</c:v>
                </c:pt>
                <c:pt idx="1340">
                  <c:v>9.1207692116880864E-7</c:v>
                </c:pt>
                <c:pt idx="1341">
                  <c:v>9.0978302380269352E-7</c:v>
                </c:pt>
                <c:pt idx="1342">
                  <c:v>9.0748283915829807E-7</c:v>
                </c:pt>
                <c:pt idx="1343">
                  <c:v>9.0517644668895419E-7</c:v>
                </c:pt>
                <c:pt idx="1344">
                  <c:v>9.0286408614092206E-7</c:v>
                </c:pt>
                <c:pt idx="1345">
                  <c:v>9.0054568254119953E-7</c:v>
                </c:pt>
                <c:pt idx="1346">
                  <c:v>8.982213117211009E-7</c:v>
                </c:pt>
                <c:pt idx="1347">
                  <c:v>8.958912121139441E-7</c:v>
                </c:pt>
                <c:pt idx="1348">
                  <c:v>8.9355531003354239E-7</c:v>
                </c:pt>
                <c:pt idx="1349">
                  <c:v>8.9121367817533952E-7</c:v>
                </c:pt>
                <c:pt idx="1350">
                  <c:v>8.8886577348679906E-7</c:v>
                </c:pt>
                <c:pt idx="1351">
                  <c:v>8.8651263726433918E-7</c:v>
                </c:pt>
                <c:pt idx="1352">
                  <c:v>8.8415371621687121E-7</c:v>
                </c:pt>
                <c:pt idx="1353">
                  <c:v>8.8178908927785136E-7</c:v>
                </c:pt>
                <c:pt idx="1354">
                  <c:v>8.7941947795783018E-7</c:v>
                </c:pt>
                <c:pt idx="1355">
                  <c:v>8.7704433060036955E-7</c:v>
                </c:pt>
                <c:pt idx="1356">
                  <c:v>8.7466372326550553E-7</c:v>
                </c:pt>
                <c:pt idx="1357">
                  <c:v>8.7227760030229362E-7</c:v>
                </c:pt>
                <c:pt idx="1358">
                  <c:v>8.6988651611540022E-7</c:v>
                </c:pt>
                <c:pt idx="1359">
                  <c:v>8.6748993019939299E-7</c:v>
                </c:pt>
                <c:pt idx="1360">
                  <c:v>8.6508840022074583E-7</c:v>
                </c:pt>
                <c:pt idx="1361">
                  <c:v>8.6268186697459091E-7</c:v>
                </c:pt>
                <c:pt idx="1362">
                  <c:v>8.6027040027087768E-7</c:v>
                </c:pt>
                <c:pt idx="1363">
                  <c:v>8.5785394700414558E-7</c:v>
                </c:pt>
                <c:pt idx="1364">
                  <c:v>8.5543305583301079E-7</c:v>
                </c:pt>
                <c:pt idx="1365">
                  <c:v>8.5300718952774203E-7</c:v>
                </c:pt>
                <c:pt idx="1366">
                  <c:v>8.5057690027085278E-7</c:v>
                </c:pt>
                <c:pt idx="1367">
                  <c:v>8.4814165624748354E-7</c:v>
                </c:pt>
                <c:pt idx="1368">
                  <c:v>8.4570201283185602E-7</c:v>
                </c:pt>
                <c:pt idx="1369">
                  <c:v>8.4325791951591661E-7</c:v>
                </c:pt>
                <c:pt idx="1370">
                  <c:v>8.4080944511035698E-7</c:v>
                </c:pt>
                <c:pt idx="1371">
                  <c:v>8.3835654514718543E-7</c:v>
                </c:pt>
                <c:pt idx="1372">
                  <c:v>8.3589976619923667E-7</c:v>
                </c:pt>
                <c:pt idx="1373">
                  <c:v>8.3343858047346962E-7</c:v>
                </c:pt>
                <c:pt idx="1374">
                  <c:v>8.3097324807454495E-7</c:v>
                </c:pt>
                <c:pt idx="1375">
                  <c:v>8.2850383868526356E-7</c:v>
                </c:pt>
                <c:pt idx="1376">
                  <c:v>8.2603031501235352E-7</c:v>
                </c:pt>
                <c:pt idx="1377">
                  <c:v>8.2355322387961373E-7</c:v>
                </c:pt>
                <c:pt idx="1378">
                  <c:v>8.2107251999252558E-7</c:v>
                </c:pt>
                <c:pt idx="1379">
                  <c:v>8.1858797874981686E-7</c:v>
                </c:pt>
                <c:pt idx="1380">
                  <c:v>8.1609967092008581E-7</c:v>
                </c:pt>
                <c:pt idx="1381">
                  <c:v>8.1360804092061933E-7</c:v>
                </c:pt>
                <c:pt idx="1382">
                  <c:v>8.1111267395733355E-7</c:v>
                </c:pt>
                <c:pt idx="1383">
                  <c:v>8.0861402002078016E-7</c:v>
                </c:pt>
                <c:pt idx="1384">
                  <c:v>8.0611185895885795E-7</c:v>
                </c:pt>
                <c:pt idx="1385">
                  <c:v>8.0360673516199886E-7</c:v>
                </c:pt>
                <c:pt idx="1386">
                  <c:v>8.010986124556404E-7</c:v>
                </c:pt>
                <c:pt idx="1387">
                  <c:v>7.9858727080434498E-7</c:v>
                </c:pt>
                <c:pt idx="1388">
                  <c:v>7.9607277969435486E-7</c:v>
                </c:pt>
                <c:pt idx="1389">
                  <c:v>7.9355559091384485E-7</c:v>
                </c:pt>
                <c:pt idx="1390">
                  <c:v>7.9103548528242143E-7</c:v>
                </c:pt>
                <c:pt idx="1391">
                  <c:v>7.8851252893336029E-7</c:v>
                </c:pt>
                <c:pt idx="1392">
                  <c:v>7.859871755111067E-7</c:v>
                </c:pt>
                <c:pt idx="1393">
                  <c:v>7.8345920487173235E-7</c:v>
                </c:pt>
                <c:pt idx="1394">
                  <c:v>7.8092840624471548E-7</c:v>
                </c:pt>
                <c:pt idx="1395">
                  <c:v>7.7839532384675026E-7</c:v>
                </c:pt>
                <c:pt idx="1396">
                  <c:v>7.7585993594493248E-7</c:v>
                </c:pt>
                <c:pt idx="1397">
                  <c:v>7.7332250302342022E-7</c:v>
                </c:pt>
                <c:pt idx="1398">
                  <c:v>7.7078308354918497E-7</c:v>
                </c:pt>
                <c:pt idx="1399">
                  <c:v>7.6824165756452811E-7</c:v>
                </c:pt>
                <c:pt idx="1400">
                  <c:v>7.656980144408955E-7</c:v>
                </c:pt>
                <c:pt idx="1401">
                  <c:v>7.6315242186697596E-7</c:v>
                </c:pt>
                <c:pt idx="1402">
                  <c:v>7.6060541365534422E-7</c:v>
                </c:pt>
                <c:pt idx="1403">
                  <c:v>7.5805649854283435E-7</c:v>
                </c:pt>
                <c:pt idx="1404">
                  <c:v>7.5550594344046462E-7</c:v>
                </c:pt>
                <c:pt idx="1405">
                  <c:v>7.5295401150013544E-7</c:v>
                </c:pt>
                <c:pt idx="1406">
                  <c:v>7.5040049324226152E-7</c:v>
                </c:pt>
                <c:pt idx="1407">
                  <c:v>7.4784592193754868E-7</c:v>
                </c:pt>
                <c:pt idx="1408">
                  <c:v>7.4528981362959004E-7</c:v>
                </c:pt>
                <c:pt idx="1409">
                  <c:v>7.4273243810178195E-7</c:v>
                </c:pt>
                <c:pt idx="1410">
                  <c:v>7.4017406139374692E-7</c:v>
                </c:pt>
                <c:pt idx="1411">
                  <c:v>7.3761494594948957E-7</c:v>
                </c:pt>
                <c:pt idx="1412">
                  <c:v>7.3505514386313036E-7</c:v>
                </c:pt>
                <c:pt idx="1413">
                  <c:v>7.324941796657602E-7</c:v>
                </c:pt>
                <c:pt idx="1414">
                  <c:v>7.2993279344525096E-7</c:v>
                </c:pt>
                <c:pt idx="1415">
                  <c:v>7.2737077499418976E-7</c:v>
                </c:pt>
                <c:pt idx="1416">
                  <c:v>7.2480792409119176E-7</c:v>
                </c:pt>
                <c:pt idx="1417">
                  <c:v>7.2224451186574797E-7</c:v>
                </c:pt>
                <c:pt idx="1418">
                  <c:v>7.1968080580978881E-7</c:v>
                </c:pt>
                <c:pt idx="1419">
                  <c:v>7.1711732600379158E-7</c:v>
                </c:pt>
                <c:pt idx="1420">
                  <c:v>7.1455359808013242E-7</c:v>
                </c:pt>
                <c:pt idx="1421">
                  <c:v>7.1198988877996634E-7</c:v>
                </c:pt>
                <c:pt idx="1422">
                  <c:v>7.0942599799068434E-7</c:v>
                </c:pt>
                <c:pt idx="1423">
                  <c:v>7.068621944566265E-7</c:v>
                </c:pt>
                <c:pt idx="1424">
                  <c:v>7.0429874344982507E-7</c:v>
                </c:pt>
                <c:pt idx="1425">
                  <c:v>7.0173544469815529E-7</c:v>
                </c:pt>
                <c:pt idx="1426">
                  <c:v>6.9917256546398275E-7</c:v>
                </c:pt>
                <c:pt idx="1427">
                  <c:v>6.9661036961992558E-7</c:v>
                </c:pt>
                <c:pt idx="1428">
                  <c:v>6.9404865684206769E-7</c:v>
                </c:pt>
                <c:pt idx="1429">
                  <c:v>6.9148769296773048E-7</c:v>
                </c:pt>
                <c:pt idx="1430">
                  <c:v>6.889275294317778E-7</c:v>
                </c:pt>
                <c:pt idx="1431">
                  <c:v>6.8636817679162182E-7</c:v>
                </c:pt>
                <c:pt idx="1432">
                  <c:v>6.8380990088113379E-7</c:v>
                </c:pt>
                <c:pt idx="1433">
                  <c:v>6.8125250425868431E-7</c:v>
                </c:pt>
                <c:pt idx="1434">
                  <c:v>6.7869625446429023E-7</c:v>
                </c:pt>
                <c:pt idx="1435">
                  <c:v>6.7614141570732181E-7</c:v>
                </c:pt>
                <c:pt idx="1436">
                  <c:v>6.7358779038062121E-7</c:v>
                </c:pt>
                <c:pt idx="1437">
                  <c:v>6.7103564569484721E-7</c:v>
                </c:pt>
                <c:pt idx="1438">
                  <c:v>6.6848478659382559E-7</c:v>
                </c:pt>
                <c:pt idx="1439">
                  <c:v>6.6593593889788444E-7</c:v>
                </c:pt>
                <c:pt idx="1440">
                  <c:v>6.6338844540861387E-7</c:v>
                </c:pt>
                <c:pt idx="1441">
                  <c:v>6.6084303242994187E-7</c:v>
                </c:pt>
                <c:pt idx="1442">
                  <c:v>6.5829950194504715E-7</c:v>
                </c:pt>
                <c:pt idx="1443">
                  <c:v>6.5575766386883492E-7</c:v>
                </c:pt>
                <c:pt idx="1444">
                  <c:v>6.5321824100496821E-7</c:v>
                </c:pt>
                <c:pt idx="1445">
                  <c:v>6.5068058232263839E-7</c:v>
                </c:pt>
                <c:pt idx="1446">
                  <c:v>6.481454108225833E-7</c:v>
                </c:pt>
                <c:pt idx="1447">
                  <c:v>6.4561253195688226E-7</c:v>
                </c:pt>
                <c:pt idx="1448">
                  <c:v>6.4308220870723638E-7</c:v>
                </c:pt>
                <c:pt idx="1449">
                  <c:v>6.4055401599099817E-7</c:v>
                </c:pt>
                <c:pt idx="1450">
                  <c:v>6.3802846370405515E-7</c:v>
                </c:pt>
                <c:pt idx="1451">
                  <c:v>6.355058123802908E-7</c:v>
                </c:pt>
                <c:pt idx="1452">
                  <c:v>6.329858704556168E-7</c:v>
                </c:pt>
                <c:pt idx="1453">
                  <c:v>6.3046889957183902E-7</c:v>
                </c:pt>
                <c:pt idx="1454">
                  <c:v>6.2795471176223415E-7</c:v>
                </c:pt>
                <c:pt idx="1455">
                  <c:v>6.2544357098681641E-7</c:v>
                </c:pt>
                <c:pt idx="1456">
                  <c:v>6.2293573803006876E-7</c:v>
                </c:pt>
                <c:pt idx="1457">
                  <c:v>6.2043102297007931E-7</c:v>
                </c:pt>
                <c:pt idx="1458">
                  <c:v>6.1792968889273393E-7</c:v>
                </c:pt>
                <c:pt idx="1459">
                  <c:v>6.1543199429748346E-7</c:v>
                </c:pt>
                <c:pt idx="1460">
                  <c:v>6.1293774874414885E-7</c:v>
                </c:pt>
                <c:pt idx="1461">
                  <c:v>6.1044654278126928E-7</c:v>
                </c:pt>
                <c:pt idx="1462">
                  <c:v>6.0795932034813961E-7</c:v>
                </c:pt>
                <c:pt idx="1463">
                  <c:v>6.0547589007577288E-7</c:v>
                </c:pt>
                <c:pt idx="1464">
                  <c:v>6.0299606787323338E-7</c:v>
                </c:pt>
                <c:pt idx="1465">
                  <c:v>6.005201153714118E-7</c:v>
                </c:pt>
                <c:pt idx="1466">
                  <c:v>5.9804829106788469E-7</c:v>
                </c:pt>
                <c:pt idx="1467">
                  <c:v>5.9558041009092692E-7</c:v>
                </c:pt>
                <c:pt idx="1468">
                  <c:v>5.9311651333882849E-7</c:v>
                </c:pt>
                <c:pt idx="1469">
                  <c:v>5.9065708568336086E-7</c:v>
                </c:pt>
                <c:pt idx="1470">
                  <c:v>5.8820193969993284E-7</c:v>
                </c:pt>
                <c:pt idx="1471">
                  <c:v>5.8575133282982974E-7</c:v>
                </c:pt>
                <c:pt idx="1472">
                  <c:v>5.8330508076402562E-7</c:v>
                </c:pt>
                <c:pt idx="1473">
                  <c:v>5.8086322563284471E-7</c:v>
                </c:pt>
                <c:pt idx="1474">
                  <c:v>5.7842624567454375E-7</c:v>
                </c:pt>
                <c:pt idx="1475">
                  <c:v>5.7599395546636021E-7</c:v>
                </c:pt>
                <c:pt idx="1476">
                  <c:v>5.7356661114764812E-7</c:v>
                </c:pt>
                <c:pt idx="1477">
                  <c:v>5.7114402877422694E-7</c:v>
                </c:pt>
                <c:pt idx="1478">
                  <c:v>5.687262528891434E-7</c:v>
                </c:pt>
                <c:pt idx="1479">
                  <c:v>5.6631332342255798E-7</c:v>
                </c:pt>
                <c:pt idx="1480">
                  <c:v>5.6390549782353831E-7</c:v>
                </c:pt>
                <c:pt idx="1481">
                  <c:v>5.6150302749422299E-7</c:v>
                </c:pt>
                <c:pt idx="1482">
                  <c:v>5.5910572998671959E-7</c:v>
                </c:pt>
                <c:pt idx="1483">
                  <c:v>5.5671365179998606E-7</c:v>
                </c:pt>
                <c:pt idx="1484">
                  <c:v>5.5432725831178893E-7</c:v>
                </c:pt>
                <c:pt idx="1485">
                  <c:v>5.519463657394854E-7</c:v>
                </c:pt>
                <c:pt idx="1486">
                  <c:v>5.4957079685110362E-7</c:v>
                </c:pt>
                <c:pt idx="1487">
                  <c:v>5.4720060067007695E-7</c:v>
                </c:pt>
                <c:pt idx="1488">
                  <c:v>5.4483624177959697E-7</c:v>
                </c:pt>
                <c:pt idx="1489">
                  <c:v>5.4247753986055746E-7</c:v>
                </c:pt>
                <c:pt idx="1490">
                  <c:v>5.4012454411079383E-7</c:v>
                </c:pt>
                <c:pt idx="1491">
                  <c:v>5.3777771313927795E-7</c:v>
                </c:pt>
                <c:pt idx="1492">
                  <c:v>5.3543686506687218E-7</c:v>
                </c:pt>
                <c:pt idx="1493">
                  <c:v>5.3310182288178858E-7</c:v>
                </c:pt>
                <c:pt idx="1494">
                  <c:v>5.3077263932906841E-7</c:v>
                </c:pt>
                <c:pt idx="1495">
                  <c:v>5.2844977031784383E-7</c:v>
                </c:pt>
                <c:pt idx="1496">
                  <c:v>5.2613303707817534E-7</c:v>
                </c:pt>
                <c:pt idx="1497">
                  <c:v>5.238224908183393E-7</c:v>
                </c:pt>
                <c:pt idx="1498">
                  <c:v>5.2151857986305241E-7</c:v>
                </c:pt>
                <c:pt idx="1499">
                  <c:v>5.192211252884519E-7</c:v>
                </c:pt>
                <c:pt idx="1500">
                  <c:v>5.1692975633039624E-7</c:v>
                </c:pt>
                <c:pt idx="1501">
                  <c:v>5.146449250776018E-7</c:v>
                </c:pt>
                <c:pt idx="1502">
                  <c:v>5.1236687528360057E-7</c:v>
                </c:pt>
                <c:pt idx="1503">
                  <c:v>5.1009523656970734E-7</c:v>
                </c:pt>
                <c:pt idx="1504">
                  <c:v>5.0783045475542323E-7</c:v>
                </c:pt>
                <c:pt idx="1505">
                  <c:v>5.0557235259430802E-7</c:v>
                </c:pt>
                <c:pt idx="1506">
                  <c:v>5.0332098478245326E-7</c:v>
                </c:pt>
                <c:pt idx="1507">
                  <c:v>5.0107637503815589E-7</c:v>
                </c:pt>
                <c:pt idx="1508">
                  <c:v>4.9883876742890626E-7</c:v>
                </c:pt>
                <c:pt idx="1509">
                  <c:v>4.9660780035191621E-7</c:v>
                </c:pt>
                <c:pt idx="1510">
                  <c:v>4.9438391351836189E-7</c:v>
                </c:pt>
                <c:pt idx="1511">
                  <c:v>4.9216715862215862E-7</c:v>
                </c:pt>
                <c:pt idx="1512">
                  <c:v>4.8995755531298053E-7</c:v>
                </c:pt>
                <c:pt idx="1513">
                  <c:v>4.877553424559462E-7</c:v>
                </c:pt>
                <c:pt idx="1514">
                  <c:v>4.8556016186210343E-7</c:v>
                </c:pt>
                <c:pt idx="1515">
                  <c:v>4.8337203525494028E-7</c:v>
                </c:pt>
                <c:pt idx="1516">
                  <c:v>4.8119102211125289E-7</c:v>
                </c:pt>
                <c:pt idx="1517">
                  <c:v>4.7901755318042757E-7</c:v>
                </c:pt>
                <c:pt idx="1518">
                  <c:v>4.7685145496662364E-7</c:v>
                </c:pt>
                <c:pt idx="1519">
                  <c:v>4.7469278481053346E-7</c:v>
                </c:pt>
                <c:pt idx="1520">
                  <c:v>4.7254155993311983E-7</c:v>
                </c:pt>
                <c:pt idx="1521">
                  <c:v>4.703978377497317E-7</c:v>
                </c:pt>
                <c:pt idx="1522">
                  <c:v>4.6826163546964254E-7</c:v>
                </c:pt>
                <c:pt idx="1523">
                  <c:v>4.6613301200774408E-7</c:v>
                </c:pt>
                <c:pt idx="1524">
                  <c:v>4.6401238581963869E-7</c:v>
                </c:pt>
                <c:pt idx="1525">
                  <c:v>4.6189900392731257E-7</c:v>
                </c:pt>
                <c:pt idx="1526">
                  <c:v>4.5979369244670375E-7</c:v>
                </c:pt>
                <c:pt idx="1527">
                  <c:v>4.576962785595862E-7</c:v>
                </c:pt>
                <c:pt idx="1528">
                  <c:v>4.5560641880977209E-7</c:v>
                </c:pt>
                <c:pt idx="1529">
                  <c:v>4.5352452967362415E-7</c:v>
                </c:pt>
                <c:pt idx="1530">
                  <c:v>4.5145027041785322E-7</c:v>
                </c:pt>
                <c:pt idx="1531">
                  <c:v>4.4938405593805348E-7</c:v>
                </c:pt>
                <c:pt idx="1532">
                  <c:v>4.4732554663450789E-7</c:v>
                </c:pt>
                <c:pt idx="1533">
                  <c:v>4.4527515579661207E-7</c:v>
                </c:pt>
                <c:pt idx="1534">
                  <c:v>4.4323254638885425E-7</c:v>
                </c:pt>
                <c:pt idx="1535">
                  <c:v>4.4119812853254464E-7</c:v>
                </c:pt>
                <c:pt idx="1536">
                  <c:v>4.3917156624123249E-7</c:v>
                </c:pt>
                <c:pt idx="1537">
                  <c:v>4.371532665169007E-7</c:v>
                </c:pt>
                <c:pt idx="1538">
                  <c:v>4.3514289591815686E-7</c:v>
                </c:pt>
                <c:pt idx="1539">
                  <c:v>4.3314085978022377E-7</c:v>
                </c:pt>
                <c:pt idx="1540">
                  <c:v>4.311468270973608E-7</c:v>
                </c:pt>
                <c:pt idx="1541">
                  <c:v>4.2916119998686477E-7</c:v>
                </c:pt>
                <c:pt idx="1542">
                  <c:v>4.271836483706615E-7</c:v>
                </c:pt>
                <c:pt idx="1543">
                  <c:v>4.2521457267218581E-7</c:v>
                </c:pt>
                <c:pt idx="1544">
                  <c:v>4.2325364370383034E-7</c:v>
                </c:pt>
                <c:pt idx="1545">
                  <c:v>4.2130070845912539E-7</c:v>
                </c:pt>
                <c:pt idx="1546">
                  <c:v>4.1935616733922715E-7</c:v>
                </c:pt>
                <c:pt idx="1547">
                  <c:v>4.1742008487512075E-7</c:v>
                </c:pt>
                <c:pt idx="1548">
                  <c:v>4.15492464207436E-7</c:v>
                </c:pt>
                <c:pt idx="1549">
                  <c:v>4.1357298444223552E-7</c:v>
                </c:pt>
                <c:pt idx="1550">
                  <c:v>4.1166204087596289E-7</c:v>
                </c:pt>
                <c:pt idx="1551">
                  <c:v>4.097593132655491E-7</c:v>
                </c:pt>
                <c:pt idx="1552">
                  <c:v>4.0786519357788695E-7</c:v>
                </c:pt>
                <c:pt idx="1553">
                  <c:v>4.0597936225743264E-7</c:v>
                </c:pt>
                <c:pt idx="1554">
                  <c:v>4.0410205271478395E-7</c:v>
                </c:pt>
                <c:pt idx="1555">
                  <c:v>4.0223326731525615E-7</c:v>
                </c:pt>
                <c:pt idx="1556">
                  <c:v>4.0037269362594931E-7</c:v>
                </c:pt>
                <c:pt idx="1557">
                  <c:v>3.9852071996433596E-7</c:v>
                </c:pt>
                <c:pt idx="1558">
                  <c:v>3.9667741517425831E-7</c:v>
                </c:pt>
                <c:pt idx="1559">
                  <c:v>3.9484262538409307E-7</c:v>
                </c:pt>
                <c:pt idx="1560">
                  <c:v>3.930163523931747E-7</c:v>
                </c:pt>
                <c:pt idx="1561">
                  <c:v>3.9119828968892276E-7</c:v>
                </c:pt>
                <c:pt idx="1562">
                  <c:v>3.8938920008874913E-7</c:v>
                </c:pt>
                <c:pt idx="1563">
                  <c:v>3.8758839325220389E-7</c:v>
                </c:pt>
                <c:pt idx="1564">
                  <c:v>3.857961014338829E-7</c:v>
                </c:pt>
                <c:pt idx="1565">
                  <c:v>3.8401232710038704E-7</c:v>
                </c:pt>
                <c:pt idx="1566">
                  <c:v>3.8223714515922079E-7</c:v>
                </c:pt>
                <c:pt idx="1567">
                  <c:v>3.804704059006936E-7</c:v>
                </c:pt>
                <c:pt idx="1568">
                  <c:v>3.7871248772032339E-7</c:v>
                </c:pt>
                <c:pt idx="1569">
                  <c:v>3.7696308677447476E-7</c:v>
                </c:pt>
                <c:pt idx="1570">
                  <c:v>3.7522205644275131E-7</c:v>
                </c:pt>
                <c:pt idx="1571">
                  <c:v>3.7348977304395679E-7</c:v>
                </c:pt>
                <c:pt idx="1572">
                  <c:v>3.7176593769672582E-7</c:v>
                </c:pt>
                <c:pt idx="1573">
                  <c:v>3.7005092469097885E-7</c:v>
                </c:pt>
                <c:pt idx="1574">
                  <c:v>3.6834443532980411E-7</c:v>
                </c:pt>
                <c:pt idx="1575">
                  <c:v>3.6664632627982885E-7</c:v>
                </c:pt>
                <c:pt idx="1576">
                  <c:v>3.6495696961871058E-7</c:v>
                </c:pt>
                <c:pt idx="1577">
                  <c:v>3.6327607136045619E-7</c:v>
                </c:pt>
                <c:pt idx="1578">
                  <c:v>3.6160385835799924E-7</c:v>
                </c:pt>
                <c:pt idx="1579">
                  <c:v>3.5994018628007437E-7</c:v>
                </c:pt>
                <c:pt idx="1580">
                  <c:v>3.5828505373904325E-7</c:v>
                </c:pt>
                <c:pt idx="1581">
                  <c:v>3.5663854152371173E-7</c:v>
                </c:pt>
                <c:pt idx="1582">
                  <c:v>3.5500050649530312E-7</c:v>
                </c:pt>
                <c:pt idx="1583">
                  <c:v>3.533709481109503E-7</c:v>
                </c:pt>
                <c:pt idx="1584">
                  <c:v>3.5174994841781772E-7</c:v>
                </c:pt>
                <c:pt idx="1585">
                  <c:v>3.5013736684161878E-7</c:v>
                </c:pt>
                <c:pt idx="1586">
                  <c:v>3.4853356659109594E-7</c:v>
                </c:pt>
                <c:pt idx="1587">
                  <c:v>3.4693826393264972E-7</c:v>
                </c:pt>
                <c:pt idx="1588">
                  <c:v>3.453513192878394E-7</c:v>
                </c:pt>
                <c:pt idx="1589">
                  <c:v>3.437725967657891E-7</c:v>
                </c:pt>
                <c:pt idx="1590">
                  <c:v>3.4220245969968713E-7</c:v>
                </c:pt>
                <c:pt idx="1591">
                  <c:v>3.4064099160961777E-7</c:v>
                </c:pt>
                <c:pt idx="1592">
                  <c:v>3.3908769179726419E-7</c:v>
                </c:pt>
                <c:pt idx="1593">
                  <c:v>3.3754292253696426E-7</c:v>
                </c:pt>
                <c:pt idx="1594">
                  <c:v>3.3600676831148978E-7</c:v>
                </c:pt>
                <c:pt idx="1595">
                  <c:v>3.3447909188345939E-7</c:v>
                </c:pt>
                <c:pt idx="1596">
                  <c:v>3.3295975667565399E-7</c:v>
                </c:pt>
                <c:pt idx="1597">
                  <c:v>3.314487591267198E-7</c:v>
                </c:pt>
                <c:pt idx="1598">
                  <c:v>3.2994618968831385E-7</c:v>
                </c:pt>
                <c:pt idx="1599">
                  <c:v>3.2845191392284484E-7</c:v>
                </c:pt>
                <c:pt idx="1600">
                  <c:v>3.2696579944519737E-7</c:v>
                </c:pt>
                <c:pt idx="1601">
                  <c:v>3.2548807246782586E-7</c:v>
                </c:pt>
                <c:pt idx="1602">
                  <c:v>3.2401872858749464E-7</c:v>
                </c:pt>
                <c:pt idx="1603">
                  <c:v>3.2255750332903608E-7</c:v>
                </c:pt>
                <c:pt idx="1604">
                  <c:v>3.2110462331167707E-7</c:v>
                </c:pt>
                <c:pt idx="1605">
                  <c:v>3.196599564369601E-7</c:v>
                </c:pt>
                <c:pt idx="1606">
                  <c:v>3.1822385274312302E-7</c:v>
                </c:pt>
                <c:pt idx="1607">
                  <c:v>3.1679569464467204E-7</c:v>
                </c:pt>
                <c:pt idx="1608">
                  <c:v>3.1537570921088898E-7</c:v>
                </c:pt>
                <c:pt idx="1609">
                  <c:v>3.1396376818548195E-7</c:v>
                </c:pt>
                <c:pt idx="1610">
                  <c:v>3.1256009876455229E-7</c:v>
                </c:pt>
                <c:pt idx="1611">
                  <c:v>3.1116469438366984E-7</c:v>
                </c:pt>
                <c:pt idx="1612">
                  <c:v>3.0977729797625661E-7</c:v>
                </c:pt>
                <c:pt idx="1613">
                  <c:v>3.0839813564995564E-7</c:v>
                </c:pt>
                <c:pt idx="1614">
                  <c:v>3.0702672884842341E-7</c:v>
                </c:pt>
                <c:pt idx="1615">
                  <c:v>3.0566365622181371E-7</c:v>
                </c:pt>
                <c:pt idx="1616">
                  <c:v>3.0430856070823534E-7</c:v>
                </c:pt>
                <c:pt idx="1617">
                  <c:v>3.0296154209434464E-7</c:v>
                </c:pt>
                <c:pt idx="1618">
                  <c:v>3.0162247555410958E-7</c:v>
                </c:pt>
                <c:pt idx="1619">
                  <c:v>3.002912380333554E-7</c:v>
                </c:pt>
                <c:pt idx="1620">
                  <c:v>2.9896770824153529E-7</c:v>
                </c:pt>
                <c:pt idx="1621">
                  <c:v>2.9765211373711614E-7</c:v>
                </c:pt>
                <c:pt idx="1622">
                  <c:v>2.9634445075846201E-7</c:v>
                </c:pt>
                <c:pt idx="1623">
                  <c:v>2.9504482090238156E-7</c:v>
                </c:pt>
                <c:pt idx="1624">
                  <c:v>2.9375275498245809E-7</c:v>
                </c:pt>
                <c:pt idx="1625">
                  <c:v>2.9246848194374052E-7</c:v>
                </c:pt>
                <c:pt idx="1626">
                  <c:v>2.911922267218431E-7</c:v>
                </c:pt>
                <c:pt idx="1627">
                  <c:v>2.8992352264926305E-7</c:v>
                </c:pt>
                <c:pt idx="1628">
                  <c:v>2.88662597153882E-7</c:v>
                </c:pt>
                <c:pt idx="1629">
                  <c:v>2.8740944606116722E-7</c:v>
                </c:pt>
                <c:pt idx="1630">
                  <c:v>2.8616383247394786E-7</c:v>
                </c:pt>
                <c:pt idx="1631">
                  <c:v>2.8492598384108544E-7</c:v>
                </c:pt>
                <c:pt idx="1632">
                  <c:v>2.8369544019300456E-7</c:v>
                </c:pt>
                <c:pt idx="1633">
                  <c:v>2.8247277334066306E-7</c:v>
                </c:pt>
                <c:pt idx="1634">
                  <c:v>2.8125752218697514E-7</c:v>
                </c:pt>
                <c:pt idx="1635">
                  <c:v>2.8004957395734137E-7</c:v>
                </c:pt>
                <c:pt idx="1636">
                  <c:v>2.7884926963075217E-7</c:v>
                </c:pt>
                <c:pt idx="1637">
                  <c:v>2.7765637807619395E-7</c:v>
                </c:pt>
                <c:pt idx="1638">
                  <c:v>2.7647112761998338E-7</c:v>
                </c:pt>
                <c:pt idx="1639">
                  <c:v>2.7529306204134904E-7</c:v>
                </c:pt>
                <c:pt idx="1640">
                  <c:v>2.7412241195365045E-7</c:v>
                </c:pt>
                <c:pt idx="1641">
                  <c:v>2.7295906519168226E-7</c:v>
                </c:pt>
                <c:pt idx="1642">
                  <c:v>2.7180291109713531E-7</c:v>
                </c:pt>
                <c:pt idx="1643">
                  <c:v>2.7065417993867987E-7</c:v>
                </c:pt>
                <c:pt idx="1644">
                  <c:v>2.6951242130201058E-7</c:v>
                </c:pt>
                <c:pt idx="1645">
                  <c:v>2.6837786763091727E-7</c:v>
                </c:pt>
                <c:pt idx="1646">
                  <c:v>2.6725085445561441E-7</c:v>
                </c:pt>
                <c:pt idx="1647">
                  <c:v>2.6613082150941025E-7</c:v>
                </c:pt>
                <c:pt idx="1648">
                  <c:v>2.6501799962554508E-7</c:v>
                </c:pt>
                <c:pt idx="1649">
                  <c:v>2.6391227992046821E-7</c:v>
                </c:pt>
                <c:pt idx="1650">
                  <c:v>2.6281355631277384E-7</c:v>
                </c:pt>
                <c:pt idx="1651">
                  <c:v>2.6172172410293922E-7</c:v>
                </c:pt>
                <c:pt idx="1652">
                  <c:v>2.6063701337469238E-7</c:v>
                </c:pt>
                <c:pt idx="1653">
                  <c:v>2.5955898293210278E-7</c:v>
                </c:pt>
                <c:pt idx="1654">
                  <c:v>2.584878676598083E-7</c:v>
                </c:pt>
                <c:pt idx="1655">
                  <c:v>2.5742356346647157E-7</c:v>
                </c:pt>
                <c:pt idx="1656">
                  <c:v>2.5636630234058267E-7</c:v>
                </c:pt>
                <c:pt idx="1657">
                  <c:v>2.5531564503118729E-7</c:v>
                </c:pt>
                <c:pt idx="1658">
                  <c:v>2.542718255411591E-7</c:v>
                </c:pt>
                <c:pt idx="1659">
                  <c:v>2.5323474168524276E-7</c:v>
                </c:pt>
                <c:pt idx="1660">
                  <c:v>2.5220429394897003E-7</c:v>
                </c:pt>
                <c:pt idx="1661">
                  <c:v>2.5118071439005968E-7</c:v>
                </c:pt>
                <c:pt idx="1662">
                  <c:v>2.5016356994859669E-7</c:v>
                </c:pt>
                <c:pt idx="1663">
                  <c:v>2.4915319465555238E-7</c:v>
                </c:pt>
                <c:pt idx="1664">
                  <c:v>2.4814938489654154E-7</c:v>
                </c:pt>
                <c:pt idx="1665">
                  <c:v>2.4715204294059603E-7</c:v>
                </c:pt>
                <c:pt idx="1666">
                  <c:v>2.4616140234119517E-7</c:v>
                </c:pt>
                <c:pt idx="1667">
                  <c:v>2.4517703476595635E-7</c:v>
                </c:pt>
                <c:pt idx="1668">
                  <c:v>2.4419917559554754E-7</c:v>
                </c:pt>
                <c:pt idx="1669">
                  <c:v>2.4322772867761943E-7</c:v>
                </c:pt>
                <c:pt idx="1670">
                  <c:v>2.4226259906669024E-7</c:v>
                </c:pt>
                <c:pt idx="1671">
                  <c:v>2.413040214846047E-7</c:v>
                </c:pt>
                <c:pt idx="1672">
                  <c:v>2.4035157053317668E-7</c:v>
                </c:pt>
                <c:pt idx="1673">
                  <c:v>2.3940548407293179E-7</c:v>
                </c:pt>
                <c:pt idx="1674">
                  <c:v>2.3846566723056692E-7</c:v>
                </c:pt>
                <c:pt idx="1675">
                  <c:v>2.3753202767751707E-7</c:v>
                </c:pt>
                <c:pt idx="1676">
                  <c:v>2.3660447290403513E-7</c:v>
                </c:pt>
                <c:pt idx="1677">
                  <c:v>2.3568291293747397E-7</c:v>
                </c:pt>
                <c:pt idx="1678">
                  <c:v>2.3476758663758924E-7</c:v>
                </c:pt>
                <c:pt idx="1679">
                  <c:v>2.3385840161834226E-7</c:v>
                </c:pt>
                <c:pt idx="1680">
                  <c:v>2.3295526665160246E-7</c:v>
                </c:pt>
                <c:pt idx="1681">
                  <c:v>2.3205809299187237E-7</c:v>
                </c:pt>
                <c:pt idx="1682">
                  <c:v>2.3116679298768492E-7</c:v>
                </c:pt>
                <c:pt idx="1683">
                  <c:v>2.3028127875384114E-7</c:v>
                </c:pt>
                <c:pt idx="1684">
                  <c:v>2.2940178953216034E-7</c:v>
                </c:pt>
                <c:pt idx="1685">
                  <c:v>2.2852791334103634E-7</c:v>
                </c:pt>
                <c:pt idx="1686">
                  <c:v>2.2765989098429012E-7</c:v>
                </c:pt>
                <c:pt idx="1687">
                  <c:v>2.2679763566592628E-7</c:v>
                </c:pt>
                <c:pt idx="1688">
                  <c:v>2.2594097210827146E-7</c:v>
                </c:pt>
                <c:pt idx="1689">
                  <c:v>2.2509023516486026E-7</c:v>
                </c:pt>
                <c:pt idx="1690">
                  <c:v>2.2424501482046963E-7</c:v>
                </c:pt>
                <c:pt idx="1691">
                  <c:v>2.234055524462083E-7</c:v>
                </c:pt>
                <c:pt idx="1692">
                  <c:v>2.2257176314780416E-7</c:v>
                </c:pt>
                <c:pt idx="1693">
                  <c:v>2.2174356307998077E-7</c:v>
                </c:pt>
                <c:pt idx="1694">
                  <c:v>2.2092087076137253E-7</c:v>
                </c:pt>
                <c:pt idx="1695">
                  <c:v>2.2010360438082031E-7</c:v>
                </c:pt>
                <c:pt idx="1696">
                  <c:v>2.1929168448537761E-7</c:v>
                </c:pt>
                <c:pt idx="1697">
                  <c:v>2.1848535381397965E-7</c:v>
                </c:pt>
                <c:pt idx="1698">
                  <c:v>2.1768420940467253E-7</c:v>
                </c:pt>
                <c:pt idx="1699">
                  <c:v>2.1688849546145984E-7</c:v>
                </c:pt>
                <c:pt idx="1700">
                  <c:v>2.1609813327402851E-7</c:v>
                </c:pt>
                <c:pt idx="1701">
                  <c:v>2.1531304375350327E-7</c:v>
                </c:pt>
                <c:pt idx="1702">
                  <c:v>2.145331501120619E-7</c:v>
                </c:pt>
                <c:pt idx="1703">
                  <c:v>2.1375869622879317E-7</c:v>
                </c:pt>
                <c:pt idx="1704">
                  <c:v>2.1298928320676063E-7</c:v>
                </c:pt>
                <c:pt idx="1705">
                  <c:v>2.1222515632254294E-7</c:v>
                </c:pt>
                <c:pt idx="1706">
                  <c:v>2.1146615302094257E-7</c:v>
                </c:pt>
                <c:pt idx="1707">
                  <c:v>2.1071228551086904E-7</c:v>
                </c:pt>
                <c:pt idx="1708">
                  <c:v>2.0996347934511529E-7</c:v>
                </c:pt>
                <c:pt idx="1709">
                  <c:v>2.0921966096040855E-7</c:v>
                </c:pt>
                <c:pt idx="1710">
                  <c:v>2.0848075637062592E-7</c:v>
                </c:pt>
                <c:pt idx="1711">
                  <c:v>2.0774669383308685E-7</c:v>
                </c:pt>
                <c:pt idx="1712">
                  <c:v>2.0701772013895117E-7</c:v>
                </c:pt>
                <c:pt idx="1713">
                  <c:v>2.0629376218903771E-7</c:v>
                </c:pt>
                <c:pt idx="1714">
                  <c:v>2.0557442918542073E-7</c:v>
                </c:pt>
                <c:pt idx="1715">
                  <c:v>2.0485996986130354E-7</c:v>
                </c:pt>
                <c:pt idx="1716">
                  <c:v>2.0415031371506062E-7</c:v>
                </c:pt>
                <c:pt idx="1717">
                  <c:v>2.0344530934735065E-7</c:v>
                </c:pt>
                <c:pt idx="1718">
                  <c:v>2.0274528960063879E-7</c:v>
                </c:pt>
                <c:pt idx="1719">
                  <c:v>2.0204986581047482E-7</c:v>
                </c:pt>
                <c:pt idx="1720">
                  <c:v>2.0135928664899598E-7</c:v>
                </c:pt>
                <c:pt idx="1721">
                  <c:v>2.0067316554843978E-7</c:v>
                </c:pt>
                <c:pt idx="1722">
                  <c:v>1.9999175373550725E-7</c:v>
                </c:pt>
                <c:pt idx="1723">
                  <c:v>1.9931498200725708E-7</c:v>
                </c:pt>
                <c:pt idx="1724">
                  <c:v>1.986427833016131E-7</c:v>
                </c:pt>
                <c:pt idx="1725">
                  <c:v>1.9797509134238049E-7</c:v>
                </c:pt>
                <c:pt idx="1726">
                  <c:v>1.9731176147779741E-7</c:v>
                </c:pt>
                <c:pt idx="1727">
                  <c:v>1.9665281163727226E-7</c:v>
                </c:pt>
                <c:pt idx="1728">
                  <c:v>1.9599817778575383E-7</c:v>
                </c:pt>
                <c:pt idx="1729">
                  <c:v>1.9534811079593919E-7</c:v>
                </c:pt>
                <c:pt idx="1730">
                  <c:v>1.9470254515406106E-7</c:v>
                </c:pt>
                <c:pt idx="1731">
                  <c:v>1.9406110232773685E-7</c:v>
                </c:pt>
                <c:pt idx="1732">
                  <c:v>1.934240348885294E-7</c:v>
                </c:pt>
                <c:pt idx="1733">
                  <c:v>1.9279120233943968E-7</c:v>
                </c:pt>
                <c:pt idx="1734">
                  <c:v>1.9216262280305016E-7</c:v>
                </c:pt>
                <c:pt idx="1735">
                  <c:v>1.9153823439850143E-7</c:v>
                </c:pt>
                <c:pt idx="1736">
                  <c:v>1.9091797727602383E-7</c:v>
                </c:pt>
                <c:pt idx="1737">
                  <c:v>1.9030179098036296E-7</c:v>
                </c:pt>
                <c:pt idx="1738">
                  <c:v>1.8968992824020849E-7</c:v>
                </c:pt>
                <c:pt idx="1739">
                  <c:v>1.8908201478200403E-7</c:v>
                </c:pt>
                <c:pt idx="1740">
                  <c:v>1.8847823030387954E-7</c:v>
                </c:pt>
                <c:pt idx="1741">
                  <c:v>1.8787859289329351E-7</c:v>
                </c:pt>
                <c:pt idx="1742">
                  <c:v>1.8728273077538039E-7</c:v>
                </c:pt>
                <c:pt idx="1743">
                  <c:v>1.866909004919166E-7</c:v>
                </c:pt>
                <c:pt idx="1744">
                  <c:v>1.861030433969558E-7</c:v>
                </c:pt>
                <c:pt idx="1745">
                  <c:v>1.855191028276435E-7</c:v>
                </c:pt>
                <c:pt idx="1746">
                  <c:v>1.8493894760882137E-7</c:v>
                </c:pt>
                <c:pt idx="1747">
                  <c:v>1.8436291040930941E-7</c:v>
                </c:pt>
                <c:pt idx="1748">
                  <c:v>1.8379062142764577E-7</c:v>
                </c:pt>
                <c:pt idx="1749">
                  <c:v>1.8322202525608218E-7</c:v>
                </c:pt>
                <c:pt idx="1750">
                  <c:v>1.8265738013734088E-7</c:v>
                </c:pt>
                <c:pt idx="1751">
                  <c:v>1.8209631871352637E-7</c:v>
                </c:pt>
                <c:pt idx="1752">
                  <c:v>1.8153902647614309E-7</c:v>
                </c:pt>
                <c:pt idx="1753">
                  <c:v>1.8098543017984844E-7</c:v>
                </c:pt>
                <c:pt idx="1754">
                  <c:v>1.8043550809197301E-7</c:v>
                </c:pt>
                <c:pt idx="1755">
                  <c:v>1.7988923735430498E-7</c:v>
                </c:pt>
                <c:pt idx="1756">
                  <c:v>1.7934659660083161E-7</c:v>
                </c:pt>
                <c:pt idx="1757">
                  <c:v>1.7880749344171694E-7</c:v>
                </c:pt>
                <c:pt idx="1758">
                  <c:v>1.7827195021230804E-7</c:v>
                </c:pt>
                <c:pt idx="1759">
                  <c:v>1.7773997725100757E-7</c:v>
                </c:pt>
                <c:pt idx="1760">
                  <c:v>1.7721152285456394E-7</c:v>
                </c:pt>
                <c:pt idx="1761">
                  <c:v>1.7668653720606603E-7</c:v>
                </c:pt>
                <c:pt idx="1762">
                  <c:v>1.7616496145990835E-7</c:v>
                </c:pt>
                <c:pt idx="1763">
                  <c:v>1.7564681917812363E-7</c:v>
                </c:pt>
                <c:pt idx="1764">
                  <c:v>1.7513209085761005E-7</c:v>
                </c:pt>
                <c:pt idx="1765">
                  <c:v>1.7462075844454468E-7</c:v>
                </c:pt>
                <c:pt idx="1766">
                  <c:v>1.7411277321062161E-7</c:v>
                </c:pt>
                <c:pt idx="1767">
                  <c:v>1.7360807968265622E-7</c:v>
                </c:pt>
                <c:pt idx="1768">
                  <c:v>1.7310670127792055E-7</c:v>
                </c:pt>
                <c:pt idx="1769">
                  <c:v>1.7260859128172422E-7</c:v>
                </c:pt>
                <c:pt idx="1770">
                  <c:v>1.7211376369109708E-7</c:v>
                </c:pt>
                <c:pt idx="1771">
                  <c:v>1.7162210405020135E-7</c:v>
                </c:pt>
                <c:pt idx="1772">
                  <c:v>1.711336667626023E-7</c:v>
                </c:pt>
                <c:pt idx="1773">
                  <c:v>1.7064840590713213E-7</c:v>
                </c:pt>
                <c:pt idx="1774">
                  <c:v>1.701663067633087E-7</c:v>
                </c:pt>
                <c:pt idx="1775">
                  <c:v>1.6968735469137192E-7</c:v>
                </c:pt>
                <c:pt idx="1776">
                  <c:v>1.6921146826028388E-7</c:v>
                </c:pt>
                <c:pt idx="1777">
                  <c:v>1.6873867215059837E-7</c:v>
                </c:pt>
                <c:pt idx="1778">
                  <c:v>1.6826895230835292E-7</c:v>
                </c:pt>
                <c:pt idx="1779">
                  <c:v>1.6780226542244576E-7</c:v>
                </c:pt>
                <c:pt idx="1780">
                  <c:v>1.6733853197026727E-7</c:v>
                </c:pt>
                <c:pt idx="1781">
                  <c:v>1.6687780870528996E-7</c:v>
                </c:pt>
                <c:pt idx="1782">
                  <c:v>1.6642008342876364E-7</c:v>
                </c:pt>
                <c:pt idx="1783">
                  <c:v>1.6596531215169239E-7</c:v>
                </c:pt>
                <c:pt idx="1784">
                  <c:v>1.655133875124848E-7</c:v>
                </c:pt>
                <c:pt idx="1785">
                  <c:v>1.6506436763298305E-7</c:v>
                </c:pt>
                <c:pt idx="1786">
                  <c:v>1.6461824124669845E-7</c:v>
                </c:pt>
                <c:pt idx="1787">
                  <c:v>1.6417499713716776E-7</c:v>
                </c:pt>
                <c:pt idx="1788">
                  <c:v>1.6373452928550269E-7</c:v>
                </c:pt>
                <c:pt idx="1789">
                  <c:v>1.6329686493663606E-7</c:v>
                </c:pt>
                <c:pt idx="1790">
                  <c:v>1.6286202547979732E-7</c:v>
                </c:pt>
                <c:pt idx="1791">
                  <c:v>1.6242993920426117E-7</c:v>
                </c:pt>
                <c:pt idx="1792">
                  <c:v>1.620005644190861E-7</c:v>
                </c:pt>
                <c:pt idx="1793">
                  <c:v>1.6157392796798077E-7</c:v>
                </c:pt>
                <c:pt idx="1794">
                  <c:v>1.6114999073741659E-7</c:v>
                </c:pt>
                <c:pt idx="1795">
                  <c:v>1.607287444789599E-7</c:v>
                </c:pt>
                <c:pt idx="1796">
                  <c:v>1.6031011947187919E-7</c:v>
                </c:pt>
                <c:pt idx="1797">
                  <c:v>1.5989414252046837E-7</c:v>
                </c:pt>
                <c:pt idx="1798">
                  <c:v>1.5948080569718152E-7</c:v>
                </c:pt>
                <c:pt idx="1799">
                  <c:v>1.5907000981999392E-7</c:v>
                </c:pt>
                <c:pt idx="1800">
                  <c:v>1.586618134982836E-7</c:v>
                </c:pt>
                <c:pt idx="1801">
                  <c:v>1.5825618000020136E-7</c:v>
                </c:pt>
                <c:pt idx="1802">
                  <c:v>1.5785310207902868E-7</c:v>
                </c:pt>
                <c:pt idx="1803">
                  <c:v>1.5745248205354074E-7</c:v>
                </c:pt>
                <c:pt idx="1804">
                  <c:v>1.5705437968451286E-7</c:v>
                </c:pt>
                <c:pt idx="1805">
                  <c:v>1.566587589319517E-7</c:v>
                </c:pt>
                <c:pt idx="1806">
                  <c:v>1.5626555364521792E-7</c:v>
                </c:pt>
                <c:pt idx="1807">
                  <c:v>1.5587482320504876E-7</c:v>
                </c:pt>
                <c:pt idx="1808">
                  <c:v>1.5548650154820503E-7</c:v>
                </c:pt>
                <c:pt idx="1809">
                  <c:v>1.5510061552731026E-7</c:v>
                </c:pt>
                <c:pt idx="1810">
                  <c:v>1.5471703938310848E-7</c:v>
                </c:pt>
                <c:pt idx="1811">
                  <c:v>1.5433586297957549E-7</c:v>
                </c:pt>
                <c:pt idx="1812">
                  <c:v>1.5395702219335039E-7</c:v>
                </c:pt>
                <c:pt idx="1813">
                  <c:v>1.5358048486203426E-7</c:v>
                </c:pt>
                <c:pt idx="1814">
                  <c:v>1.5320624931744159E-7</c:v>
                </c:pt>
                <c:pt idx="1815">
                  <c:v>1.5283431417326168E-7</c:v>
                </c:pt>
                <c:pt idx="1816">
                  <c:v>1.5246461769167426E-7</c:v>
                </c:pt>
                <c:pt idx="1817">
                  <c:v>1.5209718842339766E-7</c:v>
                </c:pt>
                <c:pt idx="1818">
                  <c:v>1.5173199492704747E-7</c:v>
                </c:pt>
                <c:pt idx="1819">
                  <c:v>1.5136903625814254E-7</c:v>
                </c:pt>
                <c:pt idx="1820">
                  <c:v>1.510082518442499E-7</c:v>
                </c:pt>
                <c:pt idx="1821">
                  <c:v>1.5064967124532625E-7</c:v>
                </c:pt>
                <c:pt idx="1822">
                  <c:v>1.5029326347272304E-7</c:v>
                </c:pt>
                <c:pt idx="1823">
                  <c:v>1.4993894013398941E-7</c:v>
                </c:pt>
                <c:pt idx="1824">
                  <c:v>1.4958676128885405E-7</c:v>
                </c:pt>
                <c:pt idx="1825">
                  <c:v>1.4923672656991348E-7</c:v>
                </c:pt>
                <c:pt idx="1826">
                  <c:v>1.4888874945124766E-7</c:v>
                </c:pt>
                <c:pt idx="1827">
                  <c:v>1.4854285937431387E-7</c:v>
                </c:pt>
                <c:pt idx="1828">
                  <c:v>1.4819905767823814E-7</c:v>
                </c:pt>
                <c:pt idx="1829">
                  <c:v>1.4785725752771111E-7</c:v>
                </c:pt>
                <c:pt idx="1830">
                  <c:v>1.4751748957296531E-7</c:v>
                </c:pt>
                <c:pt idx="1831">
                  <c:v>1.4717975556957164E-7</c:v>
                </c:pt>
                <c:pt idx="1832">
                  <c:v>1.4684400094135191E-7</c:v>
                </c:pt>
                <c:pt idx="1833">
                  <c:v>1.4651022574600373E-7</c:v>
                </c:pt>
                <c:pt idx="1834">
                  <c:v>1.4617843212514709E-7</c:v>
                </c:pt>
                <c:pt idx="1835">
                  <c:v>1.4584856639540089E-7</c:v>
                </c:pt>
                <c:pt idx="1836">
                  <c:v>1.4552065855531814E-7</c:v>
                </c:pt>
                <c:pt idx="1837">
                  <c:v>1.4519468197242456E-7</c:v>
                </c:pt>
                <c:pt idx="1838">
                  <c:v>1.4487055381998713E-7</c:v>
                </c:pt>
                <c:pt idx="1839">
                  <c:v>1.4454833563631646E-7</c:v>
                </c:pt>
                <c:pt idx="1840">
                  <c:v>1.4422803111072049E-7</c:v>
                </c:pt>
                <c:pt idx="1841">
                  <c:v>1.4390952785569275E-7</c:v>
                </c:pt>
                <c:pt idx="1842">
                  <c:v>1.4359288723236061E-7</c:v>
                </c:pt>
                <c:pt idx="1843">
                  <c:v>1.4327811326949879E-7</c:v>
                </c:pt>
                <c:pt idx="1844">
                  <c:v>1.429650957068543E-7</c:v>
                </c:pt>
                <c:pt idx="1845">
                  <c:v>1.4265389569992788E-7</c:v>
                </c:pt>
                <c:pt idx="1846">
                  <c:v>1.4234446491700701E-7</c:v>
                </c:pt>
                <c:pt idx="1847">
                  <c:v>1.4203683381949953E-7</c:v>
                </c:pt>
                <c:pt idx="1848">
                  <c:v>1.4173097682383587E-7</c:v>
                </c:pt>
                <c:pt idx="1849">
                  <c:v>1.4142681644050582E-7</c:v>
                </c:pt>
                <c:pt idx="1850">
                  <c:v>1.4112441327322583E-7</c:v>
                </c:pt>
                <c:pt idx="1851">
                  <c:v>1.4082374329927602E-7</c:v>
                </c:pt>
                <c:pt idx="1852">
                  <c:v>1.4052472976066343E-7</c:v>
                </c:pt>
                <c:pt idx="1853">
                  <c:v>1.40227434270991E-7</c:v>
                </c:pt>
                <c:pt idx="1854">
                  <c:v>1.3993183303332478E-7</c:v>
                </c:pt>
                <c:pt idx="1855">
                  <c:v>1.3963787984791757E-7</c:v>
                </c:pt>
                <c:pt idx="1856">
                  <c:v>1.3934557592652225E-7</c:v>
                </c:pt>
                <c:pt idx="1857">
                  <c:v>1.3905487578877965E-7</c:v>
                </c:pt>
                <c:pt idx="1858">
                  <c:v>1.3876581061652459E-7</c:v>
                </c:pt>
                <c:pt idx="1859">
                  <c:v>1.3847838838002693E-7</c:v>
                </c:pt>
                <c:pt idx="1860">
                  <c:v>1.3819253398821748E-7</c:v>
                </c:pt>
                <c:pt idx="1861">
                  <c:v>1.3790827962005676E-7</c:v>
                </c:pt>
                <c:pt idx="1862">
                  <c:v>1.3762563340146321E-7</c:v>
                </c:pt>
                <c:pt idx="1863">
                  <c:v>1.3734449106788638E-7</c:v>
                </c:pt>
                <c:pt idx="1864">
                  <c:v>1.3706494454795186E-7</c:v>
                </c:pt>
                <c:pt idx="1865">
                  <c:v>1.3678689111569906E-7</c:v>
                </c:pt>
                <c:pt idx="1866">
                  <c:v>1.365103925162243E-7</c:v>
                </c:pt>
                <c:pt idx="1867">
                  <c:v>1.3623542720270731E-7</c:v>
                </c:pt>
                <c:pt idx="1868">
                  <c:v>1.3596192327635116E-7</c:v>
                </c:pt>
                <c:pt idx="1869">
                  <c:v>1.3568991365794967E-7</c:v>
                </c:pt>
                <c:pt idx="1870">
                  <c:v>1.3541935682587443E-7</c:v>
                </c:pt>
                <c:pt idx="1871">
                  <c:v>1.3515028530410835E-7</c:v>
                </c:pt>
                <c:pt idx="1872">
                  <c:v>1.3488267801547341E-7</c:v>
                </c:pt>
                <c:pt idx="1873">
                  <c:v>1.3461649524290281E-7</c:v>
                </c:pt>
                <c:pt idx="1874">
                  <c:v>1.3435176916543281E-7</c:v>
                </c:pt>
                <c:pt idx="1875">
                  <c:v>1.340884292446382E-7</c:v>
                </c:pt>
                <c:pt idx="1876">
                  <c:v>1.3382650772819527E-7</c:v>
                </c:pt>
                <c:pt idx="1877">
                  <c:v>1.3356601497480518E-7</c:v>
                </c:pt>
                <c:pt idx="1878">
                  <c:v>1.3330688224400503E-7</c:v>
                </c:pt>
                <c:pt idx="1879">
                  <c:v>1.3304914142952442E-7</c:v>
                </c:pt>
                <c:pt idx="1880">
                  <c:v>1.3279275533503425E-7</c:v>
                </c:pt>
                <c:pt idx="1881">
                  <c:v>1.3253772572852089E-7</c:v>
                </c:pt>
                <c:pt idx="1882">
                  <c:v>1.3228406332199122E-7</c:v>
                </c:pt>
                <c:pt idx="1883">
                  <c:v>1.320317017053232E-7</c:v>
                </c:pt>
                <c:pt idx="1884">
                  <c:v>1.3178070207050796E-7</c:v>
                </c:pt>
                <c:pt idx="1885">
                  <c:v>1.3153096849035077E-7</c:v>
                </c:pt>
                <c:pt idx="1886">
                  <c:v>1.3128256341019852E-7</c:v>
                </c:pt>
                <c:pt idx="1887">
                  <c:v>1.3103542109512754E-7</c:v>
                </c:pt>
                <c:pt idx="1888">
                  <c:v>1.3078960228668921E-7</c:v>
                </c:pt>
                <c:pt idx="1889">
                  <c:v>1.3054505942113307E-7</c:v>
                </c:pt>
                <c:pt idx="1890">
                  <c:v>1.303017572975224E-7</c:v>
                </c:pt>
                <c:pt idx="1891">
                  <c:v>1.3005972914647564E-7</c:v>
                </c:pt>
                <c:pt idx="1892">
                  <c:v>1.2981893982054977E-7</c:v>
                </c:pt>
                <c:pt idx="1893">
                  <c:v>1.2957939122468839E-7</c:v>
                </c:pt>
                <c:pt idx="1894">
                  <c:v>1.2934105000520853E-7</c:v>
                </c:pt>
                <c:pt idx="1895">
                  <c:v>1.2910394765508965E-7</c:v>
                </c:pt>
                <c:pt idx="1896">
                  <c:v>1.2886806801576783E-7</c:v>
                </c:pt>
                <c:pt idx="1897">
                  <c:v>1.2863337682980085E-7</c:v>
                </c:pt>
                <c:pt idx="1898">
                  <c:v>1.2839987685600537E-7</c:v>
                </c:pt>
                <c:pt idx="1899">
                  <c:v>1.2816753559728726E-7</c:v>
                </c:pt>
                <c:pt idx="1900">
                  <c:v>1.2793638534885458E-7</c:v>
                </c:pt>
                <c:pt idx="1901">
                  <c:v>1.2770636408571334E-7</c:v>
                </c:pt>
                <c:pt idx="1902">
                  <c:v>1.2747753363209624E-7</c:v>
                </c:pt>
                <c:pt idx="1903">
                  <c:v>1.2724987783868849E-7</c:v>
                </c:pt>
                <c:pt idx="1904">
                  <c:v>1.2702330547555339E-7</c:v>
                </c:pt>
                <c:pt idx="1905">
                  <c:v>1.2679790790368272E-7</c:v>
                </c:pt>
                <c:pt idx="1906">
                  <c:v>1.2657359397445829E-7</c:v>
                </c:pt>
                <c:pt idx="1907">
                  <c:v>1.2635039675448178E-7</c:v>
                </c:pt>
                <c:pt idx="1908">
                  <c:v>1.2612828506748598E-7</c:v>
                </c:pt>
                <c:pt idx="1909">
                  <c:v>1.2590729149599749E-7</c:v>
                </c:pt>
                <c:pt idx="1910">
                  <c:v>1.256873566080786E-7</c:v>
                </c:pt>
                <c:pt idx="1911">
                  <c:v>1.2546851166550669E-7</c:v>
                </c:pt>
                <c:pt idx="1912">
                  <c:v>1.2525072722876658E-7</c:v>
                </c:pt>
                <c:pt idx="1913">
                  <c:v>1.2503400583596469E-7</c:v>
                </c:pt>
                <c:pt idx="1914">
                  <c:v>1.2481836291521763E-7</c:v>
                </c:pt>
                <c:pt idx="1915">
                  <c:v>1.2460373977170522E-7</c:v>
                </c:pt>
                <c:pt idx="1916">
                  <c:v>1.2439019788329312E-7</c:v>
                </c:pt>
                <c:pt idx="1917">
                  <c:v>1.2417764908567586E-7</c:v>
                </c:pt>
                <c:pt idx="1918">
                  <c:v>1.2396615604503849E-7</c:v>
                </c:pt>
                <c:pt idx="1919">
                  <c:v>1.2375566049041415E-7</c:v>
                </c:pt>
                <c:pt idx="1920">
                  <c:v>1.2354616438450383E-7</c:v>
                </c:pt>
                <c:pt idx="1921">
                  <c:v>1.2333767053219822E-7</c:v>
                </c:pt>
                <c:pt idx="1922">
                  <c:v>1.2313018039601997E-7</c:v>
                </c:pt>
                <c:pt idx="1923">
                  <c:v>1.2292363784025846E-7</c:v>
                </c:pt>
                <c:pt idx="1924">
                  <c:v>1.2271810485710193E-7</c:v>
                </c:pt>
                <c:pt idx="1925">
                  <c:v>1.2251352525204808E-7</c:v>
                </c:pt>
                <c:pt idx="1926">
                  <c:v>1.2230993103340804E-7</c:v>
                </c:pt>
                <c:pt idx="1927">
                  <c:v>1.2210730804588822E-7</c:v>
                </c:pt>
                <c:pt idx="1928">
                  <c:v>1.2190563144005807E-7</c:v>
                </c:pt>
                <c:pt idx="1929">
                  <c:v>1.2170490326894215E-7</c:v>
                </c:pt>
                <c:pt idx="1930">
                  <c:v>1.2150509779428729E-7</c:v>
                </c:pt>
                <c:pt idx="1931">
                  <c:v>1.2130624643170075E-7</c:v>
                </c:pt>
                <c:pt idx="1932">
                  <c:v>1.2110829399653535E-7</c:v>
                </c:pt>
                <c:pt idx="1933">
                  <c:v>1.2091127308859766E-7</c:v>
                </c:pt>
                <c:pt idx="1934">
                  <c:v>1.2071512889561295E-7</c:v>
                </c:pt>
                <c:pt idx="1935">
                  <c:v>1.2051992332251236E-7</c:v>
                </c:pt>
                <c:pt idx="1936">
                  <c:v>1.2032560149578363E-7</c:v>
                </c:pt>
                <c:pt idx="1937">
                  <c:v>1.2013216601193303E-7</c:v>
                </c:pt>
                <c:pt idx="1938">
                  <c:v>1.1993959345266341E-7</c:v>
                </c:pt>
                <c:pt idx="1939">
                  <c:v>1.1974794506281788E-7</c:v>
                </c:pt>
                <c:pt idx="1940">
                  <c:v>1.1955713812446865E-7</c:v>
                </c:pt>
                <c:pt idx="1941">
                  <c:v>1.1936720439995235E-7</c:v>
                </c:pt>
                <c:pt idx="1942">
                  <c:v>1.1917812071891194E-7</c:v>
                </c:pt>
                <c:pt idx="1943">
                  <c:v>1.1898991830521354E-7</c:v>
                </c:pt>
                <c:pt idx="1944">
                  <c:v>1.1880254454684545E-7</c:v>
                </c:pt>
                <c:pt idx="1945">
                  <c:v>1.1861603058960691E-7</c:v>
                </c:pt>
                <c:pt idx="1946">
                  <c:v>1.1843032420003922E-7</c:v>
                </c:pt>
                <c:pt idx="1947">
                  <c:v>1.1824545768740391E-7</c:v>
                </c:pt>
                <c:pt idx="1948">
                  <c:v>1.1806140849233279E-7</c:v>
                </c:pt>
                <c:pt idx="1949">
                  <c:v>1.1787817903005765E-7</c:v>
                </c:pt>
                <c:pt idx="1950">
                  <c:v>1.1769574707685563E-7</c:v>
                </c:pt>
                <c:pt idx="1951">
                  <c:v>1.1751414428759716E-7</c:v>
                </c:pt>
                <c:pt idx="1952">
                  <c:v>1.173333202437376E-7</c:v>
                </c:pt>
                <c:pt idx="1953">
                  <c:v>1.1715330646396247E-7</c:v>
                </c:pt>
                <c:pt idx="1954">
                  <c:v>1.169740821573717E-7</c:v>
                </c:pt>
                <c:pt idx="1955">
                  <c:v>1.1679564895955445E-7</c:v>
                </c:pt>
                <c:pt idx="1956">
                  <c:v>1.1661798639450051E-7</c:v>
                </c:pt>
                <c:pt idx="1957">
                  <c:v>1.164411253010226E-7</c:v>
                </c:pt>
                <c:pt idx="1958">
                  <c:v>1.1626501577819585E-7</c:v>
                </c:pt>
                <c:pt idx="1959">
                  <c:v>1.1608968856876596E-7</c:v>
                </c:pt>
                <c:pt idx="1960">
                  <c:v>1.1591509411223684E-7</c:v>
                </c:pt>
                <c:pt idx="1961">
                  <c:v>1.1574126429540394E-7</c:v>
                </c:pt>
                <c:pt idx="1962">
                  <c:v>1.1556814985199826E-7</c:v>
                </c:pt>
                <c:pt idx="1963">
                  <c:v>1.1539581182048713E-7</c:v>
                </c:pt>
                <c:pt idx="1964">
                  <c:v>1.1522420078985282E-7</c:v>
                </c:pt>
                <c:pt idx="1965">
                  <c:v>1.1505331868049157E-7</c:v>
                </c:pt>
                <c:pt idx="1966">
                  <c:v>1.1488314734820054E-7</c:v>
                </c:pt>
                <c:pt idx="1967">
                  <c:v>1.1471367811377418E-7</c:v>
                </c:pt>
                <c:pt idx="1968">
                  <c:v>1.1454497122927558E-7</c:v>
                </c:pt>
                <c:pt idx="1969">
                  <c:v>1.1437694955951827E-7</c:v>
                </c:pt>
                <c:pt idx="1970">
                  <c:v>1.1420964396097386E-7</c:v>
                </c:pt>
                <c:pt idx="1971">
                  <c:v>1.1404303654651084E-7</c:v>
                </c:pt>
                <c:pt idx="1972">
                  <c:v>1.1387715759642967E-7</c:v>
                </c:pt>
                <c:pt idx="1973">
                  <c:v>1.1371193180619681E-7</c:v>
                </c:pt>
                <c:pt idx="1974">
                  <c:v>1.1354741898528378E-7</c:v>
                </c:pt>
                <c:pt idx="1975">
                  <c:v>1.1338357209551685E-7</c:v>
                </c:pt>
                <c:pt idx="1976">
                  <c:v>1.1322042115455223E-7</c:v>
                </c:pt>
                <c:pt idx="1977">
                  <c:v>1.1305794990010964E-7</c:v>
                </c:pt>
                <c:pt idx="1978">
                  <c:v>1.1289615853278012E-7</c:v>
                </c:pt>
                <c:pt idx="1979">
                  <c:v>1.1273503105902868E-7</c:v>
                </c:pt>
                <c:pt idx="1980">
                  <c:v>1.1257456878974531E-7</c:v>
                </c:pt>
                <c:pt idx="1981">
                  <c:v>1.1241475472584373E-7</c:v>
                </c:pt>
                <c:pt idx="1982">
                  <c:v>1.1225558230365231E-7</c:v>
                </c:pt>
                <c:pt idx="1983">
                  <c:v>1.1209708183307029E-7</c:v>
                </c:pt>
                <c:pt idx="1984">
                  <c:v>1.1193920826813234E-7</c:v>
                </c:pt>
                <c:pt idx="1985">
                  <c:v>1.1178199177149325E-7</c:v>
                </c:pt>
                <c:pt idx="1986">
                  <c:v>1.1162538755308387E-7</c:v>
                </c:pt>
                <c:pt idx="1987">
                  <c:v>1.1146945483320451E-7</c:v>
                </c:pt>
                <c:pt idx="1988">
                  <c:v>1.1131411944155875E-7</c:v>
                </c:pt>
                <c:pt idx="1989">
                  <c:v>1.1115944046898488E-7</c:v>
                </c:pt>
                <c:pt idx="1990">
                  <c:v>1.1100534525519667E-7</c:v>
                </c:pt>
                <c:pt idx="1991">
                  <c:v>1.1085189271856855E-7</c:v>
                </c:pt>
                <c:pt idx="1992">
                  <c:v>1.106990383848143E-7</c:v>
                </c:pt>
                <c:pt idx="1993">
                  <c:v>1.1054677674677192E-7</c:v>
                </c:pt>
                <c:pt idx="1994">
                  <c:v>1.1039513686220192E-7</c:v>
                </c:pt>
                <c:pt idx="1995">
                  <c:v>1.1024407585289394E-7</c:v>
                </c:pt>
                <c:pt idx="1996">
                  <c:v>1.1009365303429741E-7</c:v>
                </c:pt>
                <c:pt idx="1997">
                  <c:v>1.0994379488700189E-7</c:v>
                </c:pt>
                <c:pt idx="1998">
                  <c:v>1.0979456060019506E-7</c:v>
                </c:pt>
                <c:pt idx="1999">
                  <c:v>1.0964587815541807E-7</c:v>
                </c:pt>
                <c:pt idx="2000">
                  <c:v>1.094978065721046E-7</c:v>
                </c:pt>
              </c:numCache>
            </c:numRef>
          </c:yVal>
          <c:smooth val="0"/>
        </c:ser>
        <c:ser>
          <c:idx val="5"/>
          <c:order val="2"/>
          <c:tx>
            <c:v>SMXh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MODEL!$A$2:$A$2002</c:f>
              <c:numCache>
                <c:formatCode>0.00E+00</c:formatCode>
                <c:ptCount val="20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</c:v>
                </c:pt>
                <c:pt idx="1902">
                  <c:v>95.1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</c:v>
                </c:pt>
                <c:pt idx="1907">
                  <c:v>95.35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</c:v>
                </c:pt>
                <c:pt idx="1912">
                  <c:v>95.6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</c:v>
                </c:pt>
                <c:pt idx="1917">
                  <c:v>95.85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</c:v>
                </c:pt>
                <c:pt idx="1922">
                  <c:v>96.1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</c:v>
                </c:pt>
                <c:pt idx="1927">
                  <c:v>96.35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</c:v>
                </c:pt>
                <c:pt idx="1932">
                  <c:v>96.6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</c:v>
                </c:pt>
                <c:pt idx="1937">
                  <c:v>96.85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</c:v>
                </c:pt>
                <c:pt idx="1942">
                  <c:v>97.1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</c:v>
                </c:pt>
                <c:pt idx="1947">
                  <c:v>97.35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</c:v>
                </c:pt>
                <c:pt idx="1952">
                  <c:v>97.6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</c:v>
                </c:pt>
                <c:pt idx="1957">
                  <c:v>97.85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</c:v>
                </c:pt>
                <c:pt idx="1962">
                  <c:v>98.1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</c:v>
                </c:pt>
                <c:pt idx="1967">
                  <c:v>98.35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</c:v>
                </c:pt>
                <c:pt idx="1972">
                  <c:v>98.6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</c:v>
                </c:pt>
                <c:pt idx="1977">
                  <c:v>98.85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</c:v>
                </c:pt>
                <c:pt idx="1982">
                  <c:v>99.1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</c:v>
                </c:pt>
                <c:pt idx="1987">
                  <c:v>99.35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</c:v>
                </c:pt>
                <c:pt idx="1992">
                  <c:v>99.6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</c:v>
                </c:pt>
                <c:pt idx="1997">
                  <c:v>99.85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</c:numCache>
            </c:numRef>
          </c:xVal>
          <c:yVal>
            <c:numRef>
              <c:f>MODEL!$P$2:$P$2002</c:f>
              <c:numCache>
                <c:formatCode>0.00E+00</c:formatCode>
                <c:ptCount val="200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7.4124449945999739E-9</c:v>
                </c:pt>
                <c:pt idx="64">
                  <c:v>2.0143141422417133E-8</c:v>
                </c:pt>
                <c:pt idx="65">
                  <c:v>3.7296642778713041E-8</c:v>
                </c:pt>
                <c:pt idx="66">
                  <c:v>5.8289607584962705E-8</c:v>
                </c:pt>
                <c:pt idx="67">
                  <c:v>8.2671161471000943E-8</c:v>
                </c:pt>
                <c:pt idx="68">
                  <c:v>1.1006210892295801E-7</c:v>
                </c:pt>
                <c:pt idx="69">
                  <c:v>1.4012443149046264E-7</c:v>
                </c:pt>
                <c:pt idx="70">
                  <c:v>1.7254701967067905E-7</c:v>
                </c:pt>
                <c:pt idx="71">
                  <c:v>2.070384015270688E-7</c:v>
                </c:pt>
                <c:pt idx="72">
                  <c:v>2.4332171578209904E-7</c:v>
                </c:pt>
                <c:pt idx="73">
                  <c:v>2.8113317984564945E-7</c:v>
                </c:pt>
                <c:pt idx="74">
                  <c:v>3.2021919261319269E-7</c:v>
                </c:pt>
                <c:pt idx="75">
                  <c:v>3.6033686477678074E-7</c:v>
                </c:pt>
                <c:pt idx="76">
                  <c:v>4.0125221609363072E-7</c:v>
                </c:pt>
                <c:pt idx="77">
                  <c:v>4.4274166764249547E-7</c:v>
                </c:pt>
                <c:pt idx="78">
                  <c:v>4.8459763907767641E-7</c:v>
                </c:pt>
                <c:pt idx="79">
                  <c:v>5.2661438400802367E-7</c:v>
                </c:pt>
                <c:pt idx="80">
                  <c:v>5.6859926635658862E-7</c:v>
                </c:pt>
                <c:pt idx="81">
                  <c:v>6.1037623821322424E-7</c:v>
                </c:pt>
                <c:pt idx="82">
                  <c:v>6.5177285849850235E-7</c:v>
                </c:pt>
                <c:pt idx="83">
                  <c:v>6.926370369552425E-7</c:v>
                </c:pt>
                <c:pt idx="84">
                  <c:v>7.3282100855567645E-7</c:v>
                </c:pt>
                <c:pt idx="85">
                  <c:v>7.7219521261616934E-7</c:v>
                </c:pt>
                <c:pt idx="86">
                  <c:v>8.1063809888838006E-7</c:v>
                </c:pt>
                <c:pt idx="87">
                  <c:v>8.4804306727764726E-7</c:v>
                </c:pt>
                <c:pt idx="88">
                  <c:v>8.8431753354381709E-7</c:v>
                </c:pt>
                <c:pt idx="89">
                  <c:v>9.1937483463638731E-7</c:v>
                </c:pt>
                <c:pt idx="90">
                  <c:v>9.5314280301308515E-7</c:v>
                </c:pt>
                <c:pt idx="91">
                  <c:v>9.8556235520329454E-7</c:v>
                </c:pt>
                <c:pt idx="92">
                  <c:v>1.01658606689228E-6</c:v>
                </c:pt>
                <c:pt idx="93">
                  <c:v>1.0461735368730953E-6</c:v>
                </c:pt>
                <c:pt idx="94">
                  <c:v>1.0742979674123756E-6</c:v>
                </c:pt>
                <c:pt idx="95">
                  <c:v>1.1009407785171854E-6</c:v>
                </c:pt>
                <c:pt idx="96">
                  <c:v>1.1260935956085473E-6</c:v>
                </c:pt>
                <c:pt idx="97">
                  <c:v>1.1497553238071549E-6</c:v>
                </c:pt>
                <c:pt idx="98">
                  <c:v>1.171933399491023E-6</c:v>
                </c:pt>
                <c:pt idx="99">
                  <c:v>1.1926443978218505E-6</c:v>
                </c:pt>
                <c:pt idx="100">
                  <c:v>1.2119091717233296E-6</c:v>
                </c:pt>
                <c:pt idx="101">
                  <c:v>1.2297549018283331E-6</c:v>
                </c:pt>
                <c:pt idx="102">
                  <c:v>1.2462147400875238E-6</c:v>
                </c:pt>
                <c:pt idx="103">
                  <c:v>1.2613270215627848E-6</c:v>
                </c:pt>
                <c:pt idx="104">
                  <c:v>1.2751344069279752E-6</c:v>
                </c:pt>
                <c:pt idx="105">
                  <c:v>1.2876819715580358E-6</c:v>
                </c:pt>
                <c:pt idx="106">
                  <c:v>1.2990177349227117E-6</c:v>
                </c:pt>
                <c:pt idx="107">
                  <c:v>1.3091944089068584E-6</c:v>
                </c:pt>
                <c:pt idx="108">
                  <c:v>1.3182639023192591E-6</c:v>
                </c:pt>
                <c:pt idx="109">
                  <c:v>1.3262806366135923E-6</c:v>
                </c:pt>
                <c:pt idx="110">
                  <c:v>1.3332991347319432E-6</c:v>
                </c:pt>
                <c:pt idx="111">
                  <c:v>1.3393757111678103E-6</c:v>
                </c:pt>
                <c:pt idx="112">
                  <c:v>1.3445653399442949E-6</c:v>
                </c:pt>
                <c:pt idx="113">
                  <c:v>1.3489231234716269E-6</c:v>
                </c:pt>
                <c:pt idx="114">
                  <c:v>1.3525035308610133E-6</c:v>
                </c:pt>
                <c:pt idx="115">
                  <c:v>1.3553599976866577E-6</c:v>
                </c:pt>
                <c:pt idx="116">
                  <c:v>1.3575445301914865E-6</c:v>
                </c:pt>
                <c:pt idx="117">
                  <c:v>1.3591076649133098E-6</c:v>
                </c:pt>
                <c:pt idx="118">
                  <c:v>1.3600986462173705E-6</c:v>
                </c:pt>
                <c:pt idx="119">
                  <c:v>1.3605641875366372E-6</c:v>
                </c:pt>
                <c:pt idx="120">
                  <c:v>1.3605493444275795E-6</c:v>
                </c:pt>
                <c:pt idx="121">
                  <c:v>1.3600975196633574E-6</c:v>
                </c:pt>
                <c:pt idx="122">
                  <c:v>1.3592498150852755E-6</c:v>
                </c:pt>
                <c:pt idx="123">
                  <c:v>1.3580446019113215E-6</c:v>
                </c:pt>
                <c:pt idx="124">
                  <c:v>1.3565183982927982E-6</c:v>
                </c:pt>
                <c:pt idx="125">
                  <c:v>1.3547054869304211E-6</c:v>
                </c:pt>
                <c:pt idx="126">
                  <c:v>1.3526379445466371E-6</c:v>
                </c:pt>
                <c:pt idx="127">
                  <c:v>1.3503457861888651E-6</c:v>
                </c:pt>
                <c:pt idx="128">
                  <c:v>1.3478566178762394E-6</c:v>
                </c:pt>
                <c:pt idx="129">
                  <c:v>1.3451961053861966E-6</c:v>
                </c:pt>
                <c:pt idx="130">
                  <c:v>1.3423880167353595E-6</c:v>
                </c:pt>
                <c:pt idx="131">
                  <c:v>1.3394540137422027E-6</c:v>
                </c:pt>
                <c:pt idx="132">
                  <c:v>1.3364139427919565E-6</c:v>
                </c:pt>
                <c:pt idx="133">
                  <c:v>1.3332857642831339E-6</c:v>
                </c:pt>
                <c:pt idx="134">
                  <c:v>1.3300860073920661E-6</c:v>
                </c:pt>
                <c:pt idx="135">
                  <c:v>1.3268295846892672E-6</c:v>
                </c:pt>
                <c:pt idx="136">
                  <c:v>1.323529714237559E-6</c:v>
                </c:pt>
                <c:pt idx="137">
                  <c:v>1.3201986827968587E-6</c:v>
                </c:pt>
                <c:pt idx="138">
                  <c:v>1.3168466576769002E-6</c:v>
                </c:pt>
                <c:pt idx="139">
                  <c:v>1.3134834165054313E-6</c:v>
                </c:pt>
                <c:pt idx="140">
                  <c:v>1.310116966354163E-6</c:v>
                </c:pt>
                <c:pt idx="141">
                  <c:v>1.3067549523425664E-6</c:v>
                </c:pt>
                <c:pt idx="142">
                  <c:v>1.3034037313190239E-6</c:v>
                </c:pt>
                <c:pt idx="143">
                  <c:v>1.3000689470591906E-6</c:v>
                </c:pt>
                <c:pt idx="144">
                  <c:v>1.2967548987800986E-6</c:v>
                </c:pt>
                <c:pt idx="145">
                  <c:v>1.2934659631478281E-6</c:v>
                </c:pt>
                <c:pt idx="146">
                  <c:v>1.2902058515765288E-6</c:v>
                </c:pt>
                <c:pt idx="147">
                  <c:v>1.2869770410232646E-6</c:v>
                </c:pt>
                <c:pt idx="148">
                  <c:v>1.2837819908920489E-6</c:v>
                </c:pt>
                <c:pt idx="149">
                  <c:v>1.2806224359806645E-6</c:v>
                </c:pt>
                <c:pt idx="150">
                  <c:v>1.2774999800837726E-6</c:v>
                </c:pt>
                <c:pt idx="151">
                  <c:v>1.2744157762304163E-6</c:v>
                </c:pt>
                <c:pt idx="152">
                  <c:v>1.2713705530007954E-6</c:v>
                </c:pt>
                <c:pt idx="153">
                  <c:v>1.2683648819394677E-6</c:v>
                </c:pt>
                <c:pt idx="154">
                  <c:v>1.2653989869071589E-6</c:v>
                </c:pt>
                <c:pt idx="155">
                  <c:v>1.2624731323109934E-6</c:v>
                </c:pt>
                <c:pt idx="156">
                  <c:v>1.2595871999921035E-6</c:v>
                </c:pt>
                <c:pt idx="157">
                  <c:v>1.2567406245652778E-6</c:v>
                </c:pt>
                <c:pt idx="158">
                  <c:v>1.2539334744256354E-6</c:v>
                </c:pt>
                <c:pt idx="159">
                  <c:v>1.251165114317482E-6</c:v>
                </c:pt>
                <c:pt idx="160">
                  <c:v>1.2484349645355226E-6</c:v>
                </c:pt>
                <c:pt idx="161">
                  <c:v>1.2457423754496816E-6</c:v>
                </c:pt>
                <c:pt idx="162">
                  <c:v>1.2430867646396349E-6</c:v>
                </c:pt>
                <c:pt idx="163">
                  <c:v>1.2404672404029357E-6</c:v>
                </c:pt>
                <c:pt idx="164">
                  <c:v>1.2378832769047662E-6</c:v>
                </c:pt>
                <c:pt idx="165">
                  <c:v>1.2353337930621281E-6</c:v>
                </c:pt>
                <c:pt idx="166">
                  <c:v>1.2328180943510482E-6</c:v>
                </c:pt>
                <c:pt idx="167">
                  <c:v>1.2303352040269673E-6</c:v>
                </c:pt>
                <c:pt idx="168">
                  <c:v>1.227884703729709E-6</c:v>
                </c:pt>
                <c:pt idx="169">
                  <c:v>1.2254652868792876E-6</c:v>
                </c:pt>
                <c:pt idx="170">
                  <c:v>1.2230763885930479E-6</c:v>
                </c:pt>
                <c:pt idx="171">
                  <c:v>1.2207170422634023E-6</c:v>
                </c:pt>
                <c:pt idx="172">
                  <c:v>1.2183864211210633E-6</c:v>
                </c:pt>
                <c:pt idx="173">
                  <c:v>1.2160838887019509E-6</c:v>
                </c:pt>
                <c:pt idx="174">
                  <c:v>1.2138085808293227E-6</c:v>
                </c:pt>
                <c:pt idx="175">
                  <c:v>1.2115597188016366E-6</c:v>
                </c:pt>
                <c:pt idx="176">
                  <c:v>1.209336540204904E-6</c:v>
                </c:pt>
                <c:pt idx="177">
                  <c:v>1.2071381727542899E-6</c:v>
                </c:pt>
                <c:pt idx="178">
                  <c:v>1.2049641676057161E-6</c:v>
                </c:pt>
                <c:pt idx="179">
                  <c:v>1.2028136279705286E-6</c:v>
                </c:pt>
                <c:pt idx="180">
                  <c:v>1.2006858700430352E-6</c:v>
                </c:pt>
                <c:pt idx="181">
                  <c:v>1.1985802269843102E-6</c:v>
                </c:pt>
                <c:pt idx="182">
                  <c:v>1.196496049104277E-6</c:v>
                </c:pt>
                <c:pt idx="183">
                  <c:v>1.1944328295438292E-6</c:v>
                </c:pt>
                <c:pt idx="184">
                  <c:v>1.1923898259455645E-6</c:v>
                </c:pt>
                <c:pt idx="185">
                  <c:v>1.1903664395495685E-6</c:v>
                </c:pt>
                <c:pt idx="186">
                  <c:v>1.1883623503592249E-6</c:v>
                </c:pt>
                <c:pt idx="187">
                  <c:v>1.1863765622917096E-6</c:v>
                </c:pt>
                <c:pt idx="188">
                  <c:v>1.1844087123049764E-6</c:v>
                </c:pt>
                <c:pt idx="189">
                  <c:v>1.1824585255331078E-6</c:v>
                </c:pt>
                <c:pt idx="190">
                  <c:v>1.1805251750350626E-6</c:v>
                </c:pt>
                <c:pt idx="191">
                  <c:v>1.178608353544078E-6</c:v>
                </c:pt>
                <c:pt idx="192">
                  <c:v>1.1767073858149212E-6</c:v>
                </c:pt>
                <c:pt idx="193">
                  <c:v>1.174821976374108E-6</c:v>
                </c:pt>
                <c:pt idx="194">
                  <c:v>1.1729516665747286E-6</c:v>
                </c:pt>
                <c:pt idx="195">
                  <c:v>1.1710958790136312E-6</c:v>
                </c:pt>
                <c:pt idx="196">
                  <c:v>1.1692543090042256E-6</c:v>
                </c:pt>
                <c:pt idx="197">
                  <c:v>1.1674263969501161E-6</c:v>
                </c:pt>
                <c:pt idx="198">
                  <c:v>1.1656117699563548E-6</c:v>
                </c:pt>
                <c:pt idx="199">
                  <c:v>1.1638103230385386E-6</c:v>
                </c:pt>
                <c:pt idx="200">
                  <c:v>1.1620214000919234E-6</c:v>
                </c:pt>
                <c:pt idx="201">
                  <c:v>1.1602447886078329E-6</c:v>
                </c:pt>
                <c:pt idx="202">
                  <c:v>1.1584799743926112E-6</c:v>
                </c:pt>
                <c:pt idx="203">
                  <c:v>1.1567267517956818E-6</c:v>
                </c:pt>
                <c:pt idx="204">
                  <c:v>1.1549846742966092E-6</c:v>
                </c:pt>
                <c:pt idx="205">
                  <c:v>1.1532535440623485E-6</c:v>
                </c:pt>
                <c:pt idx="206">
                  <c:v>1.1515329169593384E-6</c:v>
                </c:pt>
                <c:pt idx="207">
                  <c:v>1.1498225328397897E-6</c:v>
                </c:pt>
                <c:pt idx="208">
                  <c:v>1.1481220737410352E-6</c:v>
                </c:pt>
                <c:pt idx="209">
                  <c:v>1.1464314248660692E-6</c:v>
                </c:pt>
                <c:pt idx="210">
                  <c:v>1.1447501469674868E-6</c:v>
                </c:pt>
                <c:pt idx="211">
                  <c:v>1.1430779851409043E-6</c:v>
                </c:pt>
                <c:pt idx="212">
                  <c:v>1.141414707603045E-6</c:v>
                </c:pt>
                <c:pt idx="213">
                  <c:v>1.1397599253759633E-6</c:v>
                </c:pt>
                <c:pt idx="214">
                  <c:v>1.1381135767729625E-6</c:v>
                </c:pt>
                <c:pt idx="215">
                  <c:v>1.1364752663881026E-6</c:v>
                </c:pt>
                <c:pt idx="216">
                  <c:v>1.1348449326210868E-6</c:v>
                </c:pt>
                <c:pt idx="217">
                  <c:v>1.1332221783893717E-6</c:v>
                </c:pt>
                <c:pt idx="218">
                  <c:v>1.131606869380683E-6</c:v>
                </c:pt>
                <c:pt idx="219">
                  <c:v>1.1299987982771787E-6</c:v>
                </c:pt>
                <c:pt idx="220">
                  <c:v>1.1283978771706919E-6</c:v>
                </c:pt>
                <c:pt idx="221">
                  <c:v>1.126803629065811E-6</c:v>
                </c:pt>
                <c:pt idx="222">
                  <c:v>1.1252159578114773E-6</c:v>
                </c:pt>
                <c:pt idx="223">
                  <c:v>1.1236348051868238E-6</c:v>
                </c:pt>
                <c:pt idx="224">
                  <c:v>1.122059873407465E-6</c:v>
                </c:pt>
                <c:pt idx="225">
                  <c:v>1.1204910245184083E-6</c:v>
                </c:pt>
                <c:pt idx="226">
                  <c:v>1.1189281099483917E-6</c:v>
                </c:pt>
                <c:pt idx="227">
                  <c:v>1.1173709745452678E-6</c:v>
                </c:pt>
                <c:pt idx="228">
                  <c:v>1.1158193438609996E-6</c:v>
                </c:pt>
                <c:pt idx="229">
                  <c:v>1.1142732544215472E-6</c:v>
                </c:pt>
                <c:pt idx="230">
                  <c:v>1.1127323913765532E-6</c:v>
                </c:pt>
                <c:pt idx="231">
                  <c:v>1.1111966661676295E-6</c:v>
                </c:pt>
                <c:pt idx="232">
                  <c:v>1.1096659737014761E-6</c:v>
                </c:pt>
                <c:pt idx="233">
                  <c:v>1.1081400238767736E-6</c:v>
                </c:pt>
                <c:pt idx="234">
                  <c:v>1.106618636453839E-6</c:v>
                </c:pt>
                <c:pt idx="235">
                  <c:v>1.1051019984742148E-6</c:v>
                </c:pt>
                <c:pt idx="236">
                  <c:v>1.1035898170030958E-6</c:v>
                </c:pt>
                <c:pt idx="237">
                  <c:v>1.102082036311705E-6</c:v>
                </c:pt>
                <c:pt idx="238">
                  <c:v>1.1005785535094324E-6</c:v>
                </c:pt>
                <c:pt idx="239">
                  <c:v>1.0990789847084793E-6</c:v>
                </c:pt>
                <c:pt idx="240">
                  <c:v>1.0975834153001935E-6</c:v>
                </c:pt>
                <c:pt idx="241">
                  <c:v>1.096091875730992E-6</c:v>
                </c:pt>
                <c:pt idx="242">
                  <c:v>1.094604153768236E-6</c:v>
                </c:pt>
                <c:pt idx="243">
                  <c:v>1.0931198801345906E-6</c:v>
                </c:pt>
                <c:pt idx="244">
                  <c:v>1.0916390805357627E-6</c:v>
                </c:pt>
                <c:pt idx="245">
                  <c:v>1.0901619313462828E-6</c:v>
                </c:pt>
                <c:pt idx="246">
                  <c:v>1.0886881015503194E-6</c:v>
                </c:pt>
                <c:pt idx="247">
                  <c:v>1.0872175348700466E-6</c:v>
                </c:pt>
                <c:pt idx="248">
                  <c:v>1.085750242925717E-6</c:v>
                </c:pt>
                <c:pt idx="249">
                  <c:v>1.0842860864351548E-6</c:v>
                </c:pt>
                <c:pt idx="250">
                  <c:v>1.0828249024606565E-6</c:v>
                </c:pt>
                <c:pt idx="251">
                  <c:v>1.0813666637350601E-6</c:v>
                </c:pt>
                <c:pt idx="252">
                  <c:v>1.0799112172688395E-6</c:v>
                </c:pt>
                <c:pt idx="253">
                  <c:v>1.0784587051251738E-6</c:v>
                </c:pt>
                <c:pt idx="254">
                  <c:v>1.0770088830849588E-6</c:v>
                </c:pt>
                <c:pt idx="255">
                  <c:v>1.075561765221766E-6</c:v>
                </c:pt>
                <c:pt idx="256">
                  <c:v>1.0741170324244475E-6</c:v>
                </c:pt>
                <c:pt idx="257">
                  <c:v>1.0726750805266763E-6</c:v>
                </c:pt>
                <c:pt idx="258">
                  <c:v>1.0712353309815878E-6</c:v>
                </c:pt>
                <c:pt idx="259">
                  <c:v>1.0697979820701434E-6</c:v>
                </c:pt>
                <c:pt idx="260">
                  <c:v>1.0683631024782236E-6</c:v>
                </c:pt>
                <c:pt idx="261">
                  <c:v>1.0669305354340004E-6</c:v>
                </c:pt>
                <c:pt idx="262">
                  <c:v>1.0654999840900345E-6</c:v>
                </c:pt>
                <c:pt idx="263">
                  <c:v>1.0640716286821623E-6</c:v>
                </c:pt>
                <c:pt idx="264">
                  <c:v>1.0626454484533582E-6</c:v>
                </c:pt>
                <c:pt idx="265">
                  <c:v>1.0612214176047978E-6</c:v>
                </c:pt>
                <c:pt idx="266">
                  <c:v>1.059799194183975E-6</c:v>
                </c:pt>
                <c:pt idx="267">
                  <c:v>1.0583784604724552E-6</c:v>
                </c:pt>
                <c:pt idx="268">
                  <c:v>1.0569604238239446E-6</c:v>
                </c:pt>
                <c:pt idx="269">
                  <c:v>1.0555441670243174E-6</c:v>
                </c:pt>
                <c:pt idx="270">
                  <c:v>1.0541304389830957E-6</c:v>
                </c:pt>
                <c:pt idx="271">
                  <c:v>1.0527178231865432E-6</c:v>
                </c:pt>
                <c:pt idx="272">
                  <c:v>1.0513066093886951E-6</c:v>
                </c:pt>
                <c:pt idx="273">
                  <c:v>1.049897317168921E-6</c:v>
                </c:pt>
                <c:pt idx="274">
                  <c:v>1.0484895912244259E-6</c:v>
                </c:pt>
                <c:pt idx="275">
                  <c:v>1.0470835023977781E-6</c:v>
                </c:pt>
                <c:pt idx="276">
                  <c:v>1.0456798559591808E-6</c:v>
                </c:pt>
                <c:pt idx="277">
                  <c:v>1.0442767204584616E-6</c:v>
                </c:pt>
                <c:pt idx="278">
                  <c:v>1.0428753794904102E-6</c:v>
                </c:pt>
                <c:pt idx="279">
                  <c:v>1.0414755823770898E-6</c:v>
                </c:pt>
                <c:pt idx="280">
                  <c:v>1.0400776375656322E-6</c:v>
                </c:pt>
                <c:pt idx="281">
                  <c:v>1.0386803062956575E-6</c:v>
                </c:pt>
                <c:pt idx="282">
                  <c:v>1.0372847424603486E-6</c:v>
                </c:pt>
                <c:pt idx="283">
                  <c:v>1.0358907975709081E-6</c:v>
                </c:pt>
                <c:pt idx="284">
                  <c:v>1.0344976085369575E-6</c:v>
                </c:pt>
                <c:pt idx="285">
                  <c:v>1.0331063894238905E-6</c:v>
                </c:pt>
                <c:pt idx="286">
                  <c:v>1.0317170038880363E-6</c:v>
                </c:pt>
                <c:pt idx="287">
                  <c:v>1.0303281098712582E-6</c:v>
                </c:pt>
                <c:pt idx="288">
                  <c:v>1.0289409608649811E-6</c:v>
                </c:pt>
                <c:pt idx="289">
                  <c:v>1.0275545531303157E-6</c:v>
                </c:pt>
                <c:pt idx="290">
                  <c:v>1.0261680365182797E-6</c:v>
                </c:pt>
                <c:pt idx="291">
                  <c:v>1.0247840172565915E-6</c:v>
                </c:pt>
                <c:pt idx="292">
                  <c:v>1.0234009940265143E-6</c:v>
                </c:pt>
                <c:pt idx="293">
                  <c:v>1.0220200956137739E-6</c:v>
                </c:pt>
                <c:pt idx="294">
                  <c:v>1.0206390530810912E-6</c:v>
                </c:pt>
                <c:pt idx="295">
                  <c:v>1.019260395516023E-6</c:v>
                </c:pt>
                <c:pt idx="296">
                  <c:v>1.0178817190482477E-6</c:v>
                </c:pt>
                <c:pt idx="297">
                  <c:v>1.0165045956297738E-6</c:v>
                </c:pt>
                <c:pt idx="298">
                  <c:v>1.0151289409933583E-6</c:v>
                </c:pt>
                <c:pt idx="299">
                  <c:v>1.0137543823682108E-6</c:v>
                </c:pt>
                <c:pt idx="300">
                  <c:v>1.0123802774204934E-6</c:v>
                </c:pt>
                <c:pt idx="301">
                  <c:v>1.0110077794813873E-6</c:v>
                </c:pt>
                <c:pt idx="302">
                  <c:v>1.0096358534725215E-6</c:v>
                </c:pt>
                <c:pt idx="303">
                  <c:v>1.0082655657978892E-6</c:v>
                </c:pt>
                <c:pt idx="304">
                  <c:v>1.0068958344919455E-6</c:v>
                </c:pt>
                <c:pt idx="305">
                  <c:v>1.0055276940627607E-6</c:v>
                </c:pt>
                <c:pt idx="306">
                  <c:v>1.0041600489577666E-6</c:v>
                </c:pt>
                <c:pt idx="307">
                  <c:v>1.0027932665985894E-6</c:v>
                </c:pt>
                <c:pt idx="308">
                  <c:v>1.0014273260563415E-6</c:v>
                </c:pt>
                <c:pt idx="309">
                  <c:v>1.0000622409225959E-6</c:v>
                </c:pt>
                <c:pt idx="310">
                  <c:v>9.9869829003761738E-7</c:v>
                </c:pt>
                <c:pt idx="311">
                  <c:v>9.973351781745397E-7</c:v>
                </c:pt>
                <c:pt idx="312">
                  <c:v>9.9597420383171032E-7</c:v>
                </c:pt>
                <c:pt idx="313">
                  <c:v>9.9461295139045788E-7</c:v>
                </c:pt>
                <c:pt idx="314">
                  <c:v>9.9325294839934181E-7</c:v>
                </c:pt>
                <c:pt idx="315">
                  <c:v>9.918930716654826E-7</c:v>
                </c:pt>
                <c:pt idx="316">
                  <c:v>9.9053464374370326E-7</c:v>
                </c:pt>
                <c:pt idx="317">
                  <c:v>9.8917764674740684E-7</c:v>
                </c:pt>
                <c:pt idx="318">
                  <c:v>9.8782100972651368E-7</c:v>
                </c:pt>
                <c:pt idx="319">
                  <c:v>9.8646494502562486E-7</c:v>
                </c:pt>
                <c:pt idx="320">
                  <c:v>9.8511050860928255E-7</c:v>
                </c:pt>
                <c:pt idx="321">
                  <c:v>9.8375585377857475E-7</c:v>
                </c:pt>
                <c:pt idx="322">
                  <c:v>9.8240329560629888E-7</c:v>
                </c:pt>
                <c:pt idx="323">
                  <c:v>9.8105147955126395E-7</c:v>
                </c:pt>
                <c:pt idx="324">
                  <c:v>9.7970045811756276E-7</c:v>
                </c:pt>
                <c:pt idx="325">
                  <c:v>9.7835015449177976E-7</c:v>
                </c:pt>
                <c:pt idx="326">
                  <c:v>9.7700084787720503E-7</c:v>
                </c:pt>
                <c:pt idx="327">
                  <c:v>9.7565285671056992E-7</c:v>
                </c:pt>
                <c:pt idx="328">
                  <c:v>9.743049739473717E-7</c:v>
                </c:pt>
                <c:pt idx="329">
                  <c:v>9.7295827001433293E-7</c:v>
                </c:pt>
                <c:pt idx="330">
                  <c:v>9.716129326870577E-7</c:v>
                </c:pt>
                <c:pt idx="331">
                  <c:v>9.7026812131553198E-7</c:v>
                </c:pt>
                <c:pt idx="332">
                  <c:v>9.6892382276369969E-7</c:v>
                </c:pt>
                <c:pt idx="333">
                  <c:v>9.6758103488990497E-7</c:v>
                </c:pt>
                <c:pt idx="334">
                  <c:v>9.6623880814143959E-7</c:v>
                </c:pt>
                <c:pt idx="335">
                  <c:v>9.648973199426009E-7</c:v>
                </c:pt>
                <c:pt idx="336">
                  <c:v>9.6355774439200876E-7</c:v>
                </c:pt>
                <c:pt idx="337">
                  <c:v>9.6221787990785651E-7</c:v>
                </c:pt>
                <c:pt idx="338">
                  <c:v>9.6087898329745307E-7</c:v>
                </c:pt>
                <c:pt idx="339">
                  <c:v>9.5954116539977924E-7</c:v>
                </c:pt>
                <c:pt idx="340">
                  <c:v>9.5820446583045142E-7</c:v>
                </c:pt>
                <c:pt idx="341">
                  <c:v>9.5686888606469246E-7</c:v>
                </c:pt>
                <c:pt idx="342">
                  <c:v>9.5553385231758821E-7</c:v>
                </c:pt>
                <c:pt idx="343">
                  <c:v>9.5420032075846549E-7</c:v>
                </c:pt>
                <c:pt idx="344">
                  <c:v>9.5286731370451725E-7</c:v>
                </c:pt>
                <c:pt idx="345">
                  <c:v>9.5153491008928428E-7</c:v>
                </c:pt>
                <c:pt idx="346">
                  <c:v>9.5020325059858882E-7</c:v>
                </c:pt>
                <c:pt idx="347">
                  <c:v>9.4887312569488164E-7</c:v>
                </c:pt>
                <c:pt idx="348">
                  <c:v>9.4754367172179548E-7</c:v>
                </c:pt>
                <c:pt idx="349">
                  <c:v>9.462151352898787E-7</c:v>
                </c:pt>
                <c:pt idx="350">
                  <c:v>9.4488743597483042E-7</c:v>
                </c:pt>
                <c:pt idx="351">
                  <c:v>9.4356085880352611E-7</c:v>
                </c:pt>
                <c:pt idx="352">
                  <c:v>9.4223465642750334E-7</c:v>
                </c:pt>
                <c:pt idx="353">
                  <c:v>9.4091000698766757E-7</c:v>
                </c:pt>
                <c:pt idx="354">
                  <c:v>9.3958644408741034E-7</c:v>
                </c:pt>
                <c:pt idx="355">
                  <c:v>9.3826334145442733E-7</c:v>
                </c:pt>
                <c:pt idx="356">
                  <c:v>9.3694106395030931E-7</c:v>
                </c:pt>
                <c:pt idx="357">
                  <c:v>9.3562048962929549E-7</c:v>
                </c:pt>
                <c:pt idx="358">
                  <c:v>9.3430067451531802E-7</c:v>
                </c:pt>
                <c:pt idx="359">
                  <c:v>9.3298162631473177E-7</c:v>
                </c:pt>
                <c:pt idx="360">
                  <c:v>9.3166348592893384E-7</c:v>
                </c:pt>
                <c:pt idx="361">
                  <c:v>9.3034630628147239E-7</c:v>
                </c:pt>
                <c:pt idx="362">
                  <c:v>9.2903028917271064E-7</c:v>
                </c:pt>
                <c:pt idx="363">
                  <c:v>9.2771446965656414E-7</c:v>
                </c:pt>
                <c:pt idx="364">
                  <c:v>9.2640023791167082E-7</c:v>
                </c:pt>
                <c:pt idx="365">
                  <c:v>9.2508638096646319E-7</c:v>
                </c:pt>
                <c:pt idx="366">
                  <c:v>9.2377513279816026E-7</c:v>
                </c:pt>
                <c:pt idx="367">
                  <c:v>9.2246443031977049E-7</c:v>
                </c:pt>
                <c:pt idx="368">
                  <c:v>9.2115435945486791E-7</c:v>
                </c:pt>
                <c:pt idx="369">
                  <c:v>9.1984529593813828E-7</c:v>
                </c:pt>
                <c:pt idx="370">
                  <c:v>9.1853725104761532E-7</c:v>
                </c:pt>
                <c:pt idx="371">
                  <c:v>9.1723021183919502E-7</c:v>
                </c:pt>
                <c:pt idx="372">
                  <c:v>9.1592415380682762E-7</c:v>
                </c:pt>
                <c:pt idx="373">
                  <c:v>9.146193291752127E-7</c:v>
                </c:pt>
                <c:pt idx="374">
                  <c:v>9.1331590747433422E-7</c:v>
                </c:pt>
                <c:pt idx="375">
                  <c:v>9.1201291638400193E-7</c:v>
                </c:pt>
                <c:pt idx="376">
                  <c:v>9.1071136828275703E-7</c:v>
                </c:pt>
                <c:pt idx="377">
                  <c:v>9.0941043434201314E-7</c:v>
                </c:pt>
                <c:pt idx="378">
                  <c:v>9.0811112262419514E-7</c:v>
                </c:pt>
                <c:pt idx="379">
                  <c:v>9.0681262877719625E-7</c:v>
                </c:pt>
                <c:pt idx="380">
                  <c:v>9.0551520658092627E-7</c:v>
                </c:pt>
                <c:pt idx="381">
                  <c:v>9.042186048445721E-7</c:v>
                </c:pt>
                <c:pt idx="382">
                  <c:v>9.0292332709057788E-7</c:v>
                </c:pt>
                <c:pt idx="383">
                  <c:v>9.0162950402665195E-7</c:v>
                </c:pt>
                <c:pt idx="384">
                  <c:v>9.003359544878849E-7</c:v>
                </c:pt>
                <c:pt idx="385">
                  <c:v>8.9904327253343344E-7</c:v>
                </c:pt>
                <c:pt idx="386">
                  <c:v>8.9775316512438895E-7</c:v>
                </c:pt>
                <c:pt idx="387">
                  <c:v>8.9646354939708262E-7</c:v>
                </c:pt>
                <c:pt idx="388">
                  <c:v>8.9517468469476055E-7</c:v>
                </c:pt>
                <c:pt idx="389">
                  <c:v>8.9388761496088772E-7</c:v>
                </c:pt>
                <c:pt idx="390">
                  <c:v>8.9260076811021674E-7</c:v>
                </c:pt>
                <c:pt idx="391">
                  <c:v>8.9131528729402718E-7</c:v>
                </c:pt>
                <c:pt idx="392">
                  <c:v>8.9003181617461834E-7</c:v>
                </c:pt>
                <c:pt idx="393">
                  <c:v>8.8874860827997106E-7</c:v>
                </c:pt>
                <c:pt idx="394">
                  <c:v>8.8746721070662933E-7</c:v>
                </c:pt>
                <c:pt idx="395">
                  <c:v>8.8618722500952649E-7</c:v>
                </c:pt>
                <c:pt idx="396">
                  <c:v>8.8490779888796487E-7</c:v>
                </c:pt>
                <c:pt idx="397">
                  <c:v>8.8362989347122138E-7</c:v>
                </c:pt>
                <c:pt idx="398">
                  <c:v>8.8235228645148438E-7</c:v>
                </c:pt>
                <c:pt idx="399">
                  <c:v>8.8107682469405733E-7</c:v>
                </c:pt>
                <c:pt idx="400">
                  <c:v>8.798025348666044E-7</c:v>
                </c:pt>
                <c:pt idx="401">
                  <c:v>8.7852951391246206E-7</c:v>
                </c:pt>
                <c:pt idx="402">
                  <c:v>8.7725765271142749E-7</c:v>
                </c:pt>
                <c:pt idx="403">
                  <c:v>8.7598716381743685E-7</c:v>
                </c:pt>
                <c:pt idx="404">
                  <c:v>8.7471741161082173E-7</c:v>
                </c:pt>
                <c:pt idx="405">
                  <c:v>8.7344942527128338E-7</c:v>
                </c:pt>
                <c:pt idx="406">
                  <c:v>8.7218230558642459E-7</c:v>
                </c:pt>
                <c:pt idx="407">
                  <c:v>8.7091716645931982E-7</c:v>
                </c:pt>
                <c:pt idx="408">
                  <c:v>8.6965216480177536E-7</c:v>
                </c:pt>
                <c:pt idx="409">
                  <c:v>8.6838934591604709E-7</c:v>
                </c:pt>
                <c:pt idx="410">
                  <c:v>8.67126865620149E-7</c:v>
                </c:pt>
                <c:pt idx="411">
                  <c:v>8.658668138872588E-7</c:v>
                </c:pt>
                <c:pt idx="412">
                  <c:v>8.6460700881059916E-7</c:v>
                </c:pt>
                <c:pt idx="413">
                  <c:v>8.6334892724503391E-7</c:v>
                </c:pt>
                <c:pt idx="414">
                  <c:v>8.6209151587151548E-7</c:v>
                </c:pt>
                <c:pt idx="415">
                  <c:v>8.6083596464013583E-7</c:v>
                </c:pt>
                <c:pt idx="416">
                  <c:v>8.5958159923222705E-7</c:v>
                </c:pt>
                <c:pt idx="417">
                  <c:v>8.5832836775034053E-7</c:v>
                </c:pt>
                <c:pt idx="418">
                  <c:v>8.5707650802030807E-7</c:v>
                </c:pt>
                <c:pt idx="419">
                  <c:v>8.5582692524316248E-7</c:v>
                </c:pt>
                <c:pt idx="420">
                  <c:v>8.5457770423478425E-7</c:v>
                </c:pt>
                <c:pt idx="421">
                  <c:v>8.533300596026914E-7</c:v>
                </c:pt>
                <c:pt idx="422">
                  <c:v>8.5208409633334926E-7</c:v>
                </c:pt>
                <c:pt idx="423">
                  <c:v>8.5083893449524551E-7</c:v>
                </c:pt>
                <c:pt idx="424">
                  <c:v>8.4959545828242537E-7</c:v>
                </c:pt>
                <c:pt idx="425">
                  <c:v>8.4835324625876308E-7</c:v>
                </c:pt>
                <c:pt idx="426">
                  <c:v>8.4711219195676212E-7</c:v>
                </c:pt>
                <c:pt idx="427">
                  <c:v>8.45872509535675E-7</c:v>
                </c:pt>
                <c:pt idx="428">
                  <c:v>8.4463427659955593E-7</c:v>
                </c:pt>
                <c:pt idx="429">
                  <c:v>8.4339786404410133E-7</c:v>
                </c:pt>
                <c:pt idx="430">
                  <c:v>8.421621422825927E-7</c:v>
                </c:pt>
                <c:pt idx="431">
                  <c:v>8.4092824718263591E-7</c:v>
                </c:pt>
                <c:pt idx="432">
                  <c:v>8.3969609747828881E-7</c:v>
                </c:pt>
                <c:pt idx="433">
                  <c:v>8.3846482689432607E-7</c:v>
                </c:pt>
                <c:pt idx="434">
                  <c:v>8.3723575936254336E-7</c:v>
                </c:pt>
                <c:pt idx="435">
                  <c:v>8.3600703795607735E-7</c:v>
                </c:pt>
                <c:pt idx="436">
                  <c:v>8.3477987398366167E-7</c:v>
                </c:pt>
                <c:pt idx="437">
                  <c:v>8.3355437409530903E-7</c:v>
                </c:pt>
                <c:pt idx="438">
                  <c:v>8.3233055198433119E-7</c:v>
                </c:pt>
                <c:pt idx="439">
                  <c:v>8.3110838361722856E-7</c:v>
                </c:pt>
                <c:pt idx="440">
                  <c:v>8.2988804600602657E-7</c:v>
                </c:pt>
                <c:pt idx="441">
                  <c:v>8.2866863042947294E-7</c:v>
                </c:pt>
                <c:pt idx="442">
                  <c:v>8.2745034856521535E-7</c:v>
                </c:pt>
                <c:pt idx="443">
                  <c:v>8.2623338753971744E-7</c:v>
                </c:pt>
                <c:pt idx="444">
                  <c:v>8.2501781316671966E-7</c:v>
                </c:pt>
                <c:pt idx="445">
                  <c:v>8.2380399571027582E-7</c:v>
                </c:pt>
                <c:pt idx="446">
                  <c:v>8.2259189842848539E-7</c:v>
                </c:pt>
                <c:pt idx="447">
                  <c:v>8.2138125871933751E-7</c:v>
                </c:pt>
                <c:pt idx="448">
                  <c:v>8.2017174586781617E-7</c:v>
                </c:pt>
                <c:pt idx="449">
                  <c:v>8.1896435210189804E-7</c:v>
                </c:pt>
                <c:pt idx="450">
                  <c:v>8.1775813569316602E-7</c:v>
                </c:pt>
                <c:pt idx="451">
                  <c:v>8.1655399846898831E-7</c:v>
                </c:pt>
                <c:pt idx="452">
                  <c:v>8.1535096612689926E-7</c:v>
                </c:pt>
                <c:pt idx="453">
                  <c:v>8.1414936067411422E-7</c:v>
                </c:pt>
                <c:pt idx="454">
                  <c:v>8.1294871602243302E-7</c:v>
                </c:pt>
                <c:pt idx="455">
                  <c:v>8.1175011636312673E-7</c:v>
                </c:pt>
                <c:pt idx="456">
                  <c:v>8.1055344614706749E-7</c:v>
                </c:pt>
                <c:pt idx="457">
                  <c:v>8.0935769259704788E-7</c:v>
                </c:pt>
                <c:pt idx="458">
                  <c:v>8.0816331779898232E-7</c:v>
                </c:pt>
                <c:pt idx="459">
                  <c:v>8.0697125417118915E-7</c:v>
                </c:pt>
                <c:pt idx="460">
                  <c:v>8.0578017065965299E-7</c:v>
                </c:pt>
                <c:pt idx="461">
                  <c:v>8.0459147510496388E-7</c:v>
                </c:pt>
                <c:pt idx="462">
                  <c:v>8.0340378618336514E-7</c:v>
                </c:pt>
                <c:pt idx="463">
                  <c:v>8.0221814874744781E-7</c:v>
                </c:pt>
                <c:pt idx="464">
                  <c:v>8.0103343370251884E-7</c:v>
                </c:pt>
                <c:pt idx="465">
                  <c:v>7.9985083536873834E-7</c:v>
                </c:pt>
                <c:pt idx="466">
                  <c:v>7.9866935258377677E-7</c:v>
                </c:pt>
                <c:pt idx="467">
                  <c:v>7.9748929638352934E-7</c:v>
                </c:pt>
                <c:pt idx="468">
                  <c:v>7.9631159462227564E-7</c:v>
                </c:pt>
                <c:pt idx="469">
                  <c:v>7.9513540355622273E-7</c:v>
                </c:pt>
                <c:pt idx="470">
                  <c:v>7.9396036938204083E-7</c:v>
                </c:pt>
                <c:pt idx="471">
                  <c:v>7.9278721392786101E-7</c:v>
                </c:pt>
                <c:pt idx="472">
                  <c:v>7.9161507338450998E-7</c:v>
                </c:pt>
                <c:pt idx="473">
                  <c:v>7.9044591332669085E-7</c:v>
                </c:pt>
                <c:pt idx="474">
                  <c:v>7.8927764679250332E-7</c:v>
                </c:pt>
                <c:pt idx="475">
                  <c:v>7.8811087189782662E-7</c:v>
                </c:pt>
                <c:pt idx="476">
                  <c:v>7.8694562982759075E-7</c:v>
                </c:pt>
                <c:pt idx="477">
                  <c:v>7.8578196545249778E-7</c:v>
                </c:pt>
                <c:pt idx="478">
                  <c:v>7.8462035712416287E-7</c:v>
                </c:pt>
                <c:pt idx="479">
                  <c:v>7.8345985550002944E-7</c:v>
                </c:pt>
                <c:pt idx="480">
                  <c:v>7.8230215148542768E-7</c:v>
                </c:pt>
                <c:pt idx="481">
                  <c:v>7.8114545654482817E-7</c:v>
                </c:pt>
                <c:pt idx="482">
                  <c:v>7.799900949305053E-7</c:v>
                </c:pt>
                <c:pt idx="483">
                  <c:v>7.7883697858684883E-7</c:v>
                </c:pt>
                <c:pt idx="484">
                  <c:v>7.7768474810751805E-7</c:v>
                </c:pt>
                <c:pt idx="485">
                  <c:v>7.7653441794808622E-7</c:v>
                </c:pt>
                <c:pt idx="486">
                  <c:v>7.753866724998972E-7</c:v>
                </c:pt>
                <c:pt idx="487">
                  <c:v>7.7423968955348088E-7</c:v>
                </c:pt>
                <c:pt idx="488">
                  <c:v>7.7309474718069898E-7</c:v>
                </c:pt>
                <c:pt idx="489">
                  <c:v>7.719513946554585E-7</c:v>
                </c:pt>
                <c:pt idx="490">
                  <c:v>7.7081039068928152E-7</c:v>
                </c:pt>
                <c:pt idx="491">
                  <c:v>7.6967063401118624E-7</c:v>
                </c:pt>
                <c:pt idx="492">
                  <c:v>7.6853185208810716E-7</c:v>
                </c:pt>
                <c:pt idx="493">
                  <c:v>7.6739579850024533E-7</c:v>
                </c:pt>
                <c:pt idx="494">
                  <c:v>7.6626074271060683E-7</c:v>
                </c:pt>
                <c:pt idx="495">
                  <c:v>7.6512759453945509E-7</c:v>
                </c:pt>
                <c:pt idx="496">
                  <c:v>7.6399593823023541E-7</c:v>
                </c:pt>
                <c:pt idx="497">
                  <c:v>7.6286676639305184E-7</c:v>
                </c:pt>
                <c:pt idx="498">
                  <c:v>7.6173891509161209E-7</c:v>
                </c:pt>
                <c:pt idx="499">
                  <c:v>7.6061318325302593E-7</c:v>
                </c:pt>
                <c:pt idx="500">
                  <c:v>7.5948901017635961E-7</c:v>
                </c:pt>
                <c:pt idx="501">
                  <c:v>7.5836657462917024E-7</c:v>
                </c:pt>
                <c:pt idx="502">
                  <c:v>7.5724601720612524E-7</c:v>
                </c:pt>
                <c:pt idx="503">
                  <c:v>7.561265711329453E-7</c:v>
                </c:pt>
                <c:pt idx="504">
                  <c:v>7.5500940674338438E-7</c:v>
                </c:pt>
                <c:pt idx="505">
                  <c:v>7.5389366906968879E-7</c:v>
                </c:pt>
                <c:pt idx="506">
                  <c:v>7.5277934806191362E-7</c:v>
                </c:pt>
                <c:pt idx="507">
                  <c:v>7.5166772035719956E-7</c:v>
                </c:pt>
                <c:pt idx="508">
                  <c:v>7.5055704758827254E-7</c:v>
                </c:pt>
                <c:pt idx="509">
                  <c:v>7.4944844539414481E-7</c:v>
                </c:pt>
                <c:pt idx="510">
                  <c:v>7.4834198974629919E-7</c:v>
                </c:pt>
                <c:pt idx="511">
                  <c:v>7.4723688197071233E-7</c:v>
                </c:pt>
                <c:pt idx="512">
                  <c:v>7.4613387632201144E-7</c:v>
                </c:pt>
                <c:pt idx="513">
                  <c:v>7.4503292347317522E-7</c:v>
                </c:pt>
                <c:pt idx="514">
                  <c:v>7.4393267521545303E-7</c:v>
                </c:pt>
                <c:pt idx="515">
                  <c:v>7.4283437521789529E-7</c:v>
                </c:pt>
                <c:pt idx="516">
                  <c:v>7.417388955185706E-7</c:v>
                </c:pt>
                <c:pt idx="517">
                  <c:v>7.4064491221659694E-7</c:v>
                </c:pt>
                <c:pt idx="518">
                  <c:v>7.3955222809503139E-7</c:v>
                </c:pt>
                <c:pt idx="519">
                  <c:v>7.3846089312049512E-7</c:v>
                </c:pt>
                <c:pt idx="520">
                  <c:v>7.3737220224889077E-7</c:v>
                </c:pt>
                <c:pt idx="521">
                  <c:v>7.3628522283681912E-7</c:v>
                </c:pt>
                <c:pt idx="522">
                  <c:v>7.3520077736269562E-7</c:v>
                </c:pt>
                <c:pt idx="523">
                  <c:v>7.3411691454651247E-7</c:v>
                </c:pt>
                <c:pt idx="524">
                  <c:v>7.3303505208940041E-7</c:v>
                </c:pt>
                <c:pt idx="525">
                  <c:v>7.3195521958433925E-7</c:v>
                </c:pt>
                <c:pt idx="526">
                  <c:v>7.3087763209454542E-7</c:v>
                </c:pt>
                <c:pt idx="527">
                  <c:v>7.2980142327386307E-7</c:v>
                </c:pt>
                <c:pt idx="528">
                  <c:v>7.2872759164568595E-7</c:v>
                </c:pt>
                <c:pt idx="529">
                  <c:v>7.2765526756880674E-7</c:v>
                </c:pt>
                <c:pt idx="530">
                  <c:v>7.2658427071303283E-7</c:v>
                </c:pt>
                <c:pt idx="531">
                  <c:v>7.2551513788708515E-7</c:v>
                </c:pt>
                <c:pt idx="532">
                  <c:v>7.2444791123174212E-7</c:v>
                </c:pt>
                <c:pt idx="533">
                  <c:v>7.2338281389948572E-7</c:v>
                </c:pt>
                <c:pt idx="534">
                  <c:v>7.2231972755169579E-7</c:v>
                </c:pt>
                <c:pt idx="535">
                  <c:v>7.212578324404653E-7</c:v>
                </c:pt>
                <c:pt idx="536">
                  <c:v>7.2019788864326156E-7</c:v>
                </c:pt>
                <c:pt idx="537">
                  <c:v>7.1914045639140665E-7</c:v>
                </c:pt>
                <c:pt idx="538">
                  <c:v>7.1808452434230098E-7</c:v>
                </c:pt>
                <c:pt idx="539">
                  <c:v>7.1702988787431775E-7</c:v>
                </c:pt>
                <c:pt idx="540">
                  <c:v>7.1597760385797341E-7</c:v>
                </c:pt>
                <c:pt idx="541">
                  <c:v>7.1492732612642544E-7</c:v>
                </c:pt>
                <c:pt idx="542">
                  <c:v>7.138784085061659E-7</c:v>
                </c:pt>
                <c:pt idx="543">
                  <c:v>7.1283151221837805E-7</c:v>
                </c:pt>
                <c:pt idx="544">
                  <c:v>7.1178690829446111E-7</c:v>
                </c:pt>
                <c:pt idx="545">
                  <c:v>7.1074365395635577E-7</c:v>
                </c:pt>
                <c:pt idx="546">
                  <c:v>7.0970256754089603E-7</c:v>
                </c:pt>
                <c:pt idx="547">
                  <c:v>7.0866362546417444E-7</c:v>
                </c:pt>
                <c:pt idx="548">
                  <c:v>7.0762678029093386E-7</c:v>
                </c:pt>
                <c:pt idx="549">
                  <c:v>7.0659133358248068E-7</c:v>
                </c:pt>
                <c:pt idx="550">
                  <c:v>7.0555767731092924E-7</c:v>
                </c:pt>
                <c:pt idx="551">
                  <c:v>7.0452614355337283E-7</c:v>
                </c:pt>
                <c:pt idx="552">
                  <c:v>7.0349607192673722E-7</c:v>
                </c:pt>
                <c:pt idx="553">
                  <c:v>7.024679618281262E-7</c:v>
                </c:pt>
                <c:pt idx="554">
                  <c:v>7.0144209380976486E-7</c:v>
                </c:pt>
                <c:pt idx="555">
                  <c:v>7.0041836767507618E-7</c:v>
                </c:pt>
                <c:pt idx="556">
                  <c:v>6.9939581721841231E-7</c:v>
                </c:pt>
                <c:pt idx="557">
                  <c:v>6.9837490187274354E-7</c:v>
                </c:pt>
                <c:pt idx="558">
                  <c:v>6.9735647560533195E-7</c:v>
                </c:pt>
                <c:pt idx="559">
                  <c:v>6.9634005345012097E-7</c:v>
                </c:pt>
                <c:pt idx="560">
                  <c:v>6.9532526921225641E-7</c:v>
                </c:pt>
                <c:pt idx="561">
                  <c:v>6.9431238028419372E-7</c:v>
                </c:pt>
                <c:pt idx="562">
                  <c:v>6.9330152767024238E-7</c:v>
                </c:pt>
                <c:pt idx="563">
                  <c:v>6.9229261992068663E-7</c:v>
                </c:pt>
                <c:pt idx="564">
                  <c:v>6.9128511818905666E-7</c:v>
                </c:pt>
                <c:pt idx="565">
                  <c:v>6.9028002960254722E-7</c:v>
                </c:pt>
                <c:pt idx="566">
                  <c:v>6.8927667705837614E-7</c:v>
                </c:pt>
                <c:pt idx="567">
                  <c:v>6.8827504293680407E-7</c:v>
                </c:pt>
                <c:pt idx="568">
                  <c:v>6.8727533289250766E-7</c:v>
                </c:pt>
                <c:pt idx="569">
                  <c:v>6.8627773656666273E-7</c:v>
                </c:pt>
                <c:pt idx="570">
                  <c:v>6.8528211735112254E-7</c:v>
                </c:pt>
                <c:pt idx="571">
                  <c:v>6.8428833347480017E-7</c:v>
                </c:pt>
                <c:pt idx="572">
                  <c:v>6.8329612522943519E-7</c:v>
                </c:pt>
                <c:pt idx="573">
                  <c:v>6.8230625054820399E-7</c:v>
                </c:pt>
                <c:pt idx="574">
                  <c:v>6.8131822112064658E-7</c:v>
                </c:pt>
                <c:pt idx="575">
                  <c:v>6.8033263482847157E-7</c:v>
                </c:pt>
                <c:pt idx="576">
                  <c:v>6.7934795816231143E-7</c:v>
                </c:pt>
                <c:pt idx="577">
                  <c:v>6.7836614431710515E-7</c:v>
                </c:pt>
                <c:pt idx="578">
                  <c:v>6.7738556830981863E-7</c:v>
                </c:pt>
                <c:pt idx="579">
                  <c:v>6.7640725220654511E-7</c:v>
                </c:pt>
                <c:pt idx="580">
                  <c:v>6.7543054536728849E-7</c:v>
                </c:pt>
                <c:pt idx="581">
                  <c:v>6.7445567368237958E-7</c:v>
                </c:pt>
                <c:pt idx="582">
                  <c:v>6.7348284051033449E-7</c:v>
                </c:pt>
                <c:pt idx="583">
                  <c:v>6.7251190931248975E-7</c:v>
                </c:pt>
                <c:pt idx="584">
                  <c:v>6.7154296305940268E-7</c:v>
                </c:pt>
                <c:pt idx="585">
                  <c:v>6.705758252055397E-7</c:v>
                </c:pt>
                <c:pt idx="586">
                  <c:v>6.6961106618687762E-7</c:v>
                </c:pt>
                <c:pt idx="587">
                  <c:v>6.6864770346077605E-7</c:v>
                </c:pt>
                <c:pt idx="588">
                  <c:v>6.6768674257338546E-7</c:v>
                </c:pt>
                <c:pt idx="589">
                  <c:v>6.6672664446351209E-7</c:v>
                </c:pt>
                <c:pt idx="590">
                  <c:v>6.6576933801127548E-7</c:v>
                </c:pt>
                <c:pt idx="591">
                  <c:v>6.6481391862895961E-7</c:v>
                </c:pt>
                <c:pt idx="592">
                  <c:v>6.6385998350481036E-7</c:v>
                </c:pt>
                <c:pt idx="593">
                  <c:v>6.6290829846533149E-7</c:v>
                </c:pt>
                <c:pt idx="594">
                  <c:v>6.6195857614358887E-7</c:v>
                </c:pt>
                <c:pt idx="595">
                  <c:v>6.6101068237614033E-7</c:v>
                </c:pt>
                <c:pt idx="596">
                  <c:v>6.600644084660118E-7</c:v>
                </c:pt>
                <c:pt idx="597">
                  <c:v>6.5912067721343918E-7</c:v>
                </c:pt>
                <c:pt idx="598">
                  <c:v>6.5817865337057339E-7</c:v>
                </c:pt>
                <c:pt idx="599">
                  <c:v>6.5723796286904076E-7</c:v>
                </c:pt>
                <c:pt idx="600">
                  <c:v>6.562996434482735E-7</c:v>
                </c:pt>
                <c:pt idx="601">
                  <c:v>6.5536333466081189E-7</c:v>
                </c:pt>
                <c:pt idx="602">
                  <c:v>6.5442930877712811E-7</c:v>
                </c:pt>
                <c:pt idx="603">
                  <c:v>6.5349630145547661E-7</c:v>
                </c:pt>
                <c:pt idx="604">
                  <c:v>6.5256514126479507E-7</c:v>
                </c:pt>
                <c:pt idx="605">
                  <c:v>6.5163673383287975E-7</c:v>
                </c:pt>
                <c:pt idx="606">
                  <c:v>6.5071008021986721E-7</c:v>
                </c:pt>
                <c:pt idx="607">
                  <c:v>6.4978543766211E-7</c:v>
                </c:pt>
                <c:pt idx="608">
                  <c:v>6.4886285314631687E-7</c:v>
                </c:pt>
                <c:pt idx="609">
                  <c:v>6.4794184193073073E-7</c:v>
                </c:pt>
                <c:pt idx="610">
                  <c:v>6.4702261432646851E-7</c:v>
                </c:pt>
                <c:pt idx="611">
                  <c:v>6.4610502979401713E-7</c:v>
                </c:pt>
                <c:pt idx="612">
                  <c:v>6.4519013690057251E-7</c:v>
                </c:pt>
                <c:pt idx="613">
                  <c:v>6.4427671716517412E-7</c:v>
                </c:pt>
                <c:pt idx="614">
                  <c:v>6.4336511775321636E-7</c:v>
                </c:pt>
                <c:pt idx="615">
                  <c:v>6.4245569410961495E-7</c:v>
                </c:pt>
                <c:pt idx="616">
                  <c:v>6.4154790182947875E-7</c:v>
                </c:pt>
                <c:pt idx="617">
                  <c:v>6.4064232911767456E-7</c:v>
                </c:pt>
                <c:pt idx="618">
                  <c:v>6.3973849306010162E-7</c:v>
                </c:pt>
                <c:pt idx="619">
                  <c:v>6.3883665268369853E-7</c:v>
                </c:pt>
                <c:pt idx="620">
                  <c:v>6.3793731391958598E-7</c:v>
                </c:pt>
                <c:pt idx="621">
                  <c:v>6.37039523661676E-7</c:v>
                </c:pt>
                <c:pt idx="622">
                  <c:v>6.3614309160374441E-7</c:v>
                </c:pt>
                <c:pt idx="623">
                  <c:v>6.3524900061713015E-7</c:v>
                </c:pt>
                <c:pt idx="624">
                  <c:v>6.3435692015487777E-7</c:v>
                </c:pt>
                <c:pt idx="625">
                  <c:v>6.3346624342258696E-7</c:v>
                </c:pt>
                <c:pt idx="626">
                  <c:v>6.325776330158472E-7</c:v>
                </c:pt>
                <c:pt idx="627">
                  <c:v>6.3169149261180414E-7</c:v>
                </c:pt>
                <c:pt idx="628">
                  <c:v>6.3080746929473904E-7</c:v>
                </c:pt>
                <c:pt idx="629">
                  <c:v>6.2992518170538073E-7</c:v>
                </c:pt>
                <c:pt idx="630">
                  <c:v>6.290449131766986E-7</c:v>
                </c:pt>
                <c:pt idx="631">
                  <c:v>6.2816655422310889E-7</c:v>
                </c:pt>
                <c:pt idx="632">
                  <c:v>6.2728929471742826E-7</c:v>
                </c:pt>
                <c:pt idx="633">
                  <c:v>6.2641389881470251E-7</c:v>
                </c:pt>
                <c:pt idx="634">
                  <c:v>6.2554108151872131E-7</c:v>
                </c:pt>
                <c:pt idx="635">
                  <c:v>6.2467015629339324E-7</c:v>
                </c:pt>
                <c:pt idx="636">
                  <c:v>6.2380107691044887E-7</c:v>
                </c:pt>
                <c:pt idx="637">
                  <c:v>6.2293379123028694E-7</c:v>
                </c:pt>
                <c:pt idx="638">
                  <c:v>6.2206918432450792E-7</c:v>
                </c:pt>
                <c:pt idx="639">
                  <c:v>6.2120572612927501E-7</c:v>
                </c:pt>
                <c:pt idx="640">
                  <c:v>6.2034387277851605E-7</c:v>
                </c:pt>
                <c:pt idx="641">
                  <c:v>6.1948403491934294E-7</c:v>
                </c:pt>
                <c:pt idx="642">
                  <c:v>6.1862651064735469E-7</c:v>
                </c:pt>
                <c:pt idx="643">
                  <c:v>6.177709395437497E-7</c:v>
                </c:pt>
                <c:pt idx="644">
                  <c:v>6.1691721494537882E-7</c:v>
                </c:pt>
                <c:pt idx="645">
                  <c:v>6.1606562427657748E-7</c:v>
                </c:pt>
                <c:pt idx="646">
                  <c:v>6.1521536091346402E-7</c:v>
                </c:pt>
                <c:pt idx="647">
                  <c:v>6.14367232641869E-7</c:v>
                </c:pt>
                <c:pt idx="648">
                  <c:v>6.1352106484167462E-7</c:v>
                </c:pt>
                <c:pt idx="649">
                  <c:v>6.1267649815149423E-7</c:v>
                </c:pt>
                <c:pt idx="650">
                  <c:v>6.1183424431442915E-7</c:v>
                </c:pt>
                <c:pt idx="651">
                  <c:v>6.109934804124968E-7</c:v>
                </c:pt>
                <c:pt idx="652">
                  <c:v>6.1015471028956301E-7</c:v>
                </c:pt>
                <c:pt idx="653">
                  <c:v>6.0931827647117621E-7</c:v>
                </c:pt>
                <c:pt idx="654">
                  <c:v>6.0848323124069789E-7</c:v>
                </c:pt>
                <c:pt idx="655">
                  <c:v>6.0765022157474486E-7</c:v>
                </c:pt>
                <c:pt idx="656">
                  <c:v>6.0681903687609494E-7</c:v>
                </c:pt>
                <c:pt idx="657">
                  <c:v>6.0599025746438689E-7</c:v>
                </c:pt>
                <c:pt idx="658">
                  <c:v>6.0516288772395736E-7</c:v>
                </c:pt>
                <c:pt idx="659">
                  <c:v>6.0433787514052694E-7</c:v>
                </c:pt>
                <c:pt idx="660">
                  <c:v>6.0351402820095749E-7</c:v>
                </c:pt>
                <c:pt idx="661">
                  <c:v>6.0269281291301929E-7</c:v>
                </c:pt>
                <c:pt idx="662">
                  <c:v>6.018727891387552E-7</c:v>
                </c:pt>
                <c:pt idx="663">
                  <c:v>6.0105488281361249E-7</c:v>
                </c:pt>
                <c:pt idx="664">
                  <c:v>6.0023915699656332E-7</c:v>
                </c:pt>
                <c:pt idx="665">
                  <c:v>5.9942525843055052E-7</c:v>
                </c:pt>
                <c:pt idx="666">
                  <c:v>5.986134092519289E-7</c:v>
                </c:pt>
                <c:pt idx="667">
                  <c:v>5.9780252388825197E-7</c:v>
                </c:pt>
                <c:pt idx="668">
                  <c:v>5.9699439323471246E-7</c:v>
                </c:pt>
                <c:pt idx="669">
                  <c:v>5.9618815712617713E-7</c:v>
                </c:pt>
                <c:pt idx="670">
                  <c:v>5.9538314835240638E-7</c:v>
                </c:pt>
                <c:pt idx="671">
                  <c:v>5.9458042870124295E-7</c:v>
                </c:pt>
                <c:pt idx="672">
                  <c:v>5.937799339572748E-7</c:v>
                </c:pt>
                <c:pt idx="673">
                  <c:v>5.9298097548623132E-7</c:v>
                </c:pt>
                <c:pt idx="674">
                  <c:v>5.9218412293778524E-7</c:v>
                </c:pt>
                <c:pt idx="675">
                  <c:v>5.9138887016797503E-7</c:v>
                </c:pt>
                <c:pt idx="676">
                  <c:v>5.9059604804698838E-7</c:v>
                </c:pt>
                <c:pt idx="677">
                  <c:v>5.8980424744209244E-7</c:v>
                </c:pt>
                <c:pt idx="678">
                  <c:v>5.8901437948716111E-7</c:v>
                </c:pt>
                <c:pt idx="679">
                  <c:v>5.8822681470884408E-7</c:v>
                </c:pt>
                <c:pt idx="680">
                  <c:v>5.8744116305627275E-7</c:v>
                </c:pt>
                <c:pt idx="681">
                  <c:v>5.866577281574467E-7</c:v>
                </c:pt>
                <c:pt idx="682">
                  <c:v>5.858750349470266E-7</c:v>
                </c:pt>
                <c:pt idx="683">
                  <c:v>5.8509489516833554E-7</c:v>
                </c:pt>
                <c:pt idx="684">
                  <c:v>5.843164768985783E-7</c:v>
                </c:pt>
                <c:pt idx="685">
                  <c:v>5.8353973287595365E-7</c:v>
                </c:pt>
                <c:pt idx="686">
                  <c:v>5.8276554439570765E-7</c:v>
                </c:pt>
                <c:pt idx="687">
                  <c:v>5.8199252214457516E-7</c:v>
                </c:pt>
                <c:pt idx="688">
                  <c:v>5.8122176557298699E-7</c:v>
                </c:pt>
                <c:pt idx="689">
                  <c:v>5.8045304417432734E-7</c:v>
                </c:pt>
                <c:pt idx="690">
                  <c:v>5.7968562352530895E-7</c:v>
                </c:pt>
                <c:pt idx="691">
                  <c:v>5.7891990454504778E-7</c:v>
                </c:pt>
                <c:pt idx="692">
                  <c:v>5.7815587967466181E-7</c:v>
                </c:pt>
                <c:pt idx="693">
                  <c:v>5.773936977173364E-7</c:v>
                </c:pt>
                <c:pt idx="694">
                  <c:v>5.7663413218969435E-7</c:v>
                </c:pt>
                <c:pt idx="695">
                  <c:v>5.7587575820001001E-7</c:v>
                </c:pt>
                <c:pt idx="696">
                  <c:v>5.751193385907868E-7</c:v>
                </c:pt>
                <c:pt idx="697">
                  <c:v>5.7436502574371529E-7</c:v>
                </c:pt>
                <c:pt idx="698">
                  <c:v>5.7361265148986546E-7</c:v>
                </c:pt>
                <c:pt idx="699">
                  <c:v>5.7286167183555833E-7</c:v>
                </c:pt>
                <c:pt idx="700">
                  <c:v>5.7211244720550834E-7</c:v>
                </c:pt>
                <c:pt idx="701">
                  <c:v>5.7136568238038637E-7</c:v>
                </c:pt>
                <c:pt idx="702">
                  <c:v>5.7062077056734558E-7</c:v>
                </c:pt>
                <c:pt idx="703">
                  <c:v>5.698776755635856E-7</c:v>
                </c:pt>
                <c:pt idx="704">
                  <c:v>5.691363485290569E-7</c:v>
                </c:pt>
                <c:pt idx="705">
                  <c:v>5.6839673639125579E-7</c:v>
                </c:pt>
                <c:pt idx="706">
                  <c:v>5.6765865776355683E-7</c:v>
                </c:pt>
                <c:pt idx="707">
                  <c:v>5.6692254396566993E-7</c:v>
                </c:pt>
                <c:pt idx="708">
                  <c:v>5.6618799480316007E-7</c:v>
                </c:pt>
                <c:pt idx="709">
                  <c:v>5.6545582204169178E-7</c:v>
                </c:pt>
                <c:pt idx="710">
                  <c:v>5.6472515417061493E-7</c:v>
                </c:pt>
                <c:pt idx="711">
                  <c:v>5.6399636418658703E-7</c:v>
                </c:pt>
                <c:pt idx="712">
                  <c:v>5.6326937055379547E-7</c:v>
                </c:pt>
                <c:pt idx="713">
                  <c:v>5.6254410718271668E-7</c:v>
                </c:pt>
                <c:pt idx="714">
                  <c:v>5.6182066283182442E-7</c:v>
                </c:pt>
                <c:pt idx="715">
                  <c:v>5.6109924915803098E-7</c:v>
                </c:pt>
                <c:pt idx="716">
                  <c:v>5.6037911115139178E-7</c:v>
                </c:pt>
                <c:pt idx="717">
                  <c:v>5.5966051658894004E-7</c:v>
                </c:pt>
                <c:pt idx="718">
                  <c:v>5.5894445059087552E-7</c:v>
                </c:pt>
                <c:pt idx="719">
                  <c:v>5.5822992023932833E-7</c:v>
                </c:pt>
                <c:pt idx="720">
                  <c:v>5.5751725381283205E-7</c:v>
                </c:pt>
                <c:pt idx="721">
                  <c:v>5.5680661401915562E-7</c:v>
                </c:pt>
                <c:pt idx="722">
                  <c:v>5.5609728426023727E-7</c:v>
                </c:pt>
                <c:pt idx="723">
                  <c:v>5.5539002526681192E-7</c:v>
                </c:pt>
                <c:pt idx="724">
                  <c:v>5.5468432903790977E-7</c:v>
                </c:pt>
                <c:pt idx="725">
                  <c:v>5.5398025486063276E-7</c:v>
                </c:pt>
                <c:pt idx="726">
                  <c:v>5.5327841647903823E-7</c:v>
                </c:pt>
                <c:pt idx="727">
                  <c:v>5.5257820340869735E-7</c:v>
                </c:pt>
                <c:pt idx="728">
                  <c:v>5.5188015499401272E-7</c:v>
                </c:pt>
                <c:pt idx="729">
                  <c:v>5.5118396092042852E-7</c:v>
                </c:pt>
                <c:pt idx="730">
                  <c:v>5.5048917128260308E-7</c:v>
                </c:pt>
                <c:pt idx="731">
                  <c:v>5.497959097401773E-7</c:v>
                </c:pt>
                <c:pt idx="732">
                  <c:v>5.4910430013898614E-7</c:v>
                </c:pt>
                <c:pt idx="733">
                  <c:v>5.4841509049349485E-7</c:v>
                </c:pt>
                <c:pt idx="734">
                  <c:v>5.4772722879113295E-7</c:v>
                </c:pt>
                <c:pt idx="735">
                  <c:v>5.4704112674368372E-7</c:v>
                </c:pt>
                <c:pt idx="736">
                  <c:v>5.4635664058494329E-7</c:v>
                </c:pt>
                <c:pt idx="737">
                  <c:v>5.456742908814221E-7</c:v>
                </c:pt>
                <c:pt idx="738">
                  <c:v>5.44993571408752E-7</c:v>
                </c:pt>
                <c:pt idx="739">
                  <c:v>5.4431470155134909E-7</c:v>
                </c:pt>
                <c:pt idx="740">
                  <c:v>5.4363751843766829E-7</c:v>
                </c:pt>
                <c:pt idx="741">
                  <c:v>5.429621431307456E-7</c:v>
                </c:pt>
                <c:pt idx="742">
                  <c:v>5.4228837172019404E-7</c:v>
                </c:pt>
                <c:pt idx="743">
                  <c:v>5.4161643507650448E-7</c:v>
                </c:pt>
                <c:pt idx="744">
                  <c:v>5.4094582770086448E-7</c:v>
                </c:pt>
                <c:pt idx="745">
                  <c:v>5.40277456344744E-7</c:v>
                </c:pt>
                <c:pt idx="746">
                  <c:v>5.3961087840589306E-7</c:v>
                </c:pt>
                <c:pt idx="747">
                  <c:v>5.3894540739893611E-7</c:v>
                </c:pt>
                <c:pt idx="748">
                  <c:v>5.3828236225343138E-7</c:v>
                </c:pt>
                <c:pt idx="749">
                  <c:v>5.3762064837296744E-7</c:v>
                </c:pt>
                <c:pt idx="750">
                  <c:v>5.3696078853934194E-7</c:v>
                </c:pt>
                <c:pt idx="751">
                  <c:v>5.3630253794573012E-7</c:v>
                </c:pt>
                <c:pt idx="752">
                  <c:v>5.356461050320537E-7</c:v>
                </c:pt>
                <c:pt idx="753">
                  <c:v>5.349915463373692E-7</c:v>
                </c:pt>
                <c:pt idx="754">
                  <c:v>5.3433829060332229E-7</c:v>
                </c:pt>
                <c:pt idx="755">
                  <c:v>5.336868717914933E-7</c:v>
                </c:pt>
                <c:pt idx="756">
                  <c:v>5.330371391354742E-7</c:v>
                </c:pt>
                <c:pt idx="757">
                  <c:v>5.3238947333561659E-7</c:v>
                </c:pt>
                <c:pt idx="758">
                  <c:v>5.3174318443351303E-7</c:v>
                </c:pt>
                <c:pt idx="759">
                  <c:v>5.3109876325984721E-7</c:v>
                </c:pt>
                <c:pt idx="760">
                  <c:v>5.3045560323771221E-7</c:v>
                </c:pt>
                <c:pt idx="761">
                  <c:v>5.2981431399874844E-7</c:v>
                </c:pt>
                <c:pt idx="762">
                  <c:v>5.2917491405039995E-7</c:v>
                </c:pt>
                <c:pt idx="763">
                  <c:v>5.2853737816373217E-7</c:v>
                </c:pt>
                <c:pt idx="764">
                  <c:v>5.2790131517262274E-7</c:v>
                </c:pt>
                <c:pt idx="765">
                  <c:v>5.2726708886715237E-7</c:v>
                </c:pt>
                <c:pt idx="766">
                  <c:v>5.2663416278989984E-7</c:v>
                </c:pt>
                <c:pt idx="767">
                  <c:v>5.2600365542895903E-7</c:v>
                </c:pt>
                <c:pt idx="768">
                  <c:v>5.2537442280165321E-7</c:v>
                </c:pt>
                <c:pt idx="769">
                  <c:v>5.2474673553872465E-7</c:v>
                </c:pt>
                <c:pt idx="770">
                  <c:v>5.2412068609185147E-7</c:v>
                </c:pt>
                <c:pt idx="771">
                  <c:v>5.2349663710859886E-7</c:v>
                </c:pt>
                <c:pt idx="772">
                  <c:v>5.2287414414099607E-7</c:v>
                </c:pt>
                <c:pt idx="773">
                  <c:v>5.2225355248119193E-7</c:v>
                </c:pt>
                <c:pt idx="774">
                  <c:v>5.2163440950471284E-7</c:v>
                </c:pt>
                <c:pt idx="775">
                  <c:v>5.2101705956463271E-7</c:v>
                </c:pt>
                <c:pt idx="776">
                  <c:v>5.204009551065956E-7</c:v>
                </c:pt>
                <c:pt idx="777">
                  <c:v>5.1978685754418633E-7</c:v>
                </c:pt>
                <c:pt idx="778">
                  <c:v>5.191740451662062E-7</c:v>
                </c:pt>
                <c:pt idx="779">
                  <c:v>5.1856274924192158E-7</c:v>
                </c:pt>
                <c:pt idx="780">
                  <c:v>5.1795304814597681E-7</c:v>
                </c:pt>
                <c:pt idx="781">
                  <c:v>5.1734539856145742E-7</c:v>
                </c:pt>
                <c:pt idx="782">
                  <c:v>5.1673903403397396E-7</c:v>
                </c:pt>
                <c:pt idx="783">
                  <c:v>5.1613475914684969E-7</c:v>
                </c:pt>
                <c:pt idx="784">
                  <c:v>5.1553199238978274E-7</c:v>
                </c:pt>
                <c:pt idx="785">
                  <c:v>5.149310253078945E-7</c:v>
                </c:pt>
                <c:pt idx="786">
                  <c:v>5.1433092183694566E-7</c:v>
                </c:pt>
                <c:pt idx="787">
                  <c:v>5.1373285437047401E-7</c:v>
                </c:pt>
                <c:pt idx="788">
                  <c:v>5.1313660847984007E-7</c:v>
                </c:pt>
                <c:pt idx="789">
                  <c:v>5.1254148122611469E-7</c:v>
                </c:pt>
                <c:pt idx="790">
                  <c:v>5.1194797148516001E-7</c:v>
                </c:pt>
                <c:pt idx="791">
                  <c:v>5.1135605262771221E-7</c:v>
                </c:pt>
                <c:pt idx="792">
                  <c:v>5.1076622099172652E-7</c:v>
                </c:pt>
                <c:pt idx="793">
                  <c:v>5.1017788309373725E-7</c:v>
                </c:pt>
                <c:pt idx="794">
                  <c:v>5.0959135363041797E-7</c:v>
                </c:pt>
                <c:pt idx="795">
                  <c:v>5.0900668527527461E-7</c:v>
                </c:pt>
                <c:pt idx="796">
                  <c:v>5.0842286209805434E-7</c:v>
                </c:pt>
                <c:pt idx="797">
                  <c:v>5.0784104507674664E-7</c:v>
                </c:pt>
                <c:pt idx="798">
                  <c:v>5.0726064586688747E-7</c:v>
                </c:pt>
                <c:pt idx="799">
                  <c:v>5.0668175683861148E-7</c:v>
                </c:pt>
                <c:pt idx="800">
                  <c:v>5.0610503332459388E-7</c:v>
                </c:pt>
                <c:pt idx="801">
                  <c:v>5.0552953394383087E-7</c:v>
                </c:pt>
                <c:pt idx="802">
                  <c:v>5.049553866113693E-7</c:v>
                </c:pt>
                <c:pt idx="803">
                  <c:v>5.0438315915125128E-7</c:v>
                </c:pt>
                <c:pt idx="804">
                  <c:v>5.0381230502730528E-7</c:v>
                </c:pt>
                <c:pt idx="805">
                  <c:v>5.0324286852469464E-7</c:v>
                </c:pt>
                <c:pt idx="806">
                  <c:v>5.0267509728700319E-7</c:v>
                </c:pt>
                <c:pt idx="807">
                  <c:v>5.0210883217208828E-7</c:v>
                </c:pt>
                <c:pt idx="808">
                  <c:v>5.0154422118129447E-7</c:v>
                </c:pt>
                <c:pt idx="809">
                  <c:v>5.0098143096027472E-7</c:v>
                </c:pt>
                <c:pt idx="810">
                  <c:v>5.0042014594863076E-7</c:v>
                </c:pt>
                <c:pt idx="811">
                  <c:v>4.9986055254191137E-7</c:v>
                </c:pt>
                <c:pt idx="812">
                  <c:v>4.9930188809971155E-7</c:v>
                </c:pt>
                <c:pt idx="813">
                  <c:v>4.9874516898800616E-7</c:v>
                </c:pt>
                <c:pt idx="814">
                  <c:v>4.9818983295519272E-7</c:v>
                </c:pt>
                <c:pt idx="815">
                  <c:v>4.976363633099681E-7</c:v>
                </c:pt>
                <c:pt idx="816">
                  <c:v>4.9708386773828938E-7</c:v>
                </c:pt>
                <c:pt idx="817">
                  <c:v>4.9653303387944498E-7</c:v>
                </c:pt>
                <c:pt idx="818">
                  <c:v>4.9598412870426863E-7</c:v>
                </c:pt>
                <c:pt idx="819">
                  <c:v>4.9543639123230644E-7</c:v>
                </c:pt>
                <c:pt idx="820">
                  <c:v>4.9489061429187597E-7</c:v>
                </c:pt>
                <c:pt idx="821">
                  <c:v>4.9434610723559802E-7</c:v>
                </c:pt>
                <c:pt idx="822">
                  <c:v>4.9380256470256377E-7</c:v>
                </c:pt>
                <c:pt idx="823">
                  <c:v>4.9326098321912957E-7</c:v>
                </c:pt>
                <c:pt idx="824">
                  <c:v>4.9272093069563784E-7</c:v>
                </c:pt>
                <c:pt idx="825">
                  <c:v>4.921828031294277E-7</c:v>
                </c:pt>
                <c:pt idx="826">
                  <c:v>4.9164599900763471E-7</c:v>
                </c:pt>
                <c:pt idx="827">
                  <c:v>4.9111058438349979E-7</c:v>
                </c:pt>
                <c:pt idx="828">
                  <c:v>4.9057694658082778E-7</c:v>
                </c:pt>
                <c:pt idx="829">
                  <c:v>4.9004453433821067E-7</c:v>
                </c:pt>
                <c:pt idx="830">
                  <c:v>4.8951357748256086E-7</c:v>
                </c:pt>
                <c:pt idx="831">
                  <c:v>4.8898436713727126E-7</c:v>
                </c:pt>
                <c:pt idx="832">
                  <c:v>4.8845629164091787E-7</c:v>
                </c:pt>
                <c:pt idx="833">
                  <c:v>4.8792959994502929E-7</c:v>
                </c:pt>
                <c:pt idx="834">
                  <c:v>4.8740479082780286E-7</c:v>
                </c:pt>
                <c:pt idx="835">
                  <c:v>4.8688190395062724E-7</c:v>
                </c:pt>
                <c:pt idx="836">
                  <c:v>4.8635962964406617E-7</c:v>
                </c:pt>
                <c:pt idx="837">
                  <c:v>4.8583903196706609E-7</c:v>
                </c:pt>
                <c:pt idx="838">
                  <c:v>4.8531970978641235E-7</c:v>
                </c:pt>
                <c:pt idx="839">
                  <c:v>4.8480209247105373E-7</c:v>
                </c:pt>
                <c:pt idx="840">
                  <c:v>4.8428564515319129E-7</c:v>
                </c:pt>
                <c:pt idx="841">
                  <c:v>4.837711204062103E-7</c:v>
                </c:pt>
                <c:pt idx="842">
                  <c:v>4.8325790107309805E-7</c:v>
                </c:pt>
                <c:pt idx="843">
                  <c:v>4.8274583690898884E-7</c:v>
                </c:pt>
                <c:pt idx="844">
                  <c:v>4.8223561438004191E-7</c:v>
                </c:pt>
                <c:pt idx="845">
                  <c:v>4.8172691436229112E-7</c:v>
                </c:pt>
                <c:pt idx="846">
                  <c:v>4.8121945733217827E-7</c:v>
                </c:pt>
                <c:pt idx="847">
                  <c:v>4.8071381528791713E-7</c:v>
                </c:pt>
                <c:pt idx="848">
                  <c:v>4.8020920770976524E-7</c:v>
                </c:pt>
                <c:pt idx="849">
                  <c:v>4.797061881822252E-7</c:v>
                </c:pt>
                <c:pt idx="850">
                  <c:v>4.7920435094154521E-7</c:v>
                </c:pt>
                <c:pt idx="851">
                  <c:v>4.7870413730594241E-7</c:v>
                </c:pt>
                <c:pt idx="852">
                  <c:v>4.7820507831068505E-7</c:v>
                </c:pt>
                <c:pt idx="853">
                  <c:v>4.7770711062135061E-7</c:v>
                </c:pt>
                <c:pt idx="854">
                  <c:v>4.7721096548472416E-7</c:v>
                </c:pt>
                <c:pt idx="855">
                  <c:v>4.7671642456227396E-7</c:v>
                </c:pt>
                <c:pt idx="856">
                  <c:v>4.7622336979338167E-7</c:v>
                </c:pt>
                <c:pt idx="857">
                  <c:v>4.7573199949355084E-7</c:v>
                </c:pt>
                <c:pt idx="858">
                  <c:v>4.752416099769359E-7</c:v>
                </c:pt>
                <c:pt idx="859">
                  <c:v>4.7475286234316459E-7</c:v>
                </c:pt>
                <c:pt idx="860">
                  <c:v>4.742650289376643E-7</c:v>
                </c:pt>
                <c:pt idx="861">
                  <c:v>4.7377869449891593E-7</c:v>
                </c:pt>
                <c:pt idx="862">
                  <c:v>4.7329395859501194E-7</c:v>
                </c:pt>
                <c:pt idx="863">
                  <c:v>4.7281077509980803E-7</c:v>
                </c:pt>
                <c:pt idx="864">
                  <c:v>4.7232867324948614E-7</c:v>
                </c:pt>
                <c:pt idx="865">
                  <c:v>4.7184807548941409E-7</c:v>
                </c:pt>
                <c:pt idx="866">
                  <c:v>4.7136898456310707E-7</c:v>
                </c:pt>
                <c:pt idx="867">
                  <c:v>4.7089130873190501E-7</c:v>
                </c:pt>
                <c:pt idx="868">
                  <c:v>4.7041496604697492E-7</c:v>
                </c:pt>
                <c:pt idx="869">
                  <c:v>4.6994038302834903E-7</c:v>
                </c:pt>
                <c:pt idx="870">
                  <c:v>4.6946651693676777E-7</c:v>
                </c:pt>
                <c:pt idx="871">
                  <c:v>4.6899412219088104E-7</c:v>
                </c:pt>
                <c:pt idx="872">
                  <c:v>4.6852302034549782E-7</c:v>
                </c:pt>
                <c:pt idx="873">
                  <c:v>4.6805338976134648E-7</c:v>
                </c:pt>
                <c:pt idx="874">
                  <c:v>4.6758493983871676E-7</c:v>
                </c:pt>
                <c:pt idx="875">
                  <c:v>4.6711785028924105E-7</c:v>
                </c:pt>
                <c:pt idx="876">
                  <c:v>4.6665263386479039E-7</c:v>
                </c:pt>
                <c:pt idx="877">
                  <c:v>4.6618803899982477E-7</c:v>
                </c:pt>
                <c:pt idx="878">
                  <c:v>4.657251446284645E-7</c:v>
                </c:pt>
                <c:pt idx="879">
                  <c:v>4.6526304388025358E-7</c:v>
                </c:pt>
                <c:pt idx="880">
                  <c:v>4.6480270322273011E-7</c:v>
                </c:pt>
                <c:pt idx="881">
                  <c:v>4.6434357883472259E-7</c:v>
                </c:pt>
                <c:pt idx="882">
                  <c:v>4.6388611118880865E-7</c:v>
                </c:pt>
                <c:pt idx="883">
                  <c:v>4.6342975732241852E-7</c:v>
                </c:pt>
                <c:pt idx="884">
                  <c:v>4.6297446910941329E-7</c:v>
                </c:pt>
                <c:pt idx="885">
                  <c:v>4.6252051289000054E-7</c:v>
                </c:pt>
                <c:pt idx="886">
                  <c:v>4.6206820029295195E-7</c:v>
                </c:pt>
                <c:pt idx="887">
                  <c:v>4.6161685985471793E-7</c:v>
                </c:pt>
                <c:pt idx="888">
                  <c:v>4.6116720042853281E-7</c:v>
                </c:pt>
                <c:pt idx="889">
                  <c:v>4.6071806075337145E-7</c:v>
                </c:pt>
                <c:pt idx="890">
                  <c:v>4.6027104584588941E-7</c:v>
                </c:pt>
                <c:pt idx="891">
                  <c:v>4.5982538133121379E-7</c:v>
                </c:pt>
                <c:pt idx="892">
                  <c:v>4.593802671269508E-7</c:v>
                </c:pt>
                <c:pt idx="893">
                  <c:v>4.589367428682283E-7</c:v>
                </c:pt>
                <c:pt idx="894">
                  <c:v>4.5849481020321671E-7</c:v>
                </c:pt>
                <c:pt idx="895">
                  <c:v>4.5805412500772376E-7</c:v>
                </c:pt>
                <c:pt idx="896">
                  <c:v>4.5761477179094764E-7</c:v>
                </c:pt>
                <c:pt idx="897">
                  <c:v>4.5717630066310805E-7</c:v>
                </c:pt>
                <c:pt idx="898">
                  <c:v>4.5673919933480989E-7</c:v>
                </c:pt>
                <c:pt idx="899">
                  <c:v>4.5630344732353232E-7</c:v>
                </c:pt>
                <c:pt idx="900">
                  <c:v>4.5586851409018013E-7</c:v>
                </c:pt>
                <c:pt idx="901">
                  <c:v>4.5543513414184862E-7</c:v>
                </c:pt>
                <c:pt idx="902">
                  <c:v>4.5500312898919668E-7</c:v>
                </c:pt>
                <c:pt idx="903">
                  <c:v>4.5457284788876306E-7</c:v>
                </c:pt>
                <c:pt idx="904">
                  <c:v>4.5414320497672104E-7</c:v>
                </c:pt>
                <c:pt idx="905">
                  <c:v>4.5371493148002125E-7</c:v>
                </c:pt>
                <c:pt idx="906">
                  <c:v>4.5328734064113924E-7</c:v>
                </c:pt>
                <c:pt idx="907">
                  <c:v>4.5286159120823055E-7</c:v>
                </c:pt>
                <c:pt idx="908">
                  <c:v>4.5243693019583606E-7</c:v>
                </c:pt>
                <c:pt idx="909">
                  <c:v>4.5201398892672509E-7</c:v>
                </c:pt>
                <c:pt idx="910">
                  <c:v>4.5159154668482246E-7</c:v>
                </c:pt>
                <c:pt idx="911">
                  <c:v>4.5117021869440595E-7</c:v>
                </c:pt>
                <c:pt idx="912">
                  <c:v>4.5075057577273175E-7</c:v>
                </c:pt>
                <c:pt idx="913">
                  <c:v>4.5033229118874783E-7</c:v>
                </c:pt>
                <c:pt idx="914">
                  <c:v>4.4991495827298588E-7</c:v>
                </c:pt>
                <c:pt idx="915">
                  <c:v>4.4949864519615198E-7</c:v>
                </c:pt>
                <c:pt idx="916">
                  <c:v>4.490838379660254E-7</c:v>
                </c:pt>
                <c:pt idx="917">
                  <c:v>4.4867001976789272E-7</c:v>
                </c:pt>
                <c:pt idx="918">
                  <c:v>4.4825765325791219E-7</c:v>
                </c:pt>
                <c:pt idx="919">
                  <c:v>4.4784620470891763E-7</c:v>
                </c:pt>
                <c:pt idx="920">
                  <c:v>4.4743565928726971E-7</c:v>
                </c:pt>
                <c:pt idx="921">
                  <c:v>4.4702642050145042E-7</c:v>
                </c:pt>
                <c:pt idx="922">
                  <c:v>4.4661791015116399E-7</c:v>
                </c:pt>
                <c:pt idx="923">
                  <c:v>4.4621087621702951E-7</c:v>
                </c:pt>
                <c:pt idx="924">
                  <c:v>4.45805158877963E-7</c:v>
                </c:pt>
                <c:pt idx="925">
                  <c:v>4.4540059139800869E-7</c:v>
                </c:pt>
                <c:pt idx="926">
                  <c:v>4.4499741063181003E-7</c:v>
                </c:pt>
                <c:pt idx="927">
                  <c:v>4.4459590687253872E-7</c:v>
                </c:pt>
                <c:pt idx="928">
                  <c:v>4.4419490474832789E-7</c:v>
                </c:pt>
                <c:pt idx="929">
                  <c:v>4.4379512775460746E-7</c:v>
                </c:pt>
                <c:pt idx="930">
                  <c:v>4.4339635951960907E-7</c:v>
                </c:pt>
                <c:pt idx="931">
                  <c:v>4.4299823417285775E-7</c:v>
                </c:pt>
                <c:pt idx="932">
                  <c:v>4.4260185488715135E-7</c:v>
                </c:pt>
                <c:pt idx="933">
                  <c:v>4.4220641525681494E-7</c:v>
                </c:pt>
                <c:pt idx="934">
                  <c:v>4.4181152156309884E-7</c:v>
                </c:pt>
                <c:pt idx="935">
                  <c:v>4.4141873097262892E-7</c:v>
                </c:pt>
                <c:pt idx="936">
                  <c:v>4.4102675559477945E-7</c:v>
                </c:pt>
                <c:pt idx="937">
                  <c:v>4.406356721020063E-7</c:v>
                </c:pt>
                <c:pt idx="938">
                  <c:v>4.4024551592474676E-7</c:v>
                </c:pt>
                <c:pt idx="939">
                  <c:v>4.3985629551712545E-7</c:v>
                </c:pt>
                <c:pt idx="940">
                  <c:v>4.3946894673167076E-7</c:v>
                </c:pt>
                <c:pt idx="941">
                  <c:v>4.3908244110479026E-7</c:v>
                </c:pt>
                <c:pt idx="942">
                  <c:v>4.3869676561083505E-7</c:v>
                </c:pt>
                <c:pt idx="943">
                  <c:v>4.3831238406849006E-7</c:v>
                </c:pt>
                <c:pt idx="944">
                  <c:v>4.3792918848636523E-7</c:v>
                </c:pt>
                <c:pt idx="945">
                  <c:v>4.3754718115916134E-7</c:v>
                </c:pt>
                <c:pt idx="946">
                  <c:v>4.3716628485749117E-7</c:v>
                </c:pt>
                <c:pt idx="947">
                  <c:v>4.3678541031816586E-7</c:v>
                </c:pt>
                <c:pt idx="948">
                  <c:v>4.3640631147084734E-7</c:v>
                </c:pt>
                <c:pt idx="949">
                  <c:v>4.3602836156172748E-7</c:v>
                </c:pt>
                <c:pt idx="950">
                  <c:v>4.3565143858822758E-7</c:v>
                </c:pt>
                <c:pt idx="951">
                  <c:v>4.3527536805178643E-7</c:v>
                </c:pt>
                <c:pt idx="952">
                  <c:v>4.3490041724815523E-7</c:v>
                </c:pt>
                <c:pt idx="953">
                  <c:v>4.345268879406861E-7</c:v>
                </c:pt>
                <c:pt idx="954">
                  <c:v>4.3415365826356149E-7</c:v>
                </c:pt>
                <c:pt idx="955">
                  <c:v>4.3378194588481557E-7</c:v>
                </c:pt>
                <c:pt idx="956">
                  <c:v>4.3341095243650236E-7</c:v>
                </c:pt>
                <c:pt idx="957">
                  <c:v>4.3304141851571498E-7</c:v>
                </c:pt>
                <c:pt idx="958">
                  <c:v>4.3267253150201419E-7</c:v>
                </c:pt>
                <c:pt idx="959">
                  <c:v>4.3230502879489574E-7</c:v>
                </c:pt>
                <c:pt idx="960">
                  <c:v>4.319380901777019E-7</c:v>
                </c:pt>
                <c:pt idx="961">
                  <c:v>4.3157190935639762E-7</c:v>
                </c:pt>
                <c:pt idx="962">
                  <c:v>4.3120752706983457E-7</c:v>
                </c:pt>
                <c:pt idx="963">
                  <c:v>4.3084368289580137E-7</c:v>
                </c:pt>
                <c:pt idx="964">
                  <c:v>4.3048090971255248E-7</c:v>
                </c:pt>
                <c:pt idx="965">
                  <c:v>4.3011933854408862E-7</c:v>
                </c:pt>
                <c:pt idx="966">
                  <c:v>4.2975862334778023E-7</c:v>
                </c:pt>
                <c:pt idx="967">
                  <c:v>4.2939838559950068E-7</c:v>
                </c:pt>
                <c:pt idx="968">
                  <c:v>4.2903912109336121E-7</c:v>
                </c:pt>
                <c:pt idx="969">
                  <c:v>4.2868135400612832E-7</c:v>
                </c:pt>
                <c:pt idx="970">
                  <c:v>4.2832406270287332E-7</c:v>
                </c:pt>
                <c:pt idx="971">
                  <c:v>4.2796825461879479E-7</c:v>
                </c:pt>
                <c:pt idx="972">
                  <c:v>4.2761316274396374E-7</c:v>
                </c:pt>
                <c:pt idx="973">
                  <c:v>4.272592480413765E-7</c:v>
                </c:pt>
                <c:pt idx="974">
                  <c:v>4.2690597934847907E-7</c:v>
                </c:pt>
                <c:pt idx="975">
                  <c:v>4.2655345458478954E-7</c:v>
                </c:pt>
                <c:pt idx="976">
                  <c:v>4.2620208693537736E-7</c:v>
                </c:pt>
                <c:pt idx="977">
                  <c:v>4.2585183172990231E-7</c:v>
                </c:pt>
                <c:pt idx="978">
                  <c:v>4.2550219617711185E-7</c:v>
                </c:pt>
                <c:pt idx="979">
                  <c:v>4.2515302770569813E-7</c:v>
                </c:pt>
                <c:pt idx="980">
                  <c:v>4.2480510053404958E-7</c:v>
                </c:pt>
                <c:pt idx="981">
                  <c:v>4.2445829431065048E-7</c:v>
                </c:pt>
                <c:pt idx="982">
                  <c:v>4.2411206460698262E-7</c:v>
                </c:pt>
                <c:pt idx="983">
                  <c:v>4.2376731134284058E-7</c:v>
                </c:pt>
                <c:pt idx="984">
                  <c:v>4.2342338433287898E-7</c:v>
                </c:pt>
                <c:pt idx="985">
                  <c:v>4.2308023247287223E-7</c:v>
                </c:pt>
                <c:pt idx="986">
                  <c:v>4.2273732576643201E-7</c:v>
                </c:pt>
                <c:pt idx="987">
                  <c:v>4.2239584466411627E-7</c:v>
                </c:pt>
                <c:pt idx="988">
                  <c:v>4.2205510232702219E-7</c:v>
                </c:pt>
                <c:pt idx="989">
                  <c:v>4.2171556013421161E-7</c:v>
                </c:pt>
                <c:pt idx="990">
                  <c:v>4.2137653153522249E-7</c:v>
                </c:pt>
                <c:pt idx="991">
                  <c:v>4.2103874704193843E-7</c:v>
                </c:pt>
                <c:pt idx="992">
                  <c:v>4.2070205699445262E-7</c:v>
                </c:pt>
                <c:pt idx="993">
                  <c:v>4.2036532230202704E-7</c:v>
                </c:pt>
                <c:pt idx="994">
                  <c:v>4.2002972020950314E-7</c:v>
                </c:pt>
                <c:pt idx="995">
                  <c:v>4.1969509978058553E-7</c:v>
                </c:pt>
                <c:pt idx="996">
                  <c:v>4.1936075974125422E-7</c:v>
                </c:pt>
                <c:pt idx="997">
                  <c:v>4.1902742825497905E-7</c:v>
                </c:pt>
                <c:pt idx="998">
                  <c:v>4.186949188864006E-7</c:v>
                </c:pt>
                <c:pt idx="999">
                  <c:v>4.1836334490616617E-7</c:v>
                </c:pt>
                <c:pt idx="1000">
                  <c:v>4.1803310127737768E-7</c:v>
                </c:pt>
                <c:pt idx="1001">
                  <c:v>4.1770288275216268E-7</c:v>
                </c:pt>
                <c:pt idx="1002">
                  <c:v>4.1737398091145004E-7</c:v>
                </c:pt>
                <c:pt idx="1003">
                  <c:v>4.1704562077141788E-7</c:v>
                </c:pt>
                <c:pt idx="1004">
                  <c:v>4.1671793141645158E-7</c:v>
                </c:pt>
                <c:pt idx="1005">
                  <c:v>4.1639073957980498E-7</c:v>
                </c:pt>
                <c:pt idx="1006">
                  <c:v>4.1606471995136978E-7</c:v>
                </c:pt>
                <c:pt idx="1007">
                  <c:v>4.1573909015110927E-7</c:v>
                </c:pt>
                <c:pt idx="1008">
                  <c:v>4.154145324531376E-7</c:v>
                </c:pt>
                <c:pt idx="1009">
                  <c:v>4.150902679570817E-7</c:v>
                </c:pt>
                <c:pt idx="1010">
                  <c:v>4.1476694830892509E-7</c:v>
                </c:pt>
                <c:pt idx="1011">
                  <c:v>4.1444462026683706E-7</c:v>
                </c:pt>
                <c:pt idx="1012">
                  <c:v>4.1412292619407296E-7</c:v>
                </c:pt>
                <c:pt idx="1013">
                  <c:v>4.1380266815144118E-7</c:v>
                </c:pt>
                <c:pt idx="1014">
                  <c:v>4.1348244923673328E-7</c:v>
                </c:pt>
                <c:pt idx="1015">
                  <c:v>4.1316293379712966E-7</c:v>
                </c:pt>
                <c:pt idx="1016">
                  <c:v>4.1284417563304854E-7</c:v>
                </c:pt>
                <c:pt idx="1017">
                  <c:v>4.1252595384938435E-7</c:v>
                </c:pt>
                <c:pt idx="1018">
                  <c:v>4.1220891429317974E-7</c:v>
                </c:pt>
                <c:pt idx="1019">
                  <c:v>4.1189209862713632E-7</c:v>
                </c:pt>
                <c:pt idx="1020">
                  <c:v>4.1157574608598042E-7</c:v>
                </c:pt>
                <c:pt idx="1021">
                  <c:v>4.1126049324953832E-7</c:v>
                </c:pt>
                <c:pt idx="1022">
                  <c:v>4.1094550921158647E-7</c:v>
                </c:pt>
                <c:pt idx="1023">
                  <c:v>4.1063128019488079E-7</c:v>
                </c:pt>
                <c:pt idx="1024">
                  <c:v>4.1031858897921519E-7</c:v>
                </c:pt>
                <c:pt idx="1025">
                  <c:v>4.1000598247001428E-7</c:v>
                </c:pt>
                <c:pt idx="1026">
                  <c:v>4.0969352712126621E-7</c:v>
                </c:pt>
                <c:pt idx="1027">
                  <c:v>4.0938231213165385E-7</c:v>
                </c:pt>
                <c:pt idx="1028">
                  <c:v>4.0907165914090883E-7</c:v>
                </c:pt>
                <c:pt idx="1029">
                  <c:v>4.0876100229791927E-7</c:v>
                </c:pt>
                <c:pt idx="1030">
                  <c:v>4.0845202569947914E-7</c:v>
                </c:pt>
                <c:pt idx="1031">
                  <c:v>4.0814342842510804E-7</c:v>
                </c:pt>
                <c:pt idx="1032">
                  <c:v>4.0783465400465118E-7</c:v>
                </c:pt>
                <c:pt idx="1033">
                  <c:v>4.0752740392893786E-7</c:v>
                </c:pt>
                <c:pt idx="1034">
                  <c:v>4.0722038528601871E-7</c:v>
                </c:pt>
                <c:pt idx="1035">
                  <c:v>4.0691363561916349E-7</c:v>
                </c:pt>
                <c:pt idx="1036">
                  <c:v>4.0660823141891756E-7</c:v>
                </c:pt>
                <c:pt idx="1037">
                  <c:v>4.0630289208358356E-7</c:v>
                </c:pt>
                <c:pt idx="1038">
                  <c:v>4.0599809180250545E-7</c:v>
                </c:pt>
                <c:pt idx="1039">
                  <c:v>4.0569405727849006E-7</c:v>
                </c:pt>
                <c:pt idx="1040">
                  <c:v>4.0539037416626482E-7</c:v>
                </c:pt>
                <c:pt idx="1041">
                  <c:v>4.0508725996139568E-7</c:v>
                </c:pt>
                <c:pt idx="1042">
                  <c:v>4.0478516558741761E-7</c:v>
                </c:pt>
                <c:pt idx="1043">
                  <c:v>4.044834287565176E-7</c:v>
                </c:pt>
                <c:pt idx="1044">
                  <c:v>4.0418188872994084E-7</c:v>
                </c:pt>
                <c:pt idx="1045">
                  <c:v>4.0388076556583946E-7</c:v>
                </c:pt>
                <c:pt idx="1046">
                  <c:v>4.0358050748533157E-7</c:v>
                </c:pt>
                <c:pt idx="1047">
                  <c:v>4.0328045451399526E-7</c:v>
                </c:pt>
                <c:pt idx="1048">
                  <c:v>4.029810466552936E-7</c:v>
                </c:pt>
                <c:pt idx="1049">
                  <c:v>4.0268250408425244E-7</c:v>
                </c:pt>
                <c:pt idx="1050">
                  <c:v>4.0238438297794088E-7</c:v>
                </c:pt>
                <c:pt idx="1051">
                  <c:v>4.0208567519109E-7</c:v>
                </c:pt>
                <c:pt idx="1052">
                  <c:v>4.0178874493046638E-7</c:v>
                </c:pt>
                <c:pt idx="1053">
                  <c:v>4.0149163939309284E-7</c:v>
                </c:pt>
                <c:pt idx="1054">
                  <c:v>4.0119548058242497E-7</c:v>
                </c:pt>
                <c:pt idx="1055">
                  <c:v>4.0089942268596584E-7</c:v>
                </c:pt>
                <c:pt idx="1056">
                  <c:v>4.0060309700823637E-7</c:v>
                </c:pt>
                <c:pt idx="1057">
                  <c:v>4.0030824444045168E-7</c:v>
                </c:pt>
                <c:pt idx="1058">
                  <c:v>4.0001334854172158E-7</c:v>
                </c:pt>
                <c:pt idx="1059">
                  <c:v>3.9971866868171967E-7</c:v>
                </c:pt>
                <c:pt idx="1060">
                  <c:v>3.9942466565127172E-7</c:v>
                </c:pt>
                <c:pt idx="1061">
                  <c:v>3.9913112147775124E-7</c:v>
                </c:pt>
                <c:pt idx="1062">
                  <c:v>3.9883829816715026E-7</c:v>
                </c:pt>
                <c:pt idx="1063">
                  <c:v>3.9854512316723667E-7</c:v>
                </c:pt>
                <c:pt idx="1064">
                  <c:v>3.9825297349607712E-7</c:v>
                </c:pt>
                <c:pt idx="1065">
                  <c:v>3.9796098578744706E-7</c:v>
                </c:pt>
                <c:pt idx="1066">
                  <c:v>3.9766878476088278E-7</c:v>
                </c:pt>
                <c:pt idx="1067">
                  <c:v>3.9737749580078934E-7</c:v>
                </c:pt>
                <c:pt idx="1068">
                  <c:v>3.9708625228283211E-7</c:v>
                </c:pt>
                <c:pt idx="1069">
                  <c:v>3.9679577324210221E-7</c:v>
                </c:pt>
                <c:pt idx="1070">
                  <c:v>3.9650542511302206E-7</c:v>
                </c:pt>
                <c:pt idx="1071">
                  <c:v>3.962156841357347E-7</c:v>
                </c:pt>
                <c:pt idx="1072">
                  <c:v>3.9592570887103508E-7</c:v>
                </c:pt>
                <c:pt idx="1073">
                  <c:v>3.9563689009967122E-7</c:v>
                </c:pt>
                <c:pt idx="1074">
                  <c:v>3.9534770256582069E-7</c:v>
                </c:pt>
                <c:pt idx="1075">
                  <c:v>3.9505955215540758E-7</c:v>
                </c:pt>
                <c:pt idx="1076">
                  <c:v>3.9477050188576898E-7</c:v>
                </c:pt>
                <c:pt idx="1077">
                  <c:v>3.9448239279215439E-7</c:v>
                </c:pt>
                <c:pt idx="1078">
                  <c:v>3.9419504446177329E-7</c:v>
                </c:pt>
                <c:pt idx="1079">
                  <c:v>3.9390761018126486E-7</c:v>
                </c:pt>
                <c:pt idx="1080">
                  <c:v>3.9362019686924556E-7</c:v>
                </c:pt>
                <c:pt idx="1081">
                  <c:v>3.9333334796688584E-7</c:v>
                </c:pt>
                <c:pt idx="1082">
                  <c:v>3.9304622954170094E-7</c:v>
                </c:pt>
                <c:pt idx="1083">
                  <c:v>3.9275961834061023E-7</c:v>
                </c:pt>
                <c:pt idx="1084">
                  <c:v>3.9247333208545629E-7</c:v>
                </c:pt>
                <c:pt idx="1085">
                  <c:v>3.921874472630812E-7</c:v>
                </c:pt>
                <c:pt idx="1086">
                  <c:v>3.9190182971154211E-7</c:v>
                </c:pt>
                <c:pt idx="1087">
                  <c:v>3.9161636373159638E-7</c:v>
                </c:pt>
                <c:pt idx="1088">
                  <c:v>3.9133090418937422E-7</c:v>
                </c:pt>
                <c:pt idx="1089">
                  <c:v>3.9104555802222136E-7</c:v>
                </c:pt>
                <c:pt idx="1090">
                  <c:v>3.9076088436845548E-7</c:v>
                </c:pt>
                <c:pt idx="1091">
                  <c:v>3.9047608122799809E-7</c:v>
                </c:pt>
                <c:pt idx="1092">
                  <c:v>3.9019102619394205E-7</c:v>
                </c:pt>
                <c:pt idx="1093">
                  <c:v>3.899065159978499E-7</c:v>
                </c:pt>
                <c:pt idx="1094">
                  <c:v>3.8962174818918402E-7</c:v>
                </c:pt>
                <c:pt idx="1095">
                  <c:v>3.8933732281366355E-7</c:v>
                </c:pt>
                <c:pt idx="1096">
                  <c:v>3.8905313418705838E-7</c:v>
                </c:pt>
                <c:pt idx="1097">
                  <c:v>3.887688715783679E-7</c:v>
                </c:pt>
                <c:pt idx="1098">
                  <c:v>3.8848465231477468E-7</c:v>
                </c:pt>
                <c:pt idx="1099">
                  <c:v>3.882004826752797E-7</c:v>
                </c:pt>
                <c:pt idx="1100">
                  <c:v>3.879162101866487E-7</c:v>
                </c:pt>
                <c:pt idx="1101">
                  <c:v>3.8763226191028061E-7</c:v>
                </c:pt>
                <c:pt idx="1102">
                  <c:v>3.8734883792339493E-7</c:v>
                </c:pt>
                <c:pt idx="1103">
                  <c:v>3.8706515061936878E-7</c:v>
                </c:pt>
                <c:pt idx="1104">
                  <c:v>3.8678122123827398E-7</c:v>
                </c:pt>
                <c:pt idx="1105">
                  <c:v>3.8649759729217771E-7</c:v>
                </c:pt>
                <c:pt idx="1106">
                  <c:v>3.8621358076165672E-7</c:v>
                </c:pt>
                <c:pt idx="1107">
                  <c:v>3.8593021463708863E-7</c:v>
                </c:pt>
                <c:pt idx="1108">
                  <c:v>3.8564699623931648E-7</c:v>
                </c:pt>
                <c:pt idx="1109">
                  <c:v>3.8536315045035164E-7</c:v>
                </c:pt>
                <c:pt idx="1110">
                  <c:v>3.8507941324840797E-7</c:v>
                </c:pt>
                <c:pt idx="1111">
                  <c:v>3.8479609871800276E-7</c:v>
                </c:pt>
                <c:pt idx="1112">
                  <c:v>3.8451271302570839E-7</c:v>
                </c:pt>
                <c:pt idx="1113">
                  <c:v>3.8422918212830886E-7</c:v>
                </c:pt>
                <c:pt idx="1114">
                  <c:v>3.8394551388847893E-7</c:v>
                </c:pt>
                <c:pt idx="1115">
                  <c:v>3.8366203159322571E-7</c:v>
                </c:pt>
                <c:pt idx="1116">
                  <c:v>3.8337825166447653E-7</c:v>
                </c:pt>
                <c:pt idx="1117">
                  <c:v>3.830941080007907E-7</c:v>
                </c:pt>
                <c:pt idx="1118">
                  <c:v>3.8281001848516452E-7</c:v>
                </c:pt>
                <c:pt idx="1119">
                  <c:v>3.825262086593677E-7</c:v>
                </c:pt>
                <c:pt idx="1120">
                  <c:v>3.8224186263660534E-7</c:v>
                </c:pt>
                <c:pt idx="1121">
                  <c:v>3.8195803760733246E-7</c:v>
                </c:pt>
                <c:pt idx="1122">
                  <c:v>3.8167366837696928E-7</c:v>
                </c:pt>
                <c:pt idx="1123">
                  <c:v>3.8138897008341541E-7</c:v>
                </c:pt>
                <c:pt idx="1124">
                  <c:v>3.8110435922606608E-7</c:v>
                </c:pt>
                <c:pt idx="1125">
                  <c:v>3.8081950260440749E-7</c:v>
                </c:pt>
                <c:pt idx="1126">
                  <c:v>3.8053463357761824E-7</c:v>
                </c:pt>
                <c:pt idx="1127">
                  <c:v>3.8024943139716272E-7</c:v>
                </c:pt>
                <c:pt idx="1128">
                  <c:v>3.7996396748836824E-7</c:v>
                </c:pt>
                <c:pt idx="1129">
                  <c:v>3.7967846979403561E-7</c:v>
                </c:pt>
                <c:pt idx="1130">
                  <c:v>3.7939261596428462E-7</c:v>
                </c:pt>
                <c:pt idx="1131">
                  <c:v>3.7910679511478406E-7</c:v>
                </c:pt>
                <c:pt idx="1132">
                  <c:v>3.7882052262158358E-7</c:v>
                </c:pt>
                <c:pt idx="1133">
                  <c:v>3.7853420403957724E-7</c:v>
                </c:pt>
                <c:pt idx="1134">
                  <c:v>3.7824741836145526E-7</c:v>
                </c:pt>
                <c:pt idx="1135">
                  <c:v>3.7796058318322908E-7</c:v>
                </c:pt>
                <c:pt idx="1136">
                  <c:v>3.7767327049944697E-7</c:v>
                </c:pt>
                <c:pt idx="1137">
                  <c:v>3.7738588468537572E-7</c:v>
                </c:pt>
                <c:pt idx="1138">
                  <c:v>3.7709801220551804E-7</c:v>
                </c:pt>
                <c:pt idx="1139">
                  <c:v>3.7680996996154433E-7</c:v>
                </c:pt>
                <c:pt idx="1140">
                  <c:v>3.7652143667268933E-7</c:v>
                </c:pt>
                <c:pt idx="1141">
                  <c:v>3.7623272145771797E-7</c:v>
                </c:pt>
                <c:pt idx="1142">
                  <c:v>3.7594341710658652E-7</c:v>
                </c:pt>
                <c:pt idx="1143">
                  <c:v>3.7565399908290198E-7</c:v>
                </c:pt>
                <c:pt idx="1144">
                  <c:v>3.7536428886880491E-7</c:v>
                </c:pt>
                <c:pt idx="1145">
                  <c:v>3.750740579256153E-7</c:v>
                </c:pt>
                <c:pt idx="1146">
                  <c:v>3.747835226146081E-7</c:v>
                </c:pt>
                <c:pt idx="1147">
                  <c:v>3.7449276164323383E-7</c:v>
                </c:pt>
                <c:pt idx="1148">
                  <c:v>3.7420136445326192E-7</c:v>
                </c:pt>
                <c:pt idx="1149">
                  <c:v>3.7390972600745066E-7</c:v>
                </c:pt>
                <c:pt idx="1150">
                  <c:v>3.7361743164322213E-7</c:v>
                </c:pt>
                <c:pt idx="1151">
                  <c:v>3.7332478874138646E-7</c:v>
                </c:pt>
                <c:pt idx="1152">
                  <c:v>3.7303178758511778E-7</c:v>
                </c:pt>
                <c:pt idx="1153">
                  <c:v>3.7273811325973987E-7</c:v>
                </c:pt>
                <c:pt idx="1154">
                  <c:v>3.7244406933711415E-7</c:v>
                </c:pt>
                <c:pt idx="1155">
                  <c:v>3.7214972793989626E-7</c:v>
                </c:pt>
                <c:pt idx="1156">
                  <c:v>3.7185490424211583E-7</c:v>
                </c:pt>
                <c:pt idx="1157">
                  <c:v>3.7155937644083744E-7</c:v>
                </c:pt>
                <c:pt idx="1158">
                  <c:v>3.7126335224538511E-7</c:v>
                </c:pt>
                <c:pt idx="1159">
                  <c:v>3.7096691192723528E-7</c:v>
                </c:pt>
                <c:pt idx="1160">
                  <c:v>3.7067003800415539E-7</c:v>
                </c:pt>
                <c:pt idx="1161">
                  <c:v>3.7037233578314215E-7</c:v>
                </c:pt>
                <c:pt idx="1162">
                  <c:v>3.7007418083925284E-7</c:v>
                </c:pt>
                <c:pt idx="1163">
                  <c:v>3.6977547863897707E-7</c:v>
                </c:pt>
                <c:pt idx="1164">
                  <c:v>3.6947630580010794E-7</c:v>
                </c:pt>
                <c:pt idx="1165">
                  <c:v>3.6917656300125737E-7</c:v>
                </c:pt>
                <c:pt idx="1166">
                  <c:v>3.6887584936255761E-7</c:v>
                </c:pt>
                <c:pt idx="1167">
                  <c:v>3.6857463748110387E-7</c:v>
                </c:pt>
                <c:pt idx="1168">
                  <c:v>3.6827282754532589E-7</c:v>
                </c:pt>
                <c:pt idx="1169">
                  <c:v>3.6797049337561821E-7</c:v>
                </c:pt>
                <c:pt idx="1170">
                  <c:v>3.6766744430380478E-7</c:v>
                </c:pt>
                <c:pt idx="1171">
                  <c:v>3.6736385420243408E-7</c:v>
                </c:pt>
                <c:pt idx="1172">
                  <c:v>3.6705922088479027E-7</c:v>
                </c:pt>
                <c:pt idx="1173">
                  <c:v>3.6675393833843155E-7</c:v>
                </c:pt>
                <c:pt idx="1174">
                  <c:v>3.6644799888197215E-7</c:v>
                </c:pt>
                <c:pt idx="1175">
                  <c:v>3.6614129025886999E-7</c:v>
                </c:pt>
                <c:pt idx="1176">
                  <c:v>3.6583398578873658E-7</c:v>
                </c:pt>
                <c:pt idx="1177">
                  <c:v>3.6552596578552813E-7</c:v>
                </c:pt>
                <c:pt idx="1178">
                  <c:v>3.6521714893083745E-7</c:v>
                </c:pt>
                <c:pt idx="1179">
                  <c:v>3.6490760050249005E-7</c:v>
                </c:pt>
                <c:pt idx="1180">
                  <c:v>3.6459731553069555E-7</c:v>
                </c:pt>
                <c:pt idx="1181">
                  <c:v>3.6428619199340621E-7</c:v>
                </c:pt>
                <c:pt idx="1182">
                  <c:v>3.6397430660737599E-7</c:v>
                </c:pt>
                <c:pt idx="1183">
                  <c:v>3.6366163542052498E-7</c:v>
                </c:pt>
                <c:pt idx="1184">
                  <c:v>3.6334807844396125E-7</c:v>
                </c:pt>
                <c:pt idx="1185">
                  <c:v>3.6303371525401392E-7</c:v>
                </c:pt>
                <c:pt idx="1186">
                  <c:v>3.6271844264645663E-7</c:v>
                </c:pt>
                <c:pt idx="1187">
                  <c:v>3.624022466381226E-7</c:v>
                </c:pt>
                <c:pt idx="1188">
                  <c:v>3.6208520868642837E-7</c:v>
                </c:pt>
                <c:pt idx="1189">
                  <c:v>3.6176731821958228E-7</c:v>
                </c:pt>
                <c:pt idx="1190">
                  <c:v>3.6144837432827246E-7</c:v>
                </c:pt>
                <c:pt idx="1191">
                  <c:v>3.6112855740806237E-7</c:v>
                </c:pt>
                <c:pt idx="1192">
                  <c:v>3.6080774547499753E-7</c:v>
                </c:pt>
                <c:pt idx="1193">
                  <c:v>3.6048593902047512E-7</c:v>
                </c:pt>
                <c:pt idx="1194">
                  <c:v>3.6016321406752343E-7</c:v>
                </c:pt>
                <c:pt idx="1195">
                  <c:v>3.5983946134442454E-7</c:v>
                </c:pt>
                <c:pt idx="1196">
                  <c:v>3.5951504044566642E-7</c:v>
                </c:pt>
                <c:pt idx="1197">
                  <c:v>3.5918964567392796E-7</c:v>
                </c:pt>
                <c:pt idx="1198">
                  <c:v>3.5886317015062235E-7</c:v>
                </c:pt>
                <c:pt idx="1199">
                  <c:v>3.5853560940346333E-7</c:v>
                </c:pt>
                <c:pt idx="1200">
                  <c:v>3.5820694158053801E-7</c:v>
                </c:pt>
                <c:pt idx="1201">
                  <c:v>3.5787714943223557E-7</c:v>
                </c:pt>
                <c:pt idx="1202">
                  <c:v>3.5754623135325865E-7</c:v>
                </c:pt>
                <c:pt idx="1203">
                  <c:v>3.5721445942240721E-7</c:v>
                </c:pt>
                <c:pt idx="1204">
                  <c:v>3.5688161824879221E-7</c:v>
                </c:pt>
                <c:pt idx="1205">
                  <c:v>3.5654751478650718E-7</c:v>
                </c:pt>
                <c:pt idx="1206">
                  <c:v>3.5621231613272103E-7</c:v>
                </c:pt>
                <c:pt idx="1207">
                  <c:v>3.5587591183156191E-7</c:v>
                </c:pt>
                <c:pt idx="1208">
                  <c:v>3.5553866994811713E-7</c:v>
                </c:pt>
                <c:pt idx="1209">
                  <c:v>3.5520018563390033E-7</c:v>
                </c:pt>
                <c:pt idx="1210">
                  <c:v>3.5486035528097926E-7</c:v>
                </c:pt>
                <c:pt idx="1211">
                  <c:v>3.5451926518735676E-7</c:v>
                </c:pt>
                <c:pt idx="1212">
                  <c:v>3.5417736485325608E-7</c:v>
                </c:pt>
                <c:pt idx="1213">
                  <c:v>3.5383416000922291E-7</c:v>
                </c:pt>
                <c:pt idx="1214">
                  <c:v>3.5348954461452273E-7</c:v>
                </c:pt>
                <c:pt idx="1215">
                  <c:v>3.5314360436660242E-7</c:v>
                </c:pt>
                <c:pt idx="1216">
                  <c:v>3.5279668811482075E-7</c:v>
                </c:pt>
                <c:pt idx="1217">
                  <c:v>3.5244841319470299E-7</c:v>
                </c:pt>
                <c:pt idx="1218">
                  <c:v>3.5209875682436478E-7</c:v>
                </c:pt>
                <c:pt idx="1219">
                  <c:v>3.5174808407139211E-7</c:v>
                </c:pt>
                <c:pt idx="1220">
                  <c:v>3.5139599417309215E-7</c:v>
                </c:pt>
                <c:pt idx="1221">
                  <c:v>3.5104238188168724E-7</c:v>
                </c:pt>
                <c:pt idx="1222">
                  <c:v>3.5068770487852771E-7</c:v>
                </c:pt>
                <c:pt idx="1223">
                  <c:v>3.5033158064468948E-7</c:v>
                </c:pt>
                <c:pt idx="1224">
                  <c:v>3.4997435192866518E-7</c:v>
                </c:pt>
                <c:pt idx="1225">
                  <c:v>3.496156372204177E-7</c:v>
                </c:pt>
                <c:pt idx="1226">
                  <c:v>3.4925541149859612E-7</c:v>
                </c:pt>
                <c:pt idx="1227">
                  <c:v>3.4889402118165418E-7</c:v>
                </c:pt>
                <c:pt idx="1228">
                  <c:v>3.4853109053767168E-7</c:v>
                </c:pt>
                <c:pt idx="1229">
                  <c:v>3.4816687675602569E-7</c:v>
                </c:pt>
                <c:pt idx="1230">
                  <c:v>3.4780109529615954E-7</c:v>
                </c:pt>
                <c:pt idx="1231">
                  <c:v>3.4743382725113827E-7</c:v>
                </c:pt>
                <c:pt idx="1232">
                  <c:v>3.470653199538265E-7</c:v>
                </c:pt>
                <c:pt idx="1233">
                  <c:v>3.4669509150358219E-7</c:v>
                </c:pt>
                <c:pt idx="1234">
                  <c:v>3.4632359597544442E-7</c:v>
                </c:pt>
                <c:pt idx="1235">
                  <c:v>3.459505439465724E-7</c:v>
                </c:pt>
                <c:pt idx="1236">
                  <c:v>3.4557607634884968E-7</c:v>
                </c:pt>
                <c:pt idx="1237">
                  <c:v>3.4519993349893329E-7</c:v>
                </c:pt>
                <c:pt idx="1238">
                  <c:v>3.448224514663471E-7</c:v>
                </c:pt>
                <c:pt idx="1239">
                  <c:v>3.4444323854316049E-7</c:v>
                </c:pt>
                <c:pt idx="1240">
                  <c:v>3.4406265548487037E-7</c:v>
                </c:pt>
                <c:pt idx="1241">
                  <c:v>3.4368031114865876E-7</c:v>
                </c:pt>
                <c:pt idx="1242">
                  <c:v>3.4329656555670572E-7</c:v>
                </c:pt>
                <c:pt idx="1243">
                  <c:v>3.4291113468708234E-7</c:v>
                </c:pt>
                <c:pt idx="1244">
                  <c:v>3.4252425991636272E-7</c:v>
                </c:pt>
                <c:pt idx="1245">
                  <c:v>3.4213546274909198E-7</c:v>
                </c:pt>
                <c:pt idx="1246">
                  <c:v>3.4174528587671689E-7</c:v>
                </c:pt>
                <c:pt idx="1247">
                  <c:v>3.4135362427543488E-7</c:v>
                </c:pt>
                <c:pt idx="1248">
                  <c:v>3.4096008649998248E-7</c:v>
                </c:pt>
                <c:pt idx="1249">
                  <c:v>3.4056501008248935E-7</c:v>
                </c:pt>
                <c:pt idx="1250">
                  <c:v>3.4016803104592709E-7</c:v>
                </c:pt>
                <c:pt idx="1251">
                  <c:v>3.3976948592769226E-7</c:v>
                </c:pt>
                <c:pt idx="1252">
                  <c:v>3.3936936850078693E-7</c:v>
                </c:pt>
                <c:pt idx="1253">
                  <c:v>3.3896731221801152E-7</c:v>
                </c:pt>
                <c:pt idx="1254">
                  <c:v>3.385636485836853E-7</c:v>
                </c:pt>
                <c:pt idx="1255">
                  <c:v>3.3815834965377168E-7</c:v>
                </c:pt>
                <c:pt idx="1256">
                  <c:v>3.3775105538440291E-7</c:v>
                </c:pt>
                <c:pt idx="1257">
                  <c:v>3.3734211949034127E-7</c:v>
                </c:pt>
                <c:pt idx="1258">
                  <c:v>3.3693151030889069E-7</c:v>
                </c:pt>
                <c:pt idx="1259">
                  <c:v>3.3651895780868001E-7</c:v>
                </c:pt>
                <c:pt idx="1260">
                  <c:v>3.3610469757306003E-7</c:v>
                </c:pt>
                <c:pt idx="1261">
                  <c:v>3.3568872288617792E-7</c:v>
                </c:pt>
                <c:pt idx="1262">
                  <c:v>3.3527074305680606E-7</c:v>
                </c:pt>
                <c:pt idx="1263">
                  <c:v>3.348510171155553E-7</c:v>
                </c:pt>
                <c:pt idx="1264">
                  <c:v>3.3442951559109405E-7</c:v>
                </c:pt>
                <c:pt idx="1265">
                  <c:v>3.3400623363373089E-7</c:v>
                </c:pt>
                <c:pt idx="1266">
                  <c:v>3.3358079156698857E-7</c:v>
                </c:pt>
                <c:pt idx="1267">
                  <c:v>3.3315363605140404E-7</c:v>
                </c:pt>
                <c:pt idx="1268">
                  <c:v>3.3272475655297098E-7</c:v>
                </c:pt>
                <c:pt idx="1269">
                  <c:v>3.3229402566840546E-7</c:v>
                </c:pt>
                <c:pt idx="1270">
                  <c:v>3.3186106733782799E-7</c:v>
                </c:pt>
                <c:pt idx="1271">
                  <c:v>3.314263292159425E-7</c:v>
                </c:pt>
                <c:pt idx="1272">
                  <c:v>3.3098971001053522E-7</c:v>
                </c:pt>
                <c:pt idx="1273">
                  <c:v>3.3055127293269287E-7</c:v>
                </c:pt>
                <c:pt idx="1274">
                  <c:v>3.3011101122232735E-7</c:v>
                </c:pt>
                <c:pt idx="1275">
                  <c:v>3.2966856858073575E-7</c:v>
                </c:pt>
                <c:pt idx="1276">
                  <c:v>3.2922414819899418E-7</c:v>
                </c:pt>
                <c:pt idx="1277">
                  <c:v>3.2877786868801289E-7</c:v>
                </c:pt>
                <c:pt idx="1278">
                  <c:v>3.2832969605495861E-7</c:v>
                </c:pt>
                <c:pt idx="1279">
                  <c:v>3.2787950678737107E-7</c:v>
                </c:pt>
                <c:pt idx="1280">
                  <c:v>3.274275127030826E-7</c:v>
                </c:pt>
                <c:pt idx="1281">
                  <c:v>3.2697311957755186E-7</c:v>
                </c:pt>
                <c:pt idx="1282">
                  <c:v>3.2651677503199788E-7</c:v>
                </c:pt>
                <c:pt idx="1283">
                  <c:v>3.2605847509951321E-7</c:v>
                </c:pt>
                <c:pt idx="1284">
                  <c:v>3.255982131039774E-7</c:v>
                </c:pt>
                <c:pt idx="1285">
                  <c:v>3.2513595572626887E-7</c:v>
                </c:pt>
                <c:pt idx="1286">
                  <c:v>3.2467167393458602E-7</c:v>
                </c:pt>
                <c:pt idx="1287">
                  <c:v>3.2420536723122273E-7</c:v>
                </c:pt>
                <c:pt idx="1288">
                  <c:v>3.2373703231669603E-7</c:v>
                </c:pt>
                <c:pt idx="1289">
                  <c:v>3.2326663835607342E-7</c:v>
                </c:pt>
                <c:pt idx="1290">
                  <c:v>3.2279427880987367E-7</c:v>
                </c:pt>
                <c:pt idx="1291">
                  <c:v>3.2231982611146577E-7</c:v>
                </c:pt>
                <c:pt idx="1292">
                  <c:v>3.2184328046069356E-7</c:v>
                </c:pt>
                <c:pt idx="1293">
                  <c:v>3.2136473474262685E-7</c:v>
                </c:pt>
                <c:pt idx="1294">
                  <c:v>3.2088405989173289E-7</c:v>
                </c:pt>
                <c:pt idx="1295">
                  <c:v>3.204008924071826E-7</c:v>
                </c:pt>
                <c:pt idx="1296">
                  <c:v>3.1991558010334361E-7</c:v>
                </c:pt>
                <c:pt idx="1297">
                  <c:v>3.1942821947953388E-7</c:v>
                </c:pt>
                <c:pt idx="1298">
                  <c:v>3.1893914147850864E-7</c:v>
                </c:pt>
                <c:pt idx="1299">
                  <c:v>3.1844787405306536E-7</c:v>
                </c:pt>
                <c:pt idx="1300">
                  <c:v>3.1795439078103685E-7</c:v>
                </c:pt>
                <c:pt idx="1301">
                  <c:v>3.1745879244730941E-7</c:v>
                </c:pt>
                <c:pt idx="1302">
                  <c:v>3.1696107843494215E-7</c:v>
                </c:pt>
                <c:pt idx="1303">
                  <c:v>3.1646112189071254E-7</c:v>
                </c:pt>
                <c:pt idx="1304">
                  <c:v>3.1595902336384886E-7</c:v>
                </c:pt>
                <c:pt idx="1305">
                  <c:v>3.1545487827130984E-7</c:v>
                </c:pt>
                <c:pt idx="1306">
                  <c:v>3.1494845949304525E-7</c:v>
                </c:pt>
                <c:pt idx="1307">
                  <c:v>3.1443983904903627E-7</c:v>
                </c:pt>
                <c:pt idx="1308">
                  <c:v>3.1392905129667959E-7</c:v>
                </c:pt>
                <c:pt idx="1309">
                  <c:v>3.1341593813702483E-7</c:v>
                </c:pt>
                <c:pt idx="1310">
                  <c:v>3.129007325916827E-7</c:v>
                </c:pt>
                <c:pt idx="1311">
                  <c:v>3.1238330422576527E-7</c:v>
                </c:pt>
                <c:pt idx="1312">
                  <c:v>3.1186352947972048E-7</c:v>
                </c:pt>
                <c:pt idx="1313">
                  <c:v>3.1134196977427211E-7</c:v>
                </c:pt>
                <c:pt idx="1314">
                  <c:v>3.1081812885525993E-7</c:v>
                </c:pt>
                <c:pt idx="1315">
                  <c:v>3.1029214357142325E-7</c:v>
                </c:pt>
                <c:pt idx="1316">
                  <c:v>3.0976388432127806E-7</c:v>
                </c:pt>
                <c:pt idx="1317">
                  <c:v>3.0923332544875669E-7</c:v>
                </c:pt>
                <c:pt idx="1318">
                  <c:v>3.0870060478220351E-7</c:v>
                </c:pt>
                <c:pt idx="1319">
                  <c:v>3.0816578742862176E-7</c:v>
                </c:pt>
                <c:pt idx="1320">
                  <c:v>3.0762878291379522E-7</c:v>
                </c:pt>
                <c:pt idx="1321">
                  <c:v>3.07089560000331E-7</c:v>
                </c:pt>
                <c:pt idx="1322">
                  <c:v>3.0654799385970903E-7</c:v>
                </c:pt>
                <c:pt idx="1323">
                  <c:v>3.0600422616027774E-7</c:v>
                </c:pt>
                <c:pt idx="1324">
                  <c:v>3.0545841641826345E-7</c:v>
                </c:pt>
                <c:pt idx="1325">
                  <c:v>3.0491038062960462E-7</c:v>
                </c:pt>
                <c:pt idx="1326">
                  <c:v>3.0436008906418547E-7</c:v>
                </c:pt>
                <c:pt idx="1327">
                  <c:v>3.0380741802372065E-7</c:v>
                </c:pt>
                <c:pt idx="1328">
                  <c:v>3.0325251313762319E-7</c:v>
                </c:pt>
                <c:pt idx="1329">
                  <c:v>3.0269553109068951E-7</c:v>
                </c:pt>
                <c:pt idx="1330">
                  <c:v>3.0213639261721112E-7</c:v>
                </c:pt>
                <c:pt idx="1331">
                  <c:v>3.0157487075337488E-7</c:v>
                </c:pt>
                <c:pt idx="1332">
                  <c:v>3.0101104183278642E-7</c:v>
                </c:pt>
                <c:pt idx="1333">
                  <c:v>3.0044527061997519E-7</c:v>
                </c:pt>
                <c:pt idx="1334">
                  <c:v>2.9987730379179615E-7</c:v>
                </c:pt>
                <c:pt idx="1335">
                  <c:v>2.9930691771797322E-7</c:v>
                </c:pt>
                <c:pt idx="1336">
                  <c:v>2.9873454225893537E-7</c:v>
                </c:pt>
                <c:pt idx="1337">
                  <c:v>2.9815986903235557E-7</c:v>
                </c:pt>
                <c:pt idx="1338">
                  <c:v>2.9758287328955709E-7</c:v>
                </c:pt>
                <c:pt idx="1339">
                  <c:v>2.9700398086848528E-7</c:v>
                </c:pt>
                <c:pt idx="1340">
                  <c:v>2.9642278483314154E-7</c:v>
                </c:pt>
                <c:pt idx="1341">
                  <c:v>2.958392605988012E-7</c:v>
                </c:pt>
                <c:pt idx="1342">
                  <c:v>2.9525383319989176E-7</c:v>
                </c:pt>
                <c:pt idx="1343">
                  <c:v>2.9466606102428505E-7</c:v>
                </c:pt>
                <c:pt idx="1344">
                  <c:v>2.94075962382948E-7</c:v>
                </c:pt>
                <c:pt idx="1345">
                  <c:v>2.9348396128000985E-7</c:v>
                </c:pt>
                <c:pt idx="1346">
                  <c:v>2.928896179777411E-7</c:v>
                </c:pt>
                <c:pt idx="1347">
                  <c:v>2.9229305012051233E-7</c:v>
                </c:pt>
                <c:pt idx="1348">
                  <c:v>2.9169457953147085E-7</c:v>
                </c:pt>
                <c:pt idx="1349">
                  <c:v>2.9109376864679013E-7</c:v>
                </c:pt>
                <c:pt idx="1350">
                  <c:v>2.9049090411156753E-7</c:v>
                </c:pt>
                <c:pt idx="1351">
                  <c:v>2.8988583509491464E-7</c:v>
                </c:pt>
                <c:pt idx="1352">
                  <c:v>2.892788408331724E-7</c:v>
                </c:pt>
                <c:pt idx="1353">
                  <c:v>2.8866948977905464E-7</c:v>
                </c:pt>
                <c:pt idx="1354">
                  <c:v>2.8805804403286085E-7</c:v>
                </c:pt>
                <c:pt idx="1355">
                  <c:v>2.8744467979678184E-7</c:v>
                </c:pt>
                <c:pt idx="1356">
                  <c:v>2.8682896781405493E-7</c:v>
                </c:pt>
                <c:pt idx="1357">
                  <c:v>2.8621133361879202E-7</c:v>
                </c:pt>
                <c:pt idx="1358">
                  <c:v>2.8559149079117855E-7</c:v>
                </c:pt>
                <c:pt idx="1359">
                  <c:v>2.8496971799612474E-7</c:v>
                </c:pt>
                <c:pt idx="1360">
                  <c:v>2.8434573242982666E-7</c:v>
                </c:pt>
                <c:pt idx="1361">
                  <c:v>2.8371985529449748E-7</c:v>
                </c:pt>
                <c:pt idx="1362">
                  <c:v>2.8309176041653354E-7</c:v>
                </c:pt>
                <c:pt idx="1363">
                  <c:v>2.8246177003841143E-7</c:v>
                </c:pt>
                <c:pt idx="1364">
                  <c:v>2.8182970269752915E-7</c:v>
                </c:pt>
                <c:pt idx="1365">
                  <c:v>2.8119573249438728E-7</c:v>
                </c:pt>
                <c:pt idx="1366">
                  <c:v>2.8055958311517286E-7</c:v>
                </c:pt>
                <c:pt idx="1367">
                  <c:v>2.7992153063037036E-7</c:v>
                </c:pt>
                <c:pt idx="1368">
                  <c:v>2.7928130227387313E-7</c:v>
                </c:pt>
                <c:pt idx="1369">
                  <c:v>2.7863931730110499E-7</c:v>
                </c:pt>
                <c:pt idx="1370">
                  <c:v>2.7799515616218837E-7</c:v>
                </c:pt>
                <c:pt idx="1371">
                  <c:v>2.7734914043785794E-7</c:v>
                </c:pt>
                <c:pt idx="1372">
                  <c:v>2.7670109877360821E-7</c:v>
                </c:pt>
                <c:pt idx="1373">
                  <c:v>2.7605120258770963E-7</c:v>
                </c:pt>
                <c:pt idx="1374">
                  <c:v>2.7539957408850021E-7</c:v>
                </c:pt>
                <c:pt idx="1375">
                  <c:v>2.7474579950127458E-7</c:v>
                </c:pt>
                <c:pt idx="1376">
                  <c:v>2.7409020045711184E-7</c:v>
                </c:pt>
                <c:pt idx="1377">
                  <c:v>2.7343261242843231E-7</c:v>
                </c:pt>
                <c:pt idx="1378">
                  <c:v>2.7277335081066644E-7</c:v>
                </c:pt>
                <c:pt idx="1379">
                  <c:v>2.7211238882256434E-7</c:v>
                </c:pt>
                <c:pt idx="1380">
                  <c:v>2.7144931857737506E-7</c:v>
                </c:pt>
                <c:pt idx="1381">
                  <c:v>2.7078460771443193E-7</c:v>
                </c:pt>
                <c:pt idx="1382">
                  <c:v>2.7011779944693063E-7</c:v>
                </c:pt>
                <c:pt idx="1383">
                  <c:v>2.6944936261042645E-7</c:v>
                </c:pt>
                <c:pt idx="1384">
                  <c:v>2.6877917417300867E-7</c:v>
                </c:pt>
                <c:pt idx="1385">
                  <c:v>2.6810707985059835E-7</c:v>
                </c:pt>
                <c:pt idx="1386">
                  <c:v>2.6743339428236705E-7</c:v>
                </c:pt>
                <c:pt idx="1387">
                  <c:v>2.6675809342361219E-7</c:v>
                </c:pt>
                <c:pt idx="1388">
                  <c:v>2.6608077783456232E-7</c:v>
                </c:pt>
                <c:pt idx="1389">
                  <c:v>2.6540201413039552E-7</c:v>
                </c:pt>
                <c:pt idx="1390">
                  <c:v>2.6472157969425437E-7</c:v>
                </c:pt>
                <c:pt idx="1391">
                  <c:v>2.6403927670610418E-7</c:v>
                </c:pt>
                <c:pt idx="1392">
                  <c:v>2.6335547255534718E-7</c:v>
                </c:pt>
                <c:pt idx="1393">
                  <c:v>2.6267014414873602E-7</c:v>
                </c:pt>
                <c:pt idx="1394">
                  <c:v>2.619831732951806E-7</c:v>
                </c:pt>
                <c:pt idx="1395">
                  <c:v>2.6129441934478976E-7</c:v>
                </c:pt>
                <c:pt idx="1396">
                  <c:v>2.6060419654446771E-7</c:v>
                </c:pt>
                <c:pt idx="1397">
                  <c:v>2.5991263464662286E-7</c:v>
                </c:pt>
                <c:pt idx="1398">
                  <c:v>2.5921933931417362E-7</c:v>
                </c:pt>
                <c:pt idx="1399">
                  <c:v>2.5852462404106046E-7</c:v>
                </c:pt>
                <c:pt idx="1400">
                  <c:v>2.5782837183889052E-7</c:v>
                </c:pt>
                <c:pt idx="1401">
                  <c:v>2.5713071931096394E-7</c:v>
                </c:pt>
                <c:pt idx="1402">
                  <c:v>2.5643152941697464E-7</c:v>
                </c:pt>
                <c:pt idx="1403">
                  <c:v>2.5573086180110394E-7</c:v>
                </c:pt>
                <c:pt idx="1404">
                  <c:v>2.5502885406078997E-7</c:v>
                </c:pt>
                <c:pt idx="1405">
                  <c:v>2.5432564017027886E-7</c:v>
                </c:pt>
                <c:pt idx="1406">
                  <c:v>2.5362110164826231E-7</c:v>
                </c:pt>
                <c:pt idx="1407">
                  <c:v>2.5291501097354719E-7</c:v>
                </c:pt>
                <c:pt idx="1408">
                  <c:v>2.5220752651642395E-7</c:v>
                </c:pt>
                <c:pt idx="1409">
                  <c:v>2.5149878870250805E-7</c:v>
                </c:pt>
                <c:pt idx="1410">
                  <c:v>2.5078893430738411E-7</c:v>
                </c:pt>
                <c:pt idx="1411">
                  <c:v>2.5007790263239341E-7</c:v>
                </c:pt>
                <c:pt idx="1412">
                  <c:v>2.4936541344317574E-7</c:v>
                </c:pt>
                <c:pt idx="1413">
                  <c:v>2.4865172031503515E-7</c:v>
                </c:pt>
                <c:pt idx="1414">
                  <c:v>2.4793692342507982E-7</c:v>
                </c:pt>
                <c:pt idx="1415">
                  <c:v>2.4722110209119478E-7</c:v>
                </c:pt>
                <c:pt idx="1416">
                  <c:v>2.4650404553138734E-7</c:v>
                </c:pt>
                <c:pt idx="1417">
                  <c:v>2.4578589777927452E-7</c:v>
                </c:pt>
                <c:pt idx="1418">
                  <c:v>2.4506670274088978E-7</c:v>
                </c:pt>
                <c:pt idx="1419">
                  <c:v>2.4434624620983481E-7</c:v>
                </c:pt>
                <c:pt idx="1420">
                  <c:v>2.4362477581861713E-7</c:v>
                </c:pt>
                <c:pt idx="1421">
                  <c:v>2.4290243277325708E-7</c:v>
                </c:pt>
                <c:pt idx="1422">
                  <c:v>2.4217900769812054E-7</c:v>
                </c:pt>
                <c:pt idx="1423">
                  <c:v>2.4145464610638268E-7</c:v>
                </c:pt>
                <c:pt idx="1424">
                  <c:v>2.4072948991522239E-7</c:v>
                </c:pt>
                <c:pt idx="1425">
                  <c:v>2.4000333046188832E-7</c:v>
                </c:pt>
                <c:pt idx="1426">
                  <c:v>2.3927631395098165E-7</c:v>
                </c:pt>
                <c:pt idx="1427">
                  <c:v>2.3854858301661849E-7</c:v>
                </c:pt>
                <c:pt idx="1428">
                  <c:v>2.3781992974747807E-7</c:v>
                </c:pt>
                <c:pt idx="1429">
                  <c:v>2.3709050103816051E-7</c:v>
                </c:pt>
                <c:pt idx="1430">
                  <c:v>2.3636003511510966E-7</c:v>
                </c:pt>
                <c:pt idx="1431">
                  <c:v>2.3562883711821347E-7</c:v>
                </c:pt>
                <c:pt idx="1432">
                  <c:v>2.3489695643331004E-7</c:v>
                </c:pt>
                <c:pt idx="1433">
                  <c:v>2.3416428500431061E-7</c:v>
                </c:pt>
                <c:pt idx="1434">
                  <c:v>2.3343097151491627E-7</c:v>
                </c:pt>
                <c:pt idx="1435">
                  <c:v>2.326970660986852E-7</c:v>
                </c:pt>
                <c:pt idx="1436">
                  <c:v>2.3196255587607458E-7</c:v>
                </c:pt>
                <c:pt idx="1437">
                  <c:v>2.3122739783845374E-7</c:v>
                </c:pt>
                <c:pt idx="1438">
                  <c:v>2.3049167743295074E-7</c:v>
                </c:pt>
                <c:pt idx="1439">
                  <c:v>2.2975551088227783E-7</c:v>
                </c:pt>
                <c:pt idx="1440">
                  <c:v>2.2901872649276751E-7</c:v>
                </c:pt>
                <c:pt idx="1441">
                  <c:v>2.2828153946688009E-7</c:v>
                </c:pt>
                <c:pt idx="1442">
                  <c:v>2.2754393680984836E-7</c:v>
                </c:pt>
                <c:pt idx="1443">
                  <c:v>2.2680581347889751E-7</c:v>
                </c:pt>
                <c:pt idx="1444">
                  <c:v>2.2606738565757595E-7</c:v>
                </c:pt>
                <c:pt idx="1445">
                  <c:v>2.2532838785876937E-7</c:v>
                </c:pt>
                <c:pt idx="1446">
                  <c:v>2.2458913427241428E-7</c:v>
                </c:pt>
                <c:pt idx="1447">
                  <c:v>2.2384951885761089E-7</c:v>
                </c:pt>
                <c:pt idx="1448">
                  <c:v>2.2310969268878815E-7</c:v>
                </c:pt>
                <c:pt idx="1449">
                  <c:v>2.2236978512312642E-7</c:v>
                </c:pt>
                <c:pt idx="1450">
                  <c:v>2.2162961508389399E-7</c:v>
                </c:pt>
                <c:pt idx="1451">
                  <c:v>2.2088933378443457E-7</c:v>
                </c:pt>
                <c:pt idx="1452">
                  <c:v>2.2014874327790057E-7</c:v>
                </c:pt>
                <c:pt idx="1453">
                  <c:v>2.1940809142736996E-7</c:v>
                </c:pt>
                <c:pt idx="1454">
                  <c:v>2.1866718149512324E-7</c:v>
                </c:pt>
                <c:pt idx="1455">
                  <c:v>2.1792616919339855E-7</c:v>
                </c:pt>
                <c:pt idx="1456">
                  <c:v>2.1718511388779827E-7</c:v>
                </c:pt>
                <c:pt idx="1457">
                  <c:v>2.164440067339717E-7</c:v>
                </c:pt>
                <c:pt idx="1458">
                  <c:v>2.1570290824862179E-7</c:v>
                </c:pt>
                <c:pt idx="1459">
                  <c:v>2.1496187800250674E-7</c:v>
                </c:pt>
                <c:pt idx="1460">
                  <c:v>2.142208144638532E-7</c:v>
                </c:pt>
                <c:pt idx="1461">
                  <c:v>2.1347993756064082E-7</c:v>
                </c:pt>
                <c:pt idx="1462">
                  <c:v>2.1273924245388979E-7</c:v>
                </c:pt>
                <c:pt idx="1463">
                  <c:v>2.1199871924347367E-7</c:v>
                </c:pt>
                <c:pt idx="1464">
                  <c:v>2.1125817636819217E-7</c:v>
                </c:pt>
                <c:pt idx="1465">
                  <c:v>2.1051777308317988E-7</c:v>
                </c:pt>
                <c:pt idx="1466">
                  <c:v>2.0977766492413382E-7</c:v>
                </c:pt>
                <c:pt idx="1467">
                  <c:v>2.0903775159113394E-7</c:v>
                </c:pt>
                <c:pt idx="1468">
                  <c:v>2.0829831753291508E-7</c:v>
                </c:pt>
                <c:pt idx="1469">
                  <c:v>2.0755920188249345E-7</c:v>
                </c:pt>
                <c:pt idx="1470">
                  <c:v>2.0682039749517549E-7</c:v>
                </c:pt>
                <c:pt idx="1471">
                  <c:v>2.060819692361315E-7</c:v>
                </c:pt>
                <c:pt idx="1472">
                  <c:v>2.0534381964647552E-7</c:v>
                </c:pt>
                <c:pt idx="1473">
                  <c:v>2.0460623241190296E-7</c:v>
                </c:pt>
                <c:pt idx="1474">
                  <c:v>2.0386914412585446E-7</c:v>
                </c:pt>
                <c:pt idx="1475">
                  <c:v>2.0313254715565463E-7</c:v>
                </c:pt>
                <c:pt idx="1476">
                  <c:v>2.0239641664026287E-7</c:v>
                </c:pt>
                <c:pt idx="1477">
                  <c:v>2.016607477225348E-7</c:v>
                </c:pt>
                <c:pt idx="1478">
                  <c:v>2.009258205588957E-7</c:v>
                </c:pt>
                <c:pt idx="1479">
                  <c:v>2.0019141358983373E-7</c:v>
                </c:pt>
                <c:pt idx="1480">
                  <c:v>1.9945750616285939E-7</c:v>
                </c:pt>
                <c:pt idx="1481">
                  <c:v>1.9872425807422728E-7</c:v>
                </c:pt>
                <c:pt idx="1482">
                  <c:v>1.9799166347243288E-7</c:v>
                </c:pt>
                <c:pt idx="1483">
                  <c:v>1.9725990932035458E-7</c:v>
                </c:pt>
                <c:pt idx="1484">
                  <c:v>1.9652894140909182E-7</c:v>
                </c:pt>
                <c:pt idx="1485">
                  <c:v>1.9579875279202527E-7</c:v>
                </c:pt>
                <c:pt idx="1486">
                  <c:v>1.950691602608405E-7</c:v>
                </c:pt>
                <c:pt idx="1487">
                  <c:v>1.9434053151550229E-7</c:v>
                </c:pt>
                <c:pt idx="1488">
                  <c:v>1.9361272720555533E-7</c:v>
                </c:pt>
                <c:pt idx="1489">
                  <c:v>1.928857428610166E-7</c:v>
                </c:pt>
                <c:pt idx="1490">
                  <c:v>1.9215985188483239E-7</c:v>
                </c:pt>
                <c:pt idx="1491">
                  <c:v>1.9143491645591197E-7</c:v>
                </c:pt>
                <c:pt idx="1492">
                  <c:v>1.9071084274348738E-7</c:v>
                </c:pt>
                <c:pt idx="1493">
                  <c:v>1.8998762869614421E-7</c:v>
                </c:pt>
                <c:pt idx="1494">
                  <c:v>1.8926554765142609E-7</c:v>
                </c:pt>
                <c:pt idx="1495">
                  <c:v>1.8854446777136283E-7</c:v>
                </c:pt>
                <c:pt idx="1496">
                  <c:v>1.878243853877698E-7</c:v>
                </c:pt>
                <c:pt idx="1497">
                  <c:v>1.8710548310267989E-7</c:v>
                </c:pt>
                <c:pt idx="1498">
                  <c:v>1.8638780709664771E-7</c:v>
                </c:pt>
                <c:pt idx="1499">
                  <c:v>1.8567117563411446E-7</c:v>
                </c:pt>
                <c:pt idx="1500">
                  <c:v>1.8495578208343442E-7</c:v>
                </c:pt>
                <c:pt idx="1501">
                  <c:v>1.8424150206388284E-7</c:v>
                </c:pt>
                <c:pt idx="1502">
                  <c:v>1.835284096058135E-7</c:v>
                </c:pt>
                <c:pt idx="1503">
                  <c:v>1.8281669402331235E-7</c:v>
                </c:pt>
                <c:pt idx="1504">
                  <c:v>1.8210614551535433E-7</c:v>
                </c:pt>
                <c:pt idx="1505">
                  <c:v>1.8139684899800466E-7</c:v>
                </c:pt>
                <c:pt idx="1506">
                  <c:v>1.8068898281751708E-7</c:v>
                </c:pt>
                <c:pt idx="1507">
                  <c:v>1.7998235008646174E-7</c:v>
                </c:pt>
                <c:pt idx="1508">
                  <c:v>1.7927702701630672E-7</c:v>
                </c:pt>
                <c:pt idx="1509">
                  <c:v>1.7857311400270967E-7</c:v>
                </c:pt>
                <c:pt idx="1510">
                  <c:v>1.7787049643129162E-7</c:v>
                </c:pt>
                <c:pt idx="1511">
                  <c:v>1.7716952328837857E-7</c:v>
                </c:pt>
                <c:pt idx="1512">
                  <c:v>1.764699137286446E-7</c:v>
                </c:pt>
                <c:pt idx="1513">
                  <c:v>1.7577182955052902E-7</c:v>
                </c:pt>
                <c:pt idx="1514">
                  <c:v>1.7507528070837702E-7</c:v>
                </c:pt>
                <c:pt idx="1515">
                  <c:v>1.7438007907456791E-7</c:v>
                </c:pt>
                <c:pt idx="1516">
                  <c:v>1.7368657224836538E-7</c:v>
                </c:pt>
                <c:pt idx="1517">
                  <c:v>1.7299456401529935E-7</c:v>
                </c:pt>
                <c:pt idx="1518">
                  <c:v>1.7230405311143058E-7</c:v>
                </c:pt>
                <c:pt idx="1519">
                  <c:v>1.7161529832496476E-7</c:v>
                </c:pt>
                <c:pt idx="1520">
                  <c:v>1.7092802817330715E-7</c:v>
                </c:pt>
                <c:pt idx="1521">
                  <c:v>1.7024258583262092E-7</c:v>
                </c:pt>
                <c:pt idx="1522">
                  <c:v>1.6955870090868886E-7</c:v>
                </c:pt>
                <c:pt idx="1523">
                  <c:v>1.6887663066312925E-7</c:v>
                </c:pt>
                <c:pt idx="1524">
                  <c:v>1.6819627027172825E-7</c:v>
                </c:pt>
                <c:pt idx="1525">
                  <c:v>1.6751763140972026E-7</c:v>
                </c:pt>
                <c:pt idx="1526">
                  <c:v>1.6684077725739409E-7</c:v>
                </c:pt>
                <c:pt idx="1527">
                  <c:v>1.6616562117568129E-7</c:v>
                </c:pt>
                <c:pt idx="1528">
                  <c:v>1.6549225427357119E-7</c:v>
                </c:pt>
                <c:pt idx="1529">
                  <c:v>1.6482066254253266E-7</c:v>
                </c:pt>
                <c:pt idx="1530">
                  <c:v>1.6415093506818975E-7</c:v>
                </c:pt>
                <c:pt idx="1531">
                  <c:v>1.6348297567101799E-7</c:v>
                </c:pt>
                <c:pt idx="1532">
                  <c:v>1.6281695607996729E-7</c:v>
                </c:pt>
                <c:pt idx="1533">
                  <c:v>1.6215278078699605E-7</c:v>
                </c:pt>
                <c:pt idx="1534">
                  <c:v>1.6149053698826109E-7</c:v>
                </c:pt>
                <c:pt idx="1535">
                  <c:v>1.6083013199756745E-7</c:v>
                </c:pt>
                <c:pt idx="1536">
                  <c:v>1.6017165308619457E-7</c:v>
                </c:pt>
                <c:pt idx="1537">
                  <c:v>1.5951509206805685E-7</c:v>
                </c:pt>
                <c:pt idx="1538">
                  <c:v>1.5886053405806415E-7</c:v>
                </c:pt>
                <c:pt idx="1539">
                  <c:v>1.5820797110133578E-7</c:v>
                </c:pt>
                <c:pt idx="1540">
                  <c:v>1.5755740479043971E-7</c:v>
                </c:pt>
                <c:pt idx="1541">
                  <c:v>1.5690882953093971E-7</c:v>
                </c:pt>
                <c:pt idx="1542">
                  <c:v>1.5626232827414523E-7</c:v>
                </c:pt>
                <c:pt idx="1543">
                  <c:v>1.5561781457609694E-7</c:v>
                </c:pt>
                <c:pt idx="1544">
                  <c:v>1.549754521735473E-7</c:v>
                </c:pt>
                <c:pt idx="1545">
                  <c:v>1.5433515664164363E-7</c:v>
                </c:pt>
                <c:pt idx="1546">
                  <c:v>1.5369684547424355E-7</c:v>
                </c:pt>
                <c:pt idx="1547">
                  <c:v>1.5306076246577588E-7</c:v>
                </c:pt>
                <c:pt idx="1548">
                  <c:v>1.5242674226438422E-7</c:v>
                </c:pt>
                <c:pt idx="1549">
                  <c:v>1.5179486550449333E-7</c:v>
                </c:pt>
                <c:pt idx="1550">
                  <c:v>1.5116505224342593E-7</c:v>
                </c:pt>
                <c:pt idx="1551">
                  <c:v>1.5053738285261699E-7</c:v>
                </c:pt>
                <c:pt idx="1552">
                  <c:v>1.4991177958333988E-7</c:v>
                </c:pt>
                <c:pt idx="1553">
                  <c:v>1.4928840213978347E-7</c:v>
                </c:pt>
                <c:pt idx="1554">
                  <c:v>1.4866732956576506E-7</c:v>
                </c:pt>
                <c:pt idx="1555">
                  <c:v>1.4804840215045262E-7</c:v>
                </c:pt>
                <c:pt idx="1556">
                  <c:v>1.4743161839179521E-7</c:v>
                </c:pt>
                <c:pt idx="1557">
                  <c:v>1.468169851999671E-7</c:v>
                </c:pt>
                <c:pt idx="1558">
                  <c:v>1.4620473977513336E-7</c:v>
                </c:pt>
                <c:pt idx="1559">
                  <c:v>1.4559479892085278E-7</c:v>
                </c:pt>
                <c:pt idx="1560">
                  <c:v>1.4498700815041595E-7</c:v>
                </c:pt>
                <c:pt idx="1561">
                  <c:v>1.4438136584631321E-7</c:v>
                </c:pt>
                <c:pt idx="1562">
                  <c:v>1.4377804283951127E-7</c:v>
                </c:pt>
                <c:pt idx="1563">
                  <c:v>1.4317695163179867E-7</c:v>
                </c:pt>
                <c:pt idx="1564">
                  <c:v>1.425782534541398E-7</c:v>
                </c:pt>
                <c:pt idx="1565">
                  <c:v>1.4198171838940369E-7</c:v>
                </c:pt>
                <c:pt idx="1566">
                  <c:v>1.4138750336502752E-7</c:v>
                </c:pt>
                <c:pt idx="1567">
                  <c:v>1.4079568664080931E-7</c:v>
                </c:pt>
                <c:pt idx="1568">
                  <c:v>1.4020612252215375E-7</c:v>
                </c:pt>
                <c:pt idx="1569">
                  <c:v>1.3961888375942867E-7</c:v>
                </c:pt>
                <c:pt idx="1570">
                  <c:v>1.3903397164540785E-7</c:v>
                </c:pt>
                <c:pt idx="1571">
                  <c:v>1.3845132295068546E-7</c:v>
                </c:pt>
                <c:pt idx="1572">
                  <c:v>1.378710869399519E-7</c:v>
                </c:pt>
                <c:pt idx="1573">
                  <c:v>1.3729312276270079E-7</c:v>
                </c:pt>
                <c:pt idx="1574">
                  <c:v>1.3671757874811234E-7</c:v>
                </c:pt>
                <c:pt idx="1575">
                  <c:v>1.3614437832499942E-7</c:v>
                </c:pt>
                <c:pt idx="1576">
                  <c:v>1.3557346225647335E-7</c:v>
                </c:pt>
                <c:pt idx="1577">
                  <c:v>1.3500490098125971E-7</c:v>
                </c:pt>
                <c:pt idx="1578">
                  <c:v>1.34438854892471E-7</c:v>
                </c:pt>
                <c:pt idx="1579">
                  <c:v>1.3387524635318173E-7</c:v>
                </c:pt>
                <c:pt idx="1580">
                  <c:v>1.3331385966190333E-7</c:v>
                </c:pt>
                <c:pt idx="1581">
                  <c:v>1.3275492328910313E-7</c:v>
                </c:pt>
                <c:pt idx="1582">
                  <c:v>1.3219843849130889E-7</c:v>
                </c:pt>
                <c:pt idx="1583">
                  <c:v>1.3164411614888119E-7</c:v>
                </c:pt>
                <c:pt idx="1584">
                  <c:v>1.3109226102201183E-7</c:v>
                </c:pt>
                <c:pt idx="1585">
                  <c:v>1.3054279896189648E-7</c:v>
                </c:pt>
                <c:pt idx="1586">
                  <c:v>1.299957531210201E-7</c:v>
                </c:pt>
                <c:pt idx="1587">
                  <c:v>1.2945111269497552E-7</c:v>
                </c:pt>
                <c:pt idx="1588">
                  <c:v>1.2890888154030667E-7</c:v>
                </c:pt>
                <c:pt idx="1589">
                  <c:v>1.2836898849083369E-7</c:v>
                </c:pt>
                <c:pt idx="1590">
                  <c:v>1.2783138563632622E-7</c:v>
                </c:pt>
                <c:pt idx="1591">
                  <c:v>1.2729637074354148E-7</c:v>
                </c:pt>
                <c:pt idx="1592">
                  <c:v>1.2676371319673478E-7</c:v>
                </c:pt>
                <c:pt idx="1593">
                  <c:v>1.2623329192680636E-7</c:v>
                </c:pt>
                <c:pt idx="1594">
                  <c:v>1.2570547923804153E-7</c:v>
                </c:pt>
                <c:pt idx="1595">
                  <c:v>1.251801257642433E-7</c:v>
                </c:pt>
                <c:pt idx="1596">
                  <c:v>1.2465716095316591E-7</c:v>
                </c:pt>
                <c:pt idx="1597">
                  <c:v>1.241364599785036E-7</c:v>
                </c:pt>
                <c:pt idx="1598">
                  <c:v>1.2361824343148215E-7</c:v>
                </c:pt>
                <c:pt idx="1599">
                  <c:v>1.2310244097246854E-7</c:v>
                </c:pt>
                <c:pt idx="1600">
                  <c:v>1.2258898443803555E-7</c:v>
                </c:pt>
                <c:pt idx="1601">
                  <c:v>1.220780357886595E-7</c:v>
                </c:pt>
                <c:pt idx="1602">
                  <c:v>1.2156939669432892E-7</c:v>
                </c:pt>
                <c:pt idx="1603">
                  <c:v>1.2106313053224398E-7</c:v>
                </c:pt>
                <c:pt idx="1604">
                  <c:v>1.205593248471267E-7</c:v>
                </c:pt>
                <c:pt idx="1605">
                  <c:v>1.2005791141631971E-7</c:v>
                </c:pt>
                <c:pt idx="1606">
                  <c:v>1.1955892469141836E-7</c:v>
                </c:pt>
                <c:pt idx="1607">
                  <c:v>1.1906219728659467E-7</c:v>
                </c:pt>
                <c:pt idx="1608">
                  <c:v>1.1856789323917871E-7</c:v>
                </c:pt>
                <c:pt idx="1609">
                  <c:v>1.1807601948878769E-7</c:v>
                </c:pt>
                <c:pt idx="1610">
                  <c:v>1.1758658938979643E-7</c:v>
                </c:pt>
                <c:pt idx="1611">
                  <c:v>1.1709941299887604E-7</c:v>
                </c:pt>
                <c:pt idx="1612">
                  <c:v>1.1661462526766933E-7</c:v>
                </c:pt>
                <c:pt idx="1613">
                  <c:v>1.1613231373853656E-7</c:v>
                </c:pt>
                <c:pt idx="1614">
                  <c:v>1.1565225997996464E-7</c:v>
                </c:pt>
                <c:pt idx="1615">
                  <c:v>1.1517477925680464E-7</c:v>
                </c:pt>
                <c:pt idx="1616">
                  <c:v>1.1469945788965836E-7</c:v>
                </c:pt>
                <c:pt idx="1617">
                  <c:v>1.1422658260294142E-7</c:v>
                </c:pt>
                <c:pt idx="1618">
                  <c:v>1.1375608834813125E-7</c:v>
                </c:pt>
                <c:pt idx="1619">
                  <c:v>1.1328791200539486E-7</c:v>
                </c:pt>
                <c:pt idx="1620">
                  <c:v>1.128219923322086E-7</c:v>
                </c:pt>
                <c:pt idx="1621">
                  <c:v>1.12358492388629E-7</c:v>
                </c:pt>
                <c:pt idx="1622">
                  <c:v>1.1189715866576867E-7</c:v>
                </c:pt>
                <c:pt idx="1623">
                  <c:v>1.114382740365161E-7</c:v>
                </c:pt>
                <c:pt idx="1624">
                  <c:v>1.1098162445033675E-7</c:v>
                </c:pt>
                <c:pt idx="1625">
                  <c:v>1.1052730146202362E-7</c:v>
                </c:pt>
                <c:pt idx="1626">
                  <c:v>1.1007546557406883E-7</c:v>
                </c:pt>
                <c:pt idx="1627">
                  <c:v>1.0962583130703211E-7</c:v>
                </c:pt>
                <c:pt idx="1628">
                  <c:v>1.0917856224113566E-7</c:v>
                </c:pt>
                <c:pt idx="1629">
                  <c:v>1.0873348260949665E-7</c:v>
                </c:pt>
                <c:pt idx="1630">
                  <c:v>1.0829065054823423E-7</c:v>
                </c:pt>
                <c:pt idx="1631">
                  <c:v>1.0785022802518557E-7</c:v>
                </c:pt>
                <c:pt idx="1632">
                  <c:v>1.0741193381722412E-7</c:v>
                </c:pt>
                <c:pt idx="1633">
                  <c:v>1.0697608088893421E-7</c:v>
                </c:pt>
                <c:pt idx="1634">
                  <c:v>1.0654245874534279E-7</c:v>
                </c:pt>
                <c:pt idx="1635">
                  <c:v>1.0611101069276949E-7</c:v>
                </c:pt>
                <c:pt idx="1636">
                  <c:v>1.0568171777049245E-7</c:v>
                </c:pt>
                <c:pt idx="1637">
                  <c:v>1.0525470725152484E-7</c:v>
                </c:pt>
                <c:pt idx="1638">
                  <c:v>1.0482999801974661E-7</c:v>
                </c:pt>
                <c:pt idx="1639">
                  <c:v>1.0440745527684828E-7</c:v>
                </c:pt>
                <c:pt idx="1640">
                  <c:v>1.0398717136123872E-7</c:v>
                </c:pt>
                <c:pt idx="1641">
                  <c:v>1.0356908942140087E-7</c:v>
                </c:pt>
                <c:pt idx="1642">
                  <c:v>1.0315322445400651E-7</c:v>
                </c:pt>
                <c:pt idx="1643">
                  <c:v>1.0273959701953603E-7</c:v>
                </c:pt>
                <c:pt idx="1644">
                  <c:v>1.0232807520006889E-7</c:v>
                </c:pt>
                <c:pt idx="1645">
                  <c:v>1.0191875244925832E-7</c:v>
                </c:pt>
                <c:pt idx="1646">
                  <c:v>1.0151161245553662E-7</c:v>
                </c:pt>
                <c:pt idx="1647">
                  <c:v>1.0110656244159093E-7</c:v>
                </c:pt>
                <c:pt idx="1648">
                  <c:v>1.0070369578094114E-7</c:v>
                </c:pt>
                <c:pt idx="1649">
                  <c:v>1.0030302797063141E-7</c:v>
                </c:pt>
                <c:pt idx="1650">
                  <c:v>9.9904504662292607E-8</c:v>
                </c:pt>
                <c:pt idx="1651">
                  <c:v>9.9508003493286397E-8</c:v>
                </c:pt>
                <c:pt idx="1652">
                  <c:v>9.9113688424981963E-8</c:v>
                </c:pt>
                <c:pt idx="1653">
                  <c:v>9.8721430979339519E-8</c:v>
                </c:pt>
                <c:pt idx="1654">
                  <c:v>9.8331255467708043E-8</c:v>
                </c:pt>
                <c:pt idx="1655">
                  <c:v>9.7943180123412949E-8</c:v>
                </c:pt>
                <c:pt idx="1656">
                  <c:v>9.7557227830113313E-8</c:v>
                </c:pt>
                <c:pt idx="1657">
                  <c:v>9.7173272486714065E-8</c:v>
                </c:pt>
                <c:pt idx="1658">
                  <c:v>9.6791408583092088E-8</c:v>
                </c:pt>
                <c:pt idx="1659">
                  <c:v>9.6411654106243454E-8</c:v>
                </c:pt>
                <c:pt idx="1660">
                  <c:v>9.6033888955720075E-8</c:v>
                </c:pt>
                <c:pt idx="1661">
                  <c:v>9.5658276009280904E-8</c:v>
                </c:pt>
                <c:pt idx="1662">
                  <c:v>9.5284552139357724E-8</c:v>
                </c:pt>
                <c:pt idx="1663">
                  <c:v>9.4912782361821453E-8</c:v>
                </c:pt>
                <c:pt idx="1664">
                  <c:v>9.4543019522841679E-8</c:v>
                </c:pt>
                <c:pt idx="1665">
                  <c:v>9.4175215259608432E-8</c:v>
                </c:pt>
                <c:pt idx="1666">
                  <c:v>9.3809532119098987E-8</c:v>
                </c:pt>
                <c:pt idx="1667">
                  <c:v>9.3445709540398608E-8</c:v>
                </c:pt>
                <c:pt idx="1668">
                  <c:v>9.3083912173056534E-8</c:v>
                </c:pt>
                <c:pt idx="1669">
                  <c:v>9.2724091376648172E-8</c:v>
                </c:pt>
                <c:pt idx="1670">
                  <c:v>9.2366199835282021E-8</c:v>
                </c:pt>
                <c:pt idx="1671">
                  <c:v>9.2010331503393002E-8</c:v>
                </c:pt>
                <c:pt idx="1672">
                  <c:v>9.1656366084348296E-8</c:v>
                </c:pt>
                <c:pt idx="1673">
                  <c:v>9.1304330003970997E-8</c:v>
                </c:pt>
                <c:pt idx="1674">
                  <c:v>9.0954245143742282E-8</c:v>
                </c:pt>
                <c:pt idx="1675">
                  <c:v>9.0605997150095787E-8</c:v>
                </c:pt>
                <c:pt idx="1676">
                  <c:v>9.0259610288782679E-8</c:v>
                </c:pt>
                <c:pt idx="1677">
                  <c:v>8.9915108341276764E-8</c:v>
                </c:pt>
                <c:pt idx="1678">
                  <c:v>8.9572517568975217E-8</c:v>
                </c:pt>
                <c:pt idx="1679">
                  <c:v>8.9231792535763282E-8</c:v>
                </c:pt>
                <c:pt idx="1680">
                  <c:v>8.8892956634888476E-8</c:v>
                </c:pt>
                <c:pt idx="1681">
                  <c:v>8.8555965250481534E-8</c:v>
                </c:pt>
                <c:pt idx="1682">
                  <c:v>8.8220707478449315E-8</c:v>
                </c:pt>
                <c:pt idx="1683">
                  <c:v>8.7887210087775078E-8</c:v>
                </c:pt>
                <c:pt idx="1684">
                  <c:v>8.7555636313560437E-8</c:v>
                </c:pt>
                <c:pt idx="1685">
                  <c:v>8.7225736646783173E-8</c:v>
                </c:pt>
                <c:pt idx="1686">
                  <c:v>8.6897608801964411E-8</c:v>
                </c:pt>
                <c:pt idx="1687">
                  <c:v>8.6571278408606977E-8</c:v>
                </c:pt>
                <c:pt idx="1688">
                  <c:v>8.6246794334165362E-8</c:v>
                </c:pt>
                <c:pt idx="1689">
                  <c:v>8.5924158391316661E-8</c:v>
                </c:pt>
                <c:pt idx="1690">
                  <c:v>8.5603191423593296E-8</c:v>
                </c:pt>
                <c:pt idx="1691">
                  <c:v>8.528399019906713E-8</c:v>
                </c:pt>
                <c:pt idx="1692">
                  <c:v>8.4966513382525084E-8</c:v>
                </c:pt>
                <c:pt idx="1693">
                  <c:v>8.46507876035645E-8</c:v>
                </c:pt>
                <c:pt idx="1694">
                  <c:v>8.4336705313275173E-8</c:v>
                </c:pt>
                <c:pt idx="1695">
                  <c:v>8.4024295178236587E-8</c:v>
                </c:pt>
                <c:pt idx="1696">
                  <c:v>8.371351855626213E-8</c:v>
                </c:pt>
                <c:pt idx="1697">
                  <c:v>8.3404471821023436E-8</c:v>
                </c:pt>
                <c:pt idx="1698">
                  <c:v>8.3096980894285395E-8</c:v>
                </c:pt>
                <c:pt idx="1699">
                  <c:v>8.2791210279432858E-8</c:v>
                </c:pt>
                <c:pt idx="1700">
                  <c:v>8.2487053617215382E-8</c:v>
                </c:pt>
                <c:pt idx="1701">
                  <c:v>8.2184540087249135E-8</c:v>
                </c:pt>
                <c:pt idx="1702">
                  <c:v>8.1883631855977515E-8</c:v>
                </c:pt>
                <c:pt idx="1703">
                  <c:v>8.1584424667485534E-8</c:v>
                </c:pt>
                <c:pt idx="1704">
                  <c:v>8.1286746638897375E-8</c:v>
                </c:pt>
                <c:pt idx="1705">
                  <c:v>8.0990695034601659E-8</c:v>
                </c:pt>
                <c:pt idx="1706">
                  <c:v>8.0696317315041539E-8</c:v>
                </c:pt>
                <c:pt idx="1707">
                  <c:v>8.0403555912597543E-8</c:v>
                </c:pt>
                <c:pt idx="1708">
                  <c:v>8.0112373693349208E-8</c:v>
                </c:pt>
                <c:pt idx="1709">
                  <c:v>7.9822668430560624E-8</c:v>
                </c:pt>
                <c:pt idx="1710">
                  <c:v>7.9534472443718495E-8</c:v>
                </c:pt>
                <c:pt idx="1711">
                  <c:v>7.9247751393592169E-8</c:v>
                </c:pt>
                <c:pt idx="1712">
                  <c:v>7.8962668206493534E-8</c:v>
                </c:pt>
                <c:pt idx="1713">
                  <c:v>7.8679119312468926E-8</c:v>
                </c:pt>
                <c:pt idx="1714">
                  <c:v>7.8396939527565764E-8</c:v>
                </c:pt>
                <c:pt idx="1715">
                  <c:v>7.8116293672604736E-8</c:v>
                </c:pt>
                <c:pt idx="1716">
                  <c:v>7.7837146747117521E-8</c:v>
                </c:pt>
                <c:pt idx="1717">
                  <c:v>7.7559546382657585E-8</c:v>
                </c:pt>
                <c:pt idx="1718">
                  <c:v>7.7283504668537317E-8</c:v>
                </c:pt>
                <c:pt idx="1719">
                  <c:v>7.7008856930520252E-8</c:v>
                </c:pt>
                <c:pt idx="1720">
                  <c:v>7.6735700324110331E-8</c:v>
                </c:pt>
                <c:pt idx="1721">
                  <c:v>7.6463937911763124E-8</c:v>
                </c:pt>
                <c:pt idx="1722">
                  <c:v>7.6193601074703775E-8</c:v>
                </c:pt>
                <c:pt idx="1723">
                  <c:v>7.5924722796000983E-8</c:v>
                </c:pt>
                <c:pt idx="1724">
                  <c:v>7.5657269956665345E-8</c:v>
                </c:pt>
                <c:pt idx="1725">
                  <c:v>7.5391210285838836E-8</c:v>
                </c:pt>
                <c:pt idx="1726">
                  <c:v>7.5126591501093012E-8</c:v>
                </c:pt>
                <c:pt idx="1727">
                  <c:v>7.4863301874285842E-8</c:v>
                </c:pt>
                <c:pt idx="1728">
                  <c:v>7.4601311598278731E-8</c:v>
                </c:pt>
                <c:pt idx="1729">
                  <c:v>7.4340783225086456E-8</c:v>
                </c:pt>
                <c:pt idx="1730">
                  <c:v>7.4081683474981986E-8</c:v>
                </c:pt>
                <c:pt idx="1731">
                  <c:v>7.3823788868282845E-8</c:v>
                </c:pt>
                <c:pt idx="1732">
                  <c:v>7.3567263526270346E-8</c:v>
                </c:pt>
                <c:pt idx="1733">
                  <c:v>7.3312153778124647E-8</c:v>
                </c:pt>
                <c:pt idx="1734">
                  <c:v>7.3058350365652891E-8</c:v>
                </c:pt>
                <c:pt idx="1735">
                  <c:v>7.2805888913306871E-8</c:v>
                </c:pt>
                <c:pt idx="1736">
                  <c:v>7.255467444684245E-8</c:v>
                </c:pt>
                <c:pt idx="1737">
                  <c:v>7.2304679151169929E-8</c:v>
                </c:pt>
                <c:pt idx="1738">
                  <c:v>7.2056065018928239E-8</c:v>
                </c:pt>
                <c:pt idx="1739">
                  <c:v>7.1808676693910362E-8</c:v>
                </c:pt>
                <c:pt idx="1740">
                  <c:v>7.1562686253100118E-8</c:v>
                </c:pt>
                <c:pt idx="1741">
                  <c:v>7.131798661926807E-8</c:v>
                </c:pt>
                <c:pt idx="1742">
                  <c:v>7.1074425424877508E-8</c:v>
                </c:pt>
                <c:pt idx="1743">
                  <c:v>7.0832100834601098E-8</c:v>
                </c:pt>
                <c:pt idx="1744">
                  <c:v>7.0591049786193435E-8</c:v>
                </c:pt>
                <c:pt idx="1745">
                  <c:v>7.035117925040968E-8</c:v>
                </c:pt>
                <c:pt idx="1746">
                  <c:v>7.0112601376532531E-8</c:v>
                </c:pt>
                <c:pt idx="1747">
                  <c:v>6.9875335558461521E-8</c:v>
                </c:pt>
                <c:pt idx="1748">
                  <c:v>6.9639165708414029E-8</c:v>
                </c:pt>
                <c:pt idx="1749">
                  <c:v>6.9404196564976932E-8</c:v>
                </c:pt>
                <c:pt idx="1750">
                  <c:v>6.917045866983888E-8</c:v>
                </c:pt>
                <c:pt idx="1751">
                  <c:v>6.8937803157976957E-8</c:v>
                </c:pt>
                <c:pt idx="1752">
                  <c:v>6.8706399701985832E-8</c:v>
                </c:pt>
                <c:pt idx="1753">
                  <c:v>6.8476175865929164E-8</c:v>
                </c:pt>
                <c:pt idx="1754">
                  <c:v>6.8247053269420292E-8</c:v>
                </c:pt>
                <c:pt idx="1755">
                  <c:v>6.8019083802946687E-8</c:v>
                </c:pt>
                <c:pt idx="1756">
                  <c:v>6.7792253916051938E-8</c:v>
                </c:pt>
                <c:pt idx="1757">
                  <c:v>6.7566621523385192E-8</c:v>
                </c:pt>
                <c:pt idx="1758">
                  <c:v>6.7342088774713218E-8</c:v>
                </c:pt>
                <c:pt idx="1759">
                  <c:v>6.7118655241998146E-8</c:v>
                </c:pt>
                <c:pt idx="1760">
                  <c:v>6.6896360672123557E-8</c:v>
                </c:pt>
                <c:pt idx="1761">
                  <c:v>6.6675115836733225E-8</c:v>
                </c:pt>
                <c:pt idx="1762">
                  <c:v>6.6455055374150715E-8</c:v>
                </c:pt>
                <c:pt idx="1763">
                  <c:v>6.6236018962529791E-8</c:v>
                </c:pt>
                <c:pt idx="1764">
                  <c:v>6.6018059834870856E-8</c:v>
                </c:pt>
                <c:pt idx="1765">
                  <c:v>6.5801166034206977E-8</c:v>
                </c:pt>
                <c:pt idx="1766">
                  <c:v>6.5585314082057007E-8</c:v>
                </c:pt>
                <c:pt idx="1767">
                  <c:v>6.5370573424465862E-8</c:v>
                </c:pt>
                <c:pt idx="1768">
                  <c:v>6.5156914393647245E-8</c:v>
                </c:pt>
                <c:pt idx="1769">
                  <c:v>6.4944249369018446E-8</c:v>
                </c:pt>
                <c:pt idx="1770">
                  <c:v>6.4732643683061216E-8</c:v>
                </c:pt>
                <c:pt idx="1771">
                  <c:v>6.4522078228311807E-8</c:v>
                </c:pt>
                <c:pt idx="1772">
                  <c:v>6.4312537423194895E-8</c:v>
                </c:pt>
                <c:pt idx="1773">
                  <c:v>6.4103998762245646E-8</c:v>
                </c:pt>
                <c:pt idx="1774">
                  <c:v>6.389645186954883E-8</c:v>
                </c:pt>
                <c:pt idx="1775">
                  <c:v>6.3689886568195769E-8</c:v>
                </c:pt>
                <c:pt idx="1776">
                  <c:v>6.3484359749682901E-8</c:v>
                </c:pt>
                <c:pt idx="1777">
                  <c:v>6.3279781626420934E-8</c:v>
                </c:pt>
                <c:pt idx="1778">
                  <c:v>6.307620649687962E-8</c:v>
                </c:pt>
                <c:pt idx="1779">
                  <c:v>6.2873548860294822E-8</c:v>
                </c:pt>
                <c:pt idx="1780">
                  <c:v>6.267192966463515E-8</c:v>
                </c:pt>
                <c:pt idx="1781">
                  <c:v>6.2471271455507129E-8</c:v>
                </c:pt>
                <c:pt idx="1782">
                  <c:v>6.2271501157264723E-8</c:v>
                </c:pt>
                <c:pt idx="1783">
                  <c:v>6.2072662805170535E-8</c:v>
                </c:pt>
                <c:pt idx="1784">
                  <c:v>6.1874864639760901E-8</c:v>
                </c:pt>
                <c:pt idx="1785">
                  <c:v>6.1677966601996679E-8</c:v>
                </c:pt>
                <c:pt idx="1786">
                  <c:v>6.1481960389940493E-8</c:v>
                </c:pt>
                <c:pt idx="1787">
                  <c:v>6.1286837847718782E-8</c:v>
                </c:pt>
                <c:pt idx="1788">
                  <c:v>6.109270736026933E-8</c:v>
                </c:pt>
                <c:pt idx="1789">
                  <c:v>6.0899482817685409E-8</c:v>
                </c:pt>
                <c:pt idx="1790">
                  <c:v>6.0707103696686762E-8</c:v>
                </c:pt>
                <c:pt idx="1791">
                  <c:v>6.0515603635691662E-8</c:v>
                </c:pt>
                <c:pt idx="1792">
                  <c:v>6.0325049427904592E-8</c:v>
                </c:pt>
                <c:pt idx="1793">
                  <c:v>6.0135356791553953E-8</c:v>
                </c:pt>
                <c:pt idx="1794">
                  <c:v>5.9946507018126901E-8</c:v>
                </c:pt>
                <c:pt idx="1795">
                  <c:v>5.9758556063958455E-8</c:v>
                </c:pt>
                <c:pt idx="1796">
                  <c:v>5.957149511493578E-8</c:v>
                </c:pt>
                <c:pt idx="1797">
                  <c:v>5.9385241967471774E-8</c:v>
                </c:pt>
                <c:pt idx="1798">
                  <c:v>5.9199853214375354E-8</c:v>
                </c:pt>
                <c:pt idx="1799">
                  <c:v>5.90153722529724E-8</c:v>
                </c:pt>
                <c:pt idx="1800">
                  <c:v>5.883172809041053E-8</c:v>
                </c:pt>
                <c:pt idx="1801">
                  <c:v>5.8648839608115138E-8</c:v>
                </c:pt>
                <c:pt idx="1802">
                  <c:v>5.8466764402530327E-8</c:v>
                </c:pt>
                <c:pt idx="1803">
                  <c:v>5.828560920380749E-8</c:v>
                </c:pt>
                <c:pt idx="1804">
                  <c:v>5.8105240533949539E-8</c:v>
                </c:pt>
                <c:pt idx="1805">
                  <c:v>5.7925641398955681E-8</c:v>
                </c:pt>
                <c:pt idx="1806">
                  <c:v>5.7746929744570523E-8</c:v>
                </c:pt>
                <c:pt idx="1807">
                  <c:v>5.7568973368965559E-8</c:v>
                </c:pt>
                <c:pt idx="1808">
                  <c:v>5.7391807995015119E-8</c:v>
                </c:pt>
                <c:pt idx="1809">
                  <c:v>5.7215375327344813E-8</c:v>
                </c:pt>
                <c:pt idx="1810">
                  <c:v>5.7039771677281565E-8</c:v>
                </c:pt>
                <c:pt idx="1811">
                  <c:v>5.6864940442463715E-8</c:v>
                </c:pt>
                <c:pt idx="1812">
                  <c:v>5.6690854237791842E-8</c:v>
                </c:pt>
                <c:pt idx="1813">
                  <c:v>5.6517577950437629E-8</c:v>
                </c:pt>
                <c:pt idx="1814">
                  <c:v>5.6345086479903318E-8</c:v>
                </c:pt>
                <c:pt idx="1815">
                  <c:v>5.6173310903394244E-8</c:v>
                </c:pt>
                <c:pt idx="1816">
                  <c:v>5.600230544255818E-8</c:v>
                </c:pt>
                <c:pt idx="1817">
                  <c:v>5.5832057048519379E-8</c:v>
                </c:pt>
                <c:pt idx="1818">
                  <c:v>5.5662549437447729E-8</c:v>
                </c:pt>
                <c:pt idx="1819">
                  <c:v>5.5493714657912383E-8</c:v>
                </c:pt>
                <c:pt idx="1820">
                  <c:v>5.5325669663406017E-8</c:v>
                </c:pt>
                <c:pt idx="1821">
                  <c:v>5.5158339042889145E-8</c:v>
                </c:pt>
                <c:pt idx="1822">
                  <c:v>5.4991707458729138E-8</c:v>
                </c:pt>
                <c:pt idx="1823">
                  <c:v>5.4825817682699551E-8</c:v>
                </c:pt>
                <c:pt idx="1824">
                  <c:v>5.4660606407285928E-8</c:v>
                </c:pt>
                <c:pt idx="1825">
                  <c:v>5.4496132002806137E-8</c:v>
                </c:pt>
                <c:pt idx="1826">
                  <c:v>5.4332373383343649E-8</c:v>
                </c:pt>
                <c:pt idx="1827">
                  <c:v>5.4169320319354612E-8</c:v>
                </c:pt>
                <c:pt idx="1828">
                  <c:v>5.4006905627151163E-8</c:v>
                </c:pt>
                <c:pt idx="1829">
                  <c:v>5.3845234780890499E-8</c:v>
                </c:pt>
                <c:pt idx="1830">
                  <c:v>5.3684235018556882E-8</c:v>
                </c:pt>
                <c:pt idx="1831">
                  <c:v>5.3523902297719771E-8</c:v>
                </c:pt>
                <c:pt idx="1832">
                  <c:v>5.3364288811850871E-8</c:v>
                </c:pt>
                <c:pt idx="1833">
                  <c:v>5.3205312582006694E-8</c:v>
                </c:pt>
                <c:pt idx="1834">
                  <c:v>5.30469702643875E-8</c:v>
                </c:pt>
                <c:pt idx="1835">
                  <c:v>5.2889314234157076E-8</c:v>
                </c:pt>
                <c:pt idx="1836">
                  <c:v>5.2732336269356808E-8</c:v>
                </c:pt>
                <c:pt idx="1837">
                  <c:v>5.2575959609212543E-8</c:v>
                </c:pt>
                <c:pt idx="1838">
                  <c:v>5.2420288927327212E-8</c:v>
                </c:pt>
                <c:pt idx="1839">
                  <c:v>5.2265263947934589E-8</c:v>
                </c:pt>
                <c:pt idx="1840">
                  <c:v>5.2110818766340424E-8</c:v>
                </c:pt>
                <c:pt idx="1841">
                  <c:v>5.1957047890119692E-8</c:v>
                </c:pt>
                <c:pt idx="1842">
                  <c:v>5.1803892178197399E-8</c:v>
                </c:pt>
                <c:pt idx="1843">
                  <c:v>5.1651348556116274E-8</c:v>
                </c:pt>
                <c:pt idx="1844">
                  <c:v>5.1499448215123618E-8</c:v>
                </c:pt>
                <c:pt idx="1845">
                  <c:v>5.1348195252108607E-8</c:v>
                </c:pt>
                <c:pt idx="1846">
                  <c:v>5.1197577629034434E-8</c:v>
                </c:pt>
                <c:pt idx="1847">
                  <c:v>5.1047527770930756E-8</c:v>
                </c:pt>
                <c:pt idx="1848">
                  <c:v>5.0898095707183636E-8</c:v>
                </c:pt>
                <c:pt idx="1849">
                  <c:v>5.0749259687238699E-8</c:v>
                </c:pt>
                <c:pt idx="1850">
                  <c:v>5.0601025443890993E-8</c:v>
                </c:pt>
                <c:pt idx="1851">
                  <c:v>5.0453380182327307E-8</c:v>
                </c:pt>
                <c:pt idx="1852">
                  <c:v>5.0306364385360707E-8</c:v>
                </c:pt>
                <c:pt idx="1853">
                  <c:v>5.0159921409323191E-8</c:v>
                </c:pt>
                <c:pt idx="1854">
                  <c:v>5.0014039099483692E-8</c:v>
                </c:pt>
                <c:pt idx="1855">
                  <c:v>4.9868767857597192E-8</c:v>
                </c:pt>
                <c:pt idx="1856">
                  <c:v>4.9724032323735443E-8</c:v>
                </c:pt>
                <c:pt idx="1857">
                  <c:v>4.9579883138946024E-8</c:v>
                </c:pt>
                <c:pt idx="1858">
                  <c:v>4.9436317483326309E-8</c:v>
                </c:pt>
                <c:pt idx="1859">
                  <c:v>4.929327076677507E-8</c:v>
                </c:pt>
                <c:pt idx="1860">
                  <c:v>4.915084566984525E-8</c:v>
                </c:pt>
                <c:pt idx="1861">
                  <c:v>4.9008977126561534E-8</c:v>
                </c:pt>
                <c:pt idx="1862">
                  <c:v>4.8867601119579373E-8</c:v>
                </c:pt>
                <c:pt idx="1863">
                  <c:v>4.872681083092325E-8</c:v>
                </c:pt>
                <c:pt idx="1864">
                  <c:v>4.8586561612855938E-8</c:v>
                </c:pt>
                <c:pt idx="1865">
                  <c:v>4.8446883458533169E-8</c:v>
                </c:pt>
                <c:pt idx="1866">
                  <c:v>4.8307722710574837E-8</c:v>
                </c:pt>
                <c:pt idx="1867">
                  <c:v>4.8169068442545633E-8</c:v>
                </c:pt>
                <c:pt idx="1868">
                  <c:v>4.8031022337161586E-8</c:v>
                </c:pt>
                <c:pt idx="1869">
                  <c:v>4.7893459071586032E-8</c:v>
                </c:pt>
                <c:pt idx="1870">
                  <c:v>4.7756489999998258E-8</c:v>
                </c:pt>
                <c:pt idx="1871">
                  <c:v>4.7619990401941653E-8</c:v>
                </c:pt>
                <c:pt idx="1872">
                  <c:v>4.7484012146419307E-8</c:v>
                </c:pt>
                <c:pt idx="1873">
                  <c:v>4.7348603495186345E-8</c:v>
                </c:pt>
                <c:pt idx="1874">
                  <c:v>4.7213640732224963E-8</c:v>
                </c:pt>
                <c:pt idx="1875">
                  <c:v>4.7079225769282287E-8</c:v>
                </c:pt>
                <c:pt idx="1876">
                  <c:v>4.6945297374874065E-8</c:v>
                </c:pt>
                <c:pt idx="1877">
                  <c:v>4.6811854638623722E-8</c:v>
                </c:pt>
                <c:pt idx="1878">
                  <c:v>4.6678936489480385E-8</c:v>
                </c:pt>
                <c:pt idx="1879">
                  <c:v>4.6546544242583857E-8</c:v>
                </c:pt>
                <c:pt idx="1880">
                  <c:v>4.6414663314746919E-8</c:v>
                </c:pt>
                <c:pt idx="1881">
                  <c:v>4.6283224728046024E-8</c:v>
                </c:pt>
                <c:pt idx="1882">
                  <c:v>4.6152290041653939E-8</c:v>
                </c:pt>
                <c:pt idx="1883">
                  <c:v>4.6021835535103969E-8</c:v>
                </c:pt>
                <c:pt idx="1884">
                  <c:v>4.589187329371072E-8</c:v>
                </c:pt>
                <c:pt idx="1885">
                  <c:v>4.5762431993023369E-8</c:v>
                </c:pt>
                <c:pt idx="1886">
                  <c:v>4.5633461524040061E-8</c:v>
                </c:pt>
                <c:pt idx="1887">
                  <c:v>4.5504938396341211E-8</c:v>
                </c:pt>
                <c:pt idx="1888">
                  <c:v>4.5376875827892696E-8</c:v>
                </c:pt>
                <c:pt idx="1889">
                  <c:v>4.524925508265887E-8</c:v>
                </c:pt>
                <c:pt idx="1890">
                  <c:v>4.5122184977925112E-8</c:v>
                </c:pt>
                <c:pt idx="1891">
                  <c:v>4.499554480501359E-8</c:v>
                </c:pt>
                <c:pt idx="1892">
                  <c:v>4.4869381822366086E-8</c:v>
                </c:pt>
                <c:pt idx="1893">
                  <c:v>4.474369111878187E-8</c:v>
                </c:pt>
                <c:pt idx="1894">
                  <c:v>4.4618457308302417E-8</c:v>
                </c:pt>
                <c:pt idx="1895">
                  <c:v>4.4493685159551371E-8</c:v>
                </c:pt>
                <c:pt idx="1896">
                  <c:v>4.4369303582103143E-8</c:v>
                </c:pt>
                <c:pt idx="1897">
                  <c:v>4.4245421346365796E-8</c:v>
                </c:pt>
                <c:pt idx="1898">
                  <c:v>4.4121972372855017E-8</c:v>
                </c:pt>
                <c:pt idx="1899">
                  <c:v>4.3999002819530664E-8</c:v>
                </c:pt>
                <c:pt idx="1900">
                  <c:v>4.3876456196748662E-8</c:v>
                </c:pt>
                <c:pt idx="1901">
                  <c:v>4.3754369748710671E-8</c:v>
                </c:pt>
                <c:pt idx="1902">
                  <c:v>4.3632696479950375E-8</c:v>
                </c:pt>
                <c:pt idx="1903">
                  <c:v>4.3511427748106221E-8</c:v>
                </c:pt>
                <c:pt idx="1904">
                  <c:v>4.3390592044124504E-8</c:v>
                </c:pt>
                <c:pt idx="1905">
                  <c:v>4.3270152057606643E-8</c:v>
                </c:pt>
                <c:pt idx="1906">
                  <c:v>4.3150197526698605E-8</c:v>
                </c:pt>
                <c:pt idx="1907">
                  <c:v>4.3030611462890914E-8</c:v>
                </c:pt>
                <c:pt idx="1908">
                  <c:v>4.2911501386769832E-8</c:v>
                </c:pt>
                <c:pt idx="1909">
                  <c:v>4.2792812025455733E-8</c:v>
                </c:pt>
                <c:pt idx="1910">
                  <c:v>4.2674518271082951E-8</c:v>
                </c:pt>
                <c:pt idx="1911">
                  <c:v>4.2556628119872562E-8</c:v>
                </c:pt>
                <c:pt idx="1912">
                  <c:v>4.2439186461959607E-8</c:v>
                </c:pt>
                <c:pt idx="1913">
                  <c:v>4.2322130533110488E-8</c:v>
                </c:pt>
                <c:pt idx="1914">
                  <c:v>4.2205460909311079E-8</c:v>
                </c:pt>
                <c:pt idx="1915">
                  <c:v>4.208921386948331E-8</c:v>
                </c:pt>
                <c:pt idx="1916">
                  <c:v>4.1973344713707002E-8</c:v>
                </c:pt>
                <c:pt idx="1917">
                  <c:v>4.1857942307114286E-8</c:v>
                </c:pt>
                <c:pt idx="1918">
                  <c:v>4.1742900040106725E-8</c:v>
                </c:pt>
                <c:pt idx="1919">
                  <c:v>4.1628254262958297E-8</c:v>
                </c:pt>
                <c:pt idx="1920">
                  <c:v>4.1514005500045082E-8</c:v>
                </c:pt>
                <c:pt idx="1921">
                  <c:v>4.1400144837448663E-8</c:v>
                </c:pt>
                <c:pt idx="1922">
                  <c:v>4.1286673208878354E-8</c:v>
                </c:pt>
                <c:pt idx="1923">
                  <c:v>4.1173625889343499E-8</c:v>
                </c:pt>
                <c:pt idx="1924">
                  <c:v>4.1060958975825001E-8</c:v>
                </c:pt>
                <c:pt idx="1925">
                  <c:v>4.0948707661806569E-8</c:v>
                </c:pt>
                <c:pt idx="1926">
                  <c:v>4.0836758980382144E-8</c:v>
                </c:pt>
                <c:pt idx="1927">
                  <c:v>4.0725228881170773E-8</c:v>
                </c:pt>
                <c:pt idx="1928">
                  <c:v>4.0614098623378365E-8</c:v>
                </c:pt>
                <c:pt idx="1929">
                  <c:v>4.0503308725100742E-8</c:v>
                </c:pt>
                <c:pt idx="1930">
                  <c:v>4.0392902964960373E-8</c:v>
                </c:pt>
                <c:pt idx="1931">
                  <c:v>4.0282830728945731E-8</c:v>
                </c:pt>
                <c:pt idx="1932">
                  <c:v>4.0173188453666246E-8</c:v>
                </c:pt>
                <c:pt idx="1933">
                  <c:v>4.0063863752415674E-8</c:v>
                </c:pt>
                <c:pt idx="1934">
                  <c:v>3.9954953174805264E-8</c:v>
                </c:pt>
                <c:pt idx="1935">
                  <c:v>3.9846353108067033E-8</c:v>
                </c:pt>
                <c:pt idx="1936">
                  <c:v>3.9738159975199543E-8</c:v>
                </c:pt>
                <c:pt idx="1937">
                  <c:v>3.963031522548329E-8</c:v>
                </c:pt>
                <c:pt idx="1938">
                  <c:v>3.9522861408151072E-8</c:v>
                </c:pt>
                <c:pt idx="1939">
                  <c:v>3.9415756781445746E-8</c:v>
                </c:pt>
                <c:pt idx="1940">
                  <c:v>3.9309027387642124E-8</c:v>
                </c:pt>
                <c:pt idx="1941">
                  <c:v>3.9202623974760241E-8</c:v>
                </c:pt>
                <c:pt idx="1942">
                  <c:v>3.9096589037409019E-8</c:v>
                </c:pt>
                <c:pt idx="1943">
                  <c:v>3.8990873661230438E-8</c:v>
                </c:pt>
                <c:pt idx="1944">
                  <c:v>3.8885512187840149E-8</c:v>
                </c:pt>
                <c:pt idx="1945">
                  <c:v>3.8780456256523783E-8</c:v>
                </c:pt>
                <c:pt idx="1946">
                  <c:v>3.8675801209291698E-8</c:v>
                </c:pt>
                <c:pt idx="1947">
                  <c:v>3.8571437003404184E-8</c:v>
                </c:pt>
                <c:pt idx="1948">
                  <c:v>3.8467467003662606E-8</c:v>
                </c:pt>
                <c:pt idx="1949">
                  <c:v>3.8363773606231899E-8</c:v>
                </c:pt>
                <c:pt idx="1950">
                  <c:v>3.8260460226467534E-8</c:v>
                </c:pt>
                <c:pt idx="1951">
                  <c:v>3.8157478586594909E-8</c:v>
                </c:pt>
                <c:pt idx="1952">
                  <c:v>3.8054861891878231E-8</c:v>
                </c:pt>
                <c:pt idx="1953">
                  <c:v>3.7952562421010145E-8</c:v>
                </c:pt>
                <c:pt idx="1954">
                  <c:v>3.7850621312146128E-8</c:v>
                </c:pt>
                <c:pt idx="1955">
                  <c:v>3.7748983365281245E-8</c:v>
                </c:pt>
                <c:pt idx="1956">
                  <c:v>3.7647689786565069E-8</c:v>
                </c:pt>
                <c:pt idx="1957">
                  <c:v>3.7546693709162688E-8</c:v>
                </c:pt>
                <c:pt idx="1958">
                  <c:v>3.7446028430178347E-8</c:v>
                </c:pt>
                <c:pt idx="1959">
                  <c:v>3.7345647602258609E-8</c:v>
                </c:pt>
                <c:pt idx="1960">
                  <c:v>3.7245645391064422E-8</c:v>
                </c:pt>
                <c:pt idx="1961">
                  <c:v>3.7145913856293118E-8</c:v>
                </c:pt>
                <c:pt idx="1962">
                  <c:v>3.7046547247105701E-8</c:v>
                </c:pt>
                <c:pt idx="1963">
                  <c:v>3.6947445819916603E-8</c:v>
                </c:pt>
                <c:pt idx="1964">
                  <c:v>3.6848703684014173E-8</c:v>
                </c:pt>
                <c:pt idx="1965">
                  <c:v>3.6750266863214003E-8</c:v>
                </c:pt>
                <c:pt idx="1966">
                  <c:v>3.6652114565075432E-8</c:v>
                </c:pt>
                <c:pt idx="1967">
                  <c:v>3.6554301495106147E-8</c:v>
                </c:pt>
                <c:pt idx="1968">
                  <c:v>3.6456789641181563E-8</c:v>
                </c:pt>
                <c:pt idx="1969">
                  <c:v>3.6359603485575267E-8</c:v>
                </c:pt>
                <c:pt idx="1970">
                  <c:v>3.6262697950369145E-8</c:v>
                </c:pt>
                <c:pt idx="1971">
                  <c:v>3.6166112896640891E-8</c:v>
                </c:pt>
                <c:pt idx="1972">
                  <c:v>3.6069864219016734E-8</c:v>
                </c:pt>
                <c:pt idx="1973">
                  <c:v>3.5973914635895606E-8</c:v>
                </c:pt>
                <c:pt idx="1974">
                  <c:v>3.5878227544870363E-8</c:v>
                </c:pt>
                <c:pt idx="1975">
                  <c:v>3.5782835247735836E-8</c:v>
                </c:pt>
                <c:pt idx="1976">
                  <c:v>3.5687754589278243E-8</c:v>
                </c:pt>
                <c:pt idx="1977">
                  <c:v>3.5592963383233881E-8</c:v>
                </c:pt>
                <c:pt idx="1978">
                  <c:v>3.5498471337174136E-8</c:v>
                </c:pt>
                <c:pt idx="1979">
                  <c:v>3.5404316963986246E-8</c:v>
                </c:pt>
                <c:pt idx="1980">
                  <c:v>3.531038789219477E-8</c:v>
                </c:pt>
                <c:pt idx="1981">
                  <c:v>3.5216784636746577E-8</c:v>
                </c:pt>
                <c:pt idx="1982">
                  <c:v>3.5123500268259791E-8</c:v>
                </c:pt>
                <c:pt idx="1983">
                  <c:v>3.5030491132412456E-8</c:v>
                </c:pt>
                <c:pt idx="1984">
                  <c:v>3.4937788360085806E-8</c:v>
                </c:pt>
                <c:pt idx="1985">
                  <c:v>3.4845348772902983E-8</c:v>
                </c:pt>
                <c:pt idx="1986">
                  <c:v>3.4753203576868879E-8</c:v>
                </c:pt>
                <c:pt idx="1987">
                  <c:v>3.4661317309295107E-8</c:v>
                </c:pt>
                <c:pt idx="1988">
                  <c:v>3.4569713804082701E-8</c:v>
                </c:pt>
                <c:pt idx="1989">
                  <c:v>3.4478418584681612E-8</c:v>
                </c:pt>
                <c:pt idx="1990">
                  <c:v>3.4387393705521189E-8</c:v>
                </c:pt>
                <c:pt idx="1991">
                  <c:v>3.4296604560938628E-8</c:v>
                </c:pt>
                <c:pt idx="1992">
                  <c:v>3.4206142901185234E-8</c:v>
                </c:pt>
                <c:pt idx="1993">
                  <c:v>3.411594123054467E-8</c:v>
                </c:pt>
                <c:pt idx="1994">
                  <c:v>3.4026018766437467E-8</c:v>
                </c:pt>
                <c:pt idx="1995">
                  <c:v>3.393640549955705E-8</c:v>
                </c:pt>
                <c:pt idx="1996">
                  <c:v>3.3847005834992152E-8</c:v>
                </c:pt>
                <c:pt idx="1997">
                  <c:v>3.3757904383914136E-8</c:v>
                </c:pt>
                <c:pt idx="1998">
                  <c:v>3.3669066469714937E-8</c:v>
                </c:pt>
                <c:pt idx="1999">
                  <c:v>3.3580514964380871E-8</c:v>
                </c:pt>
                <c:pt idx="2000">
                  <c:v>3.3492215608822817E-8</c:v>
                </c:pt>
              </c:numCache>
            </c:numRef>
          </c:yVal>
          <c:smooth val="0"/>
        </c:ser>
        <c:ser>
          <c:idx val="1"/>
          <c:order val="3"/>
          <c:tx>
            <c:v>Balance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MODEL!$A$2:$A$1802</c:f>
              <c:numCache>
                <c:formatCode>0.00E+00</c:formatCode>
                <c:ptCount val="1801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</c:numCache>
            </c:numRef>
          </c:xVal>
          <c:yVal>
            <c:numRef>
              <c:f>MODEL!$Q$2:$Q$1802</c:f>
              <c:numCache>
                <c:formatCode>0.00E+00</c:formatCode>
                <c:ptCount val="1801"/>
                <c:pt idx="0">
                  <c:v>1.7999999999999999E-6</c:v>
                </c:pt>
                <c:pt idx="1">
                  <c:v>1.7999999999999999E-6</c:v>
                </c:pt>
                <c:pt idx="2">
                  <c:v>1.7999999999999999E-6</c:v>
                </c:pt>
                <c:pt idx="3">
                  <c:v>1.7999999999999999E-6</c:v>
                </c:pt>
                <c:pt idx="4">
                  <c:v>1.7999999999999999E-6</c:v>
                </c:pt>
                <c:pt idx="5">
                  <c:v>1.7999999999999999E-6</c:v>
                </c:pt>
                <c:pt idx="6">
                  <c:v>1.7999999999999999E-6</c:v>
                </c:pt>
                <c:pt idx="7">
                  <c:v>1.7999999999999999E-6</c:v>
                </c:pt>
                <c:pt idx="8">
                  <c:v>1.7999999999999999E-6</c:v>
                </c:pt>
                <c:pt idx="9">
                  <c:v>1.7999999999999999E-6</c:v>
                </c:pt>
                <c:pt idx="10">
                  <c:v>1.7999999999999999E-6</c:v>
                </c:pt>
                <c:pt idx="11">
                  <c:v>1.7999999999999999E-6</c:v>
                </c:pt>
                <c:pt idx="12">
                  <c:v>1.7999999999999999E-6</c:v>
                </c:pt>
                <c:pt idx="13">
                  <c:v>1.7999999999999999E-6</c:v>
                </c:pt>
                <c:pt idx="14">
                  <c:v>1.7999999999999999E-6</c:v>
                </c:pt>
                <c:pt idx="15">
                  <c:v>1.7999999999999999E-6</c:v>
                </c:pt>
                <c:pt idx="16">
                  <c:v>1.7999999999999999E-6</c:v>
                </c:pt>
                <c:pt idx="17">
                  <c:v>1.7999999999999999E-6</c:v>
                </c:pt>
                <c:pt idx="18">
                  <c:v>1.7999999999999999E-6</c:v>
                </c:pt>
                <c:pt idx="19">
                  <c:v>1.7999999999999999E-6</c:v>
                </c:pt>
                <c:pt idx="20">
                  <c:v>1.7999999999999999E-6</c:v>
                </c:pt>
                <c:pt idx="21">
                  <c:v>1.7999999999999999E-6</c:v>
                </c:pt>
                <c:pt idx="22">
                  <c:v>1.7999999999999999E-6</c:v>
                </c:pt>
                <c:pt idx="23">
                  <c:v>1.7999999999999999E-6</c:v>
                </c:pt>
                <c:pt idx="24">
                  <c:v>1.7999999999999999E-6</c:v>
                </c:pt>
                <c:pt idx="25">
                  <c:v>1.7999999999999999E-6</c:v>
                </c:pt>
                <c:pt idx="26">
                  <c:v>1.7999999999999999E-6</c:v>
                </c:pt>
                <c:pt idx="27">
                  <c:v>1.7999999999999999E-6</c:v>
                </c:pt>
                <c:pt idx="28">
                  <c:v>1.7999999999999999E-6</c:v>
                </c:pt>
                <c:pt idx="29">
                  <c:v>1.7999999999999999E-6</c:v>
                </c:pt>
                <c:pt idx="30">
                  <c:v>1.7999999999999999E-6</c:v>
                </c:pt>
                <c:pt idx="31">
                  <c:v>1.7999999999999999E-6</c:v>
                </c:pt>
                <c:pt idx="32">
                  <c:v>1.7999999999999999E-6</c:v>
                </c:pt>
                <c:pt idx="33">
                  <c:v>1.7999999999999999E-6</c:v>
                </c:pt>
                <c:pt idx="34">
                  <c:v>1.7999999999999999E-6</c:v>
                </c:pt>
                <c:pt idx="35">
                  <c:v>1.7999999999999999E-6</c:v>
                </c:pt>
                <c:pt idx="36">
                  <c:v>1.7999999999999999E-6</c:v>
                </c:pt>
                <c:pt idx="37">
                  <c:v>1.7999999999999999E-6</c:v>
                </c:pt>
                <c:pt idx="38">
                  <c:v>1.7999999999999999E-6</c:v>
                </c:pt>
                <c:pt idx="39">
                  <c:v>1.7999999999999999E-6</c:v>
                </c:pt>
                <c:pt idx="40">
                  <c:v>1.7999999999999999E-6</c:v>
                </c:pt>
                <c:pt idx="41">
                  <c:v>1.7999999999999999E-6</c:v>
                </c:pt>
                <c:pt idx="42">
                  <c:v>1.7999999999999999E-6</c:v>
                </c:pt>
                <c:pt idx="43">
                  <c:v>1.7999999999999999E-6</c:v>
                </c:pt>
                <c:pt idx="44">
                  <c:v>1.7999999999999999E-6</c:v>
                </c:pt>
                <c:pt idx="45">
                  <c:v>1.7999999999999999E-6</c:v>
                </c:pt>
                <c:pt idx="46">
                  <c:v>1.7999999999999999E-6</c:v>
                </c:pt>
                <c:pt idx="47">
                  <c:v>1.7999999999999999E-6</c:v>
                </c:pt>
                <c:pt idx="48">
                  <c:v>1.7999999999999999E-6</c:v>
                </c:pt>
                <c:pt idx="49">
                  <c:v>1.7999999999999999E-6</c:v>
                </c:pt>
                <c:pt idx="50">
                  <c:v>1.7999999999999999E-6</c:v>
                </c:pt>
                <c:pt idx="51">
                  <c:v>1.7999999999999999E-6</c:v>
                </c:pt>
                <c:pt idx="52">
                  <c:v>1.7999999999999999E-6</c:v>
                </c:pt>
                <c:pt idx="53">
                  <c:v>1.7999999999999999E-6</c:v>
                </c:pt>
                <c:pt idx="54">
                  <c:v>1.7999999999999999E-6</c:v>
                </c:pt>
                <c:pt idx="55">
                  <c:v>1.7999999999999999E-6</c:v>
                </c:pt>
                <c:pt idx="56">
                  <c:v>1.7999999999999999E-6</c:v>
                </c:pt>
                <c:pt idx="57">
                  <c:v>1.7999999999999999E-6</c:v>
                </c:pt>
                <c:pt idx="58">
                  <c:v>1.7999999999999999E-6</c:v>
                </c:pt>
                <c:pt idx="59">
                  <c:v>1.7999999999999999E-6</c:v>
                </c:pt>
                <c:pt idx="60">
                  <c:v>1.7999999999999999E-6</c:v>
                </c:pt>
                <c:pt idx="61">
                  <c:v>1.7999999999999999E-6</c:v>
                </c:pt>
                <c:pt idx="62">
                  <c:v>1.7999999999999999E-6</c:v>
                </c:pt>
                <c:pt idx="63">
                  <c:v>1.7999999999999999E-6</c:v>
                </c:pt>
                <c:pt idx="64">
                  <c:v>1.8000000000000001E-6</c:v>
                </c:pt>
                <c:pt idx="65">
                  <c:v>1.8000000000000001E-6</c:v>
                </c:pt>
                <c:pt idx="66">
                  <c:v>1.7999999999999999E-6</c:v>
                </c:pt>
                <c:pt idx="67">
                  <c:v>1.7999999999999999E-6</c:v>
                </c:pt>
                <c:pt idx="68">
                  <c:v>1.8000000000000001E-6</c:v>
                </c:pt>
                <c:pt idx="69">
                  <c:v>1.8000000000000003E-6</c:v>
                </c:pt>
                <c:pt idx="70">
                  <c:v>1.8000000000000001E-6</c:v>
                </c:pt>
                <c:pt idx="71">
                  <c:v>1.8000000000000003E-6</c:v>
                </c:pt>
                <c:pt idx="72">
                  <c:v>1.8000000000000001E-6</c:v>
                </c:pt>
                <c:pt idx="73">
                  <c:v>1.8000000000000001E-6</c:v>
                </c:pt>
                <c:pt idx="74">
                  <c:v>1.7999999999999999E-6</c:v>
                </c:pt>
                <c:pt idx="75">
                  <c:v>1.8000000000000001E-6</c:v>
                </c:pt>
                <c:pt idx="76">
                  <c:v>1.8000000000000001E-6</c:v>
                </c:pt>
                <c:pt idx="77">
                  <c:v>1.8000000000000001E-6</c:v>
                </c:pt>
                <c:pt idx="78">
                  <c:v>1.8000000000000001E-6</c:v>
                </c:pt>
                <c:pt idx="79">
                  <c:v>1.8000000000000001E-6</c:v>
                </c:pt>
                <c:pt idx="80">
                  <c:v>1.8000000000000001E-6</c:v>
                </c:pt>
                <c:pt idx="81">
                  <c:v>1.8000000000000001E-6</c:v>
                </c:pt>
                <c:pt idx="82">
                  <c:v>1.8000000000000001E-6</c:v>
                </c:pt>
                <c:pt idx="83">
                  <c:v>1.8000000000000001E-6</c:v>
                </c:pt>
                <c:pt idx="84">
                  <c:v>1.8000000000000001E-6</c:v>
                </c:pt>
                <c:pt idx="85">
                  <c:v>1.8000000000000001E-6</c:v>
                </c:pt>
                <c:pt idx="86">
                  <c:v>1.8000000000000001E-6</c:v>
                </c:pt>
                <c:pt idx="87">
                  <c:v>1.8000000000000001E-6</c:v>
                </c:pt>
                <c:pt idx="88">
                  <c:v>1.8000000000000001E-6</c:v>
                </c:pt>
                <c:pt idx="89">
                  <c:v>1.8000000000000001E-6</c:v>
                </c:pt>
                <c:pt idx="90">
                  <c:v>1.8000000000000003E-6</c:v>
                </c:pt>
                <c:pt idx="91">
                  <c:v>1.8000000000000003E-6</c:v>
                </c:pt>
                <c:pt idx="92">
                  <c:v>1.8000000000000006E-6</c:v>
                </c:pt>
                <c:pt idx="93">
                  <c:v>1.8000000000000006E-6</c:v>
                </c:pt>
                <c:pt idx="94">
                  <c:v>1.8000000000000003E-6</c:v>
                </c:pt>
                <c:pt idx="95">
                  <c:v>1.8000000000000003E-6</c:v>
                </c:pt>
                <c:pt idx="96">
                  <c:v>1.8000000000000006E-6</c:v>
                </c:pt>
                <c:pt idx="97">
                  <c:v>1.8000000000000001E-6</c:v>
                </c:pt>
                <c:pt idx="98">
                  <c:v>1.8000000000000006E-6</c:v>
                </c:pt>
                <c:pt idx="99">
                  <c:v>1.8000000000000006E-6</c:v>
                </c:pt>
                <c:pt idx="100">
                  <c:v>1.8000000000000003E-6</c:v>
                </c:pt>
                <c:pt idx="101">
                  <c:v>1.8000000000000003E-6</c:v>
                </c:pt>
                <c:pt idx="102">
                  <c:v>1.8000000000000001E-6</c:v>
                </c:pt>
                <c:pt idx="103">
                  <c:v>1.8000000000000003E-6</c:v>
                </c:pt>
                <c:pt idx="104">
                  <c:v>1.8000000000000003E-6</c:v>
                </c:pt>
                <c:pt idx="105">
                  <c:v>1.8000000000000003E-6</c:v>
                </c:pt>
                <c:pt idx="106">
                  <c:v>1.8000000000000001E-6</c:v>
                </c:pt>
                <c:pt idx="107">
                  <c:v>1.8000000000000001E-6</c:v>
                </c:pt>
                <c:pt idx="108">
                  <c:v>1.8000000000000001E-6</c:v>
                </c:pt>
                <c:pt idx="109">
                  <c:v>1.8000000000000001E-6</c:v>
                </c:pt>
                <c:pt idx="110">
                  <c:v>1.7999999999999999E-6</c:v>
                </c:pt>
                <c:pt idx="111">
                  <c:v>1.7999999999999999E-6</c:v>
                </c:pt>
                <c:pt idx="112">
                  <c:v>1.7999999999999999E-6</c:v>
                </c:pt>
                <c:pt idx="113">
                  <c:v>1.8000000000000001E-6</c:v>
                </c:pt>
                <c:pt idx="114">
                  <c:v>1.8000000000000001E-6</c:v>
                </c:pt>
                <c:pt idx="115">
                  <c:v>1.8000000000000001E-6</c:v>
                </c:pt>
                <c:pt idx="116">
                  <c:v>1.8000000000000001E-6</c:v>
                </c:pt>
                <c:pt idx="117">
                  <c:v>1.8000000000000001E-6</c:v>
                </c:pt>
                <c:pt idx="118">
                  <c:v>1.8000000000000001E-6</c:v>
                </c:pt>
                <c:pt idx="119">
                  <c:v>1.8000000000000001E-6</c:v>
                </c:pt>
                <c:pt idx="120">
                  <c:v>1.7999999999999999E-6</c:v>
                </c:pt>
                <c:pt idx="121">
                  <c:v>1.7999999999999999E-6</c:v>
                </c:pt>
                <c:pt idx="122">
                  <c:v>1.7999999999999997E-6</c:v>
                </c:pt>
                <c:pt idx="123">
                  <c:v>1.7999999999999997E-6</c:v>
                </c:pt>
                <c:pt idx="124">
                  <c:v>1.7999999999999999E-6</c:v>
                </c:pt>
                <c:pt idx="125">
                  <c:v>1.7999999999999997E-6</c:v>
                </c:pt>
                <c:pt idx="126">
                  <c:v>1.7999999999999997E-6</c:v>
                </c:pt>
                <c:pt idx="127">
                  <c:v>1.7999999999999997E-6</c:v>
                </c:pt>
                <c:pt idx="128">
                  <c:v>1.7999999999999997E-6</c:v>
                </c:pt>
                <c:pt idx="129">
                  <c:v>1.7999999999999997E-6</c:v>
                </c:pt>
                <c:pt idx="130">
                  <c:v>1.7999999999999997E-6</c:v>
                </c:pt>
                <c:pt idx="131">
                  <c:v>1.7999999999999997E-6</c:v>
                </c:pt>
                <c:pt idx="132">
                  <c:v>1.7999999999999997E-6</c:v>
                </c:pt>
                <c:pt idx="133">
                  <c:v>1.7999999999999997E-6</c:v>
                </c:pt>
                <c:pt idx="134">
                  <c:v>1.7999999999999999E-6</c:v>
                </c:pt>
                <c:pt idx="135">
                  <c:v>1.7999999999999997E-6</c:v>
                </c:pt>
                <c:pt idx="136">
                  <c:v>1.7999999999999997E-6</c:v>
                </c:pt>
                <c:pt idx="137">
                  <c:v>1.7999999999999999E-6</c:v>
                </c:pt>
                <c:pt idx="138">
                  <c:v>1.8000000000000001E-6</c:v>
                </c:pt>
                <c:pt idx="139">
                  <c:v>1.7999999999999997E-6</c:v>
                </c:pt>
                <c:pt idx="140">
                  <c:v>1.7999999999999997E-6</c:v>
                </c:pt>
                <c:pt idx="141">
                  <c:v>1.7999999999999999E-6</c:v>
                </c:pt>
                <c:pt idx="142">
                  <c:v>1.7999999999999999E-6</c:v>
                </c:pt>
                <c:pt idx="143">
                  <c:v>1.8000000000000001E-6</c:v>
                </c:pt>
                <c:pt idx="144">
                  <c:v>1.8000000000000001E-6</c:v>
                </c:pt>
                <c:pt idx="145">
                  <c:v>1.8000000000000001E-6</c:v>
                </c:pt>
                <c:pt idx="146">
                  <c:v>1.8000000000000001E-6</c:v>
                </c:pt>
                <c:pt idx="147">
                  <c:v>1.8000000000000001E-6</c:v>
                </c:pt>
                <c:pt idx="148">
                  <c:v>1.8000000000000003E-6</c:v>
                </c:pt>
                <c:pt idx="149">
                  <c:v>1.8000000000000001E-6</c:v>
                </c:pt>
                <c:pt idx="150">
                  <c:v>1.8000000000000001E-6</c:v>
                </c:pt>
                <c:pt idx="151">
                  <c:v>1.8000000000000001E-6</c:v>
                </c:pt>
                <c:pt idx="152">
                  <c:v>1.7999999999999999E-6</c:v>
                </c:pt>
                <c:pt idx="153">
                  <c:v>1.7999999999999999E-6</c:v>
                </c:pt>
                <c:pt idx="154">
                  <c:v>1.7999999999999999E-6</c:v>
                </c:pt>
                <c:pt idx="155">
                  <c:v>1.7999999999999999E-6</c:v>
                </c:pt>
                <c:pt idx="156">
                  <c:v>1.7999999999999997E-6</c:v>
                </c:pt>
                <c:pt idx="157">
                  <c:v>1.7999999999999997E-6</c:v>
                </c:pt>
                <c:pt idx="158">
                  <c:v>1.7999999999999997E-6</c:v>
                </c:pt>
                <c:pt idx="159">
                  <c:v>1.7999999999999997E-6</c:v>
                </c:pt>
                <c:pt idx="160">
                  <c:v>1.7999999999999999E-6</c:v>
                </c:pt>
                <c:pt idx="161">
                  <c:v>1.8000000000000001E-6</c:v>
                </c:pt>
                <c:pt idx="162">
                  <c:v>1.8000000000000001E-6</c:v>
                </c:pt>
                <c:pt idx="163">
                  <c:v>1.8000000000000001E-6</c:v>
                </c:pt>
                <c:pt idx="164">
                  <c:v>1.8000000000000001E-6</c:v>
                </c:pt>
                <c:pt idx="165">
                  <c:v>1.8000000000000001E-6</c:v>
                </c:pt>
                <c:pt idx="166">
                  <c:v>1.8000000000000001E-6</c:v>
                </c:pt>
                <c:pt idx="167">
                  <c:v>1.8000000000000001E-6</c:v>
                </c:pt>
                <c:pt idx="168">
                  <c:v>1.8000000000000001E-6</c:v>
                </c:pt>
                <c:pt idx="169">
                  <c:v>1.8000000000000001E-6</c:v>
                </c:pt>
                <c:pt idx="170">
                  <c:v>1.8000000000000001E-6</c:v>
                </c:pt>
                <c:pt idx="171">
                  <c:v>1.8000000000000001E-6</c:v>
                </c:pt>
                <c:pt idx="172">
                  <c:v>1.7999999999999999E-6</c:v>
                </c:pt>
                <c:pt idx="173">
                  <c:v>1.8000000000000001E-6</c:v>
                </c:pt>
                <c:pt idx="174">
                  <c:v>1.8000000000000001E-6</c:v>
                </c:pt>
                <c:pt idx="175">
                  <c:v>1.7999999999999999E-6</c:v>
                </c:pt>
                <c:pt idx="176">
                  <c:v>1.7999999999999999E-6</c:v>
                </c:pt>
                <c:pt idx="177">
                  <c:v>1.7999999999999999E-6</c:v>
                </c:pt>
                <c:pt idx="178">
                  <c:v>1.8000000000000001E-6</c:v>
                </c:pt>
                <c:pt idx="179">
                  <c:v>1.8000000000000001E-6</c:v>
                </c:pt>
                <c:pt idx="180">
                  <c:v>1.8000000000000001E-6</c:v>
                </c:pt>
                <c:pt idx="181">
                  <c:v>1.8000000000000001E-6</c:v>
                </c:pt>
                <c:pt idx="182">
                  <c:v>1.8000000000000001E-6</c:v>
                </c:pt>
                <c:pt idx="183">
                  <c:v>1.8000000000000001E-6</c:v>
                </c:pt>
                <c:pt idx="184">
                  <c:v>1.8000000000000001E-6</c:v>
                </c:pt>
                <c:pt idx="185">
                  <c:v>1.7999999999999999E-6</c:v>
                </c:pt>
                <c:pt idx="186">
                  <c:v>1.7999999999999999E-6</c:v>
                </c:pt>
                <c:pt idx="187">
                  <c:v>1.7999999999999997E-6</c:v>
                </c:pt>
                <c:pt idx="188">
                  <c:v>1.7999999999999997E-6</c:v>
                </c:pt>
                <c:pt idx="189">
                  <c:v>1.7999999999999997E-6</c:v>
                </c:pt>
                <c:pt idx="190">
                  <c:v>1.7999999999999997E-6</c:v>
                </c:pt>
                <c:pt idx="191">
                  <c:v>1.7999999999999997E-6</c:v>
                </c:pt>
                <c:pt idx="192">
                  <c:v>1.7999999999999997E-6</c:v>
                </c:pt>
                <c:pt idx="193">
                  <c:v>1.7999999999999997E-6</c:v>
                </c:pt>
                <c:pt idx="194">
                  <c:v>1.7999999999999995E-6</c:v>
                </c:pt>
                <c:pt idx="195">
                  <c:v>1.7999999999999997E-6</c:v>
                </c:pt>
                <c:pt idx="196">
                  <c:v>1.7999999999999997E-6</c:v>
                </c:pt>
                <c:pt idx="197">
                  <c:v>1.7999999999999997E-6</c:v>
                </c:pt>
                <c:pt idx="198">
                  <c:v>1.7999999999999997E-6</c:v>
                </c:pt>
                <c:pt idx="199">
                  <c:v>1.7999999999999997E-6</c:v>
                </c:pt>
                <c:pt idx="200">
                  <c:v>1.7999999999999997E-6</c:v>
                </c:pt>
                <c:pt idx="201">
                  <c:v>1.7999999999999997E-6</c:v>
                </c:pt>
                <c:pt idx="202">
                  <c:v>1.7999999999999997E-6</c:v>
                </c:pt>
                <c:pt idx="203">
                  <c:v>1.7999999999999997E-6</c:v>
                </c:pt>
                <c:pt idx="204">
                  <c:v>1.7999999999999997E-6</c:v>
                </c:pt>
                <c:pt idx="205">
                  <c:v>1.7999999999999997E-6</c:v>
                </c:pt>
                <c:pt idx="206">
                  <c:v>1.7999999999999997E-6</c:v>
                </c:pt>
                <c:pt idx="207">
                  <c:v>1.7999999999999997E-6</c:v>
                </c:pt>
                <c:pt idx="208">
                  <c:v>1.7999999999999997E-6</c:v>
                </c:pt>
                <c:pt idx="209">
                  <c:v>1.7999999999999997E-6</c:v>
                </c:pt>
                <c:pt idx="210">
                  <c:v>1.7999999999999999E-6</c:v>
                </c:pt>
                <c:pt idx="211">
                  <c:v>1.8000000000000001E-6</c:v>
                </c:pt>
                <c:pt idx="212">
                  <c:v>1.8000000000000001E-6</c:v>
                </c:pt>
                <c:pt idx="213">
                  <c:v>1.8000000000000001E-6</c:v>
                </c:pt>
                <c:pt idx="214">
                  <c:v>1.7999999999999997E-6</c:v>
                </c:pt>
                <c:pt idx="215">
                  <c:v>1.7999999999999997E-6</c:v>
                </c:pt>
                <c:pt idx="216">
                  <c:v>1.7999999999999997E-6</c:v>
                </c:pt>
                <c:pt idx="217">
                  <c:v>1.7999999999999997E-6</c:v>
                </c:pt>
                <c:pt idx="218">
                  <c:v>1.7999999999999995E-6</c:v>
                </c:pt>
                <c:pt idx="219">
                  <c:v>1.7999999999999995E-6</c:v>
                </c:pt>
                <c:pt idx="220">
                  <c:v>1.7999999999999997E-6</c:v>
                </c:pt>
                <c:pt idx="221">
                  <c:v>1.7999999999999999E-6</c:v>
                </c:pt>
                <c:pt idx="222">
                  <c:v>1.7999999999999999E-6</c:v>
                </c:pt>
                <c:pt idx="223">
                  <c:v>1.7999999999999997E-6</c:v>
                </c:pt>
                <c:pt idx="224">
                  <c:v>1.8000000000000001E-6</c:v>
                </c:pt>
                <c:pt idx="225">
                  <c:v>1.7999999999999999E-6</c:v>
                </c:pt>
                <c:pt idx="226">
                  <c:v>1.7999999999999999E-6</c:v>
                </c:pt>
                <c:pt idx="227">
                  <c:v>1.8000000000000001E-6</c:v>
                </c:pt>
                <c:pt idx="228">
                  <c:v>1.7999999999999999E-6</c:v>
                </c:pt>
                <c:pt idx="229">
                  <c:v>1.7999999999999997E-6</c:v>
                </c:pt>
                <c:pt idx="230">
                  <c:v>1.7999999999999997E-6</c:v>
                </c:pt>
                <c:pt idx="231">
                  <c:v>1.7999999999999997E-6</c:v>
                </c:pt>
                <c:pt idx="232">
                  <c:v>1.7999999999999997E-6</c:v>
                </c:pt>
                <c:pt idx="233">
                  <c:v>1.7999999999999997E-6</c:v>
                </c:pt>
                <c:pt idx="234">
                  <c:v>1.7999999999999997E-6</c:v>
                </c:pt>
                <c:pt idx="235">
                  <c:v>1.7999999999999997E-6</c:v>
                </c:pt>
                <c:pt idx="236">
                  <c:v>1.7999999999999997E-6</c:v>
                </c:pt>
                <c:pt idx="237">
                  <c:v>1.7999999999999997E-6</c:v>
                </c:pt>
                <c:pt idx="238">
                  <c:v>1.7999999999999997E-6</c:v>
                </c:pt>
                <c:pt idx="239">
                  <c:v>1.7999999999999997E-6</c:v>
                </c:pt>
                <c:pt idx="240">
                  <c:v>1.7999999999999997E-6</c:v>
                </c:pt>
                <c:pt idx="241">
                  <c:v>1.7999999999999997E-6</c:v>
                </c:pt>
                <c:pt idx="242">
                  <c:v>1.7999999999999997E-6</c:v>
                </c:pt>
                <c:pt idx="243">
                  <c:v>1.7999999999999997E-6</c:v>
                </c:pt>
                <c:pt idx="244">
                  <c:v>1.7999999999999997E-6</c:v>
                </c:pt>
                <c:pt idx="245">
                  <c:v>1.7999999999999997E-6</c:v>
                </c:pt>
                <c:pt idx="246">
                  <c:v>1.7999999999999997E-6</c:v>
                </c:pt>
                <c:pt idx="247">
                  <c:v>1.7999999999999997E-6</c:v>
                </c:pt>
                <c:pt idx="248">
                  <c:v>1.7999999999999997E-6</c:v>
                </c:pt>
                <c:pt idx="249">
                  <c:v>1.7999999999999997E-6</c:v>
                </c:pt>
                <c:pt idx="250">
                  <c:v>1.7999999999999997E-6</c:v>
                </c:pt>
                <c:pt idx="251">
                  <c:v>1.7999999999999997E-6</c:v>
                </c:pt>
                <c:pt idx="252">
                  <c:v>1.7999999999999997E-6</c:v>
                </c:pt>
                <c:pt idx="253">
                  <c:v>1.7999999999999999E-6</c:v>
                </c:pt>
                <c:pt idx="254">
                  <c:v>1.7999999999999999E-6</c:v>
                </c:pt>
                <c:pt idx="255">
                  <c:v>1.8000000000000001E-6</c:v>
                </c:pt>
                <c:pt idx="256">
                  <c:v>1.8000000000000001E-6</c:v>
                </c:pt>
                <c:pt idx="257">
                  <c:v>1.8000000000000001E-6</c:v>
                </c:pt>
                <c:pt idx="258">
                  <c:v>1.8000000000000001E-6</c:v>
                </c:pt>
                <c:pt idx="259">
                  <c:v>1.8000000000000001E-6</c:v>
                </c:pt>
                <c:pt idx="260">
                  <c:v>1.8000000000000001E-6</c:v>
                </c:pt>
                <c:pt idx="261">
                  <c:v>1.8000000000000001E-6</c:v>
                </c:pt>
                <c:pt idx="262">
                  <c:v>1.8000000000000001E-6</c:v>
                </c:pt>
                <c:pt idx="263">
                  <c:v>1.8000000000000001E-6</c:v>
                </c:pt>
                <c:pt idx="264">
                  <c:v>1.8000000000000006E-6</c:v>
                </c:pt>
                <c:pt idx="265">
                  <c:v>1.8000000000000003E-6</c:v>
                </c:pt>
                <c:pt idx="266">
                  <c:v>1.8000000000000006E-6</c:v>
                </c:pt>
                <c:pt idx="267">
                  <c:v>1.8000000000000008E-6</c:v>
                </c:pt>
                <c:pt idx="268">
                  <c:v>1.8000000000000006E-6</c:v>
                </c:pt>
                <c:pt idx="269">
                  <c:v>1.8000000000000006E-6</c:v>
                </c:pt>
                <c:pt idx="270">
                  <c:v>1.8000000000000006E-6</c:v>
                </c:pt>
                <c:pt idx="271">
                  <c:v>1.8000000000000006E-6</c:v>
                </c:pt>
                <c:pt idx="272">
                  <c:v>1.8000000000000006E-6</c:v>
                </c:pt>
                <c:pt idx="273">
                  <c:v>1.8000000000000008E-6</c:v>
                </c:pt>
                <c:pt idx="274">
                  <c:v>1.8000000000000008E-6</c:v>
                </c:pt>
                <c:pt idx="275">
                  <c:v>1.8000000000000008E-6</c:v>
                </c:pt>
                <c:pt idx="276">
                  <c:v>1.800000000000001E-6</c:v>
                </c:pt>
                <c:pt idx="277">
                  <c:v>1.800000000000001E-6</c:v>
                </c:pt>
                <c:pt idx="278">
                  <c:v>1.800000000000001E-6</c:v>
                </c:pt>
                <c:pt idx="279">
                  <c:v>1.8000000000000008E-6</c:v>
                </c:pt>
                <c:pt idx="280">
                  <c:v>1.800000000000001E-6</c:v>
                </c:pt>
                <c:pt idx="281">
                  <c:v>1.8000000000000008E-6</c:v>
                </c:pt>
                <c:pt idx="282">
                  <c:v>1.8000000000000008E-6</c:v>
                </c:pt>
                <c:pt idx="283">
                  <c:v>1.8000000000000008E-6</c:v>
                </c:pt>
                <c:pt idx="284">
                  <c:v>1.800000000000001E-6</c:v>
                </c:pt>
                <c:pt idx="285">
                  <c:v>1.8000000000000008E-6</c:v>
                </c:pt>
                <c:pt idx="286">
                  <c:v>1.800000000000001E-6</c:v>
                </c:pt>
                <c:pt idx="287">
                  <c:v>1.8000000000000008E-6</c:v>
                </c:pt>
                <c:pt idx="288">
                  <c:v>1.8000000000000006E-6</c:v>
                </c:pt>
                <c:pt idx="289">
                  <c:v>1.8000000000000006E-6</c:v>
                </c:pt>
                <c:pt idx="290">
                  <c:v>1.8000000000000006E-6</c:v>
                </c:pt>
                <c:pt idx="291">
                  <c:v>1.8000000000000006E-6</c:v>
                </c:pt>
                <c:pt idx="292">
                  <c:v>1.8000000000000006E-6</c:v>
                </c:pt>
                <c:pt idx="293">
                  <c:v>1.8000000000000001E-6</c:v>
                </c:pt>
                <c:pt idx="294">
                  <c:v>1.8000000000000001E-6</c:v>
                </c:pt>
                <c:pt idx="295">
                  <c:v>1.7999999999999999E-6</c:v>
                </c:pt>
                <c:pt idx="296">
                  <c:v>1.7999999999999997E-6</c:v>
                </c:pt>
                <c:pt idx="297">
                  <c:v>1.7999999999999997E-6</c:v>
                </c:pt>
                <c:pt idx="298">
                  <c:v>1.7999999999999999E-6</c:v>
                </c:pt>
                <c:pt idx="299">
                  <c:v>1.7999999999999999E-6</c:v>
                </c:pt>
                <c:pt idx="300">
                  <c:v>1.8000000000000001E-6</c:v>
                </c:pt>
                <c:pt idx="301">
                  <c:v>1.8000000000000001E-6</c:v>
                </c:pt>
                <c:pt idx="302">
                  <c:v>1.8000000000000001E-6</c:v>
                </c:pt>
                <c:pt idx="303">
                  <c:v>1.8000000000000001E-6</c:v>
                </c:pt>
                <c:pt idx="304">
                  <c:v>1.8000000000000001E-6</c:v>
                </c:pt>
                <c:pt idx="305">
                  <c:v>1.8000000000000001E-6</c:v>
                </c:pt>
                <c:pt idx="306">
                  <c:v>1.8000000000000001E-6</c:v>
                </c:pt>
                <c:pt idx="307">
                  <c:v>1.7999999999999999E-6</c:v>
                </c:pt>
                <c:pt idx="308">
                  <c:v>1.7999999999999999E-6</c:v>
                </c:pt>
                <c:pt idx="309">
                  <c:v>1.8000000000000001E-6</c:v>
                </c:pt>
                <c:pt idx="310">
                  <c:v>1.8000000000000001E-6</c:v>
                </c:pt>
                <c:pt idx="311">
                  <c:v>1.8000000000000001E-6</c:v>
                </c:pt>
                <c:pt idx="312">
                  <c:v>1.8000000000000003E-6</c:v>
                </c:pt>
                <c:pt idx="313">
                  <c:v>1.8000000000000003E-6</c:v>
                </c:pt>
                <c:pt idx="314">
                  <c:v>1.8000000000000006E-6</c:v>
                </c:pt>
                <c:pt idx="315">
                  <c:v>1.8000000000000006E-6</c:v>
                </c:pt>
                <c:pt idx="316">
                  <c:v>1.8000000000000006E-6</c:v>
                </c:pt>
                <c:pt idx="317">
                  <c:v>1.8000000000000003E-6</c:v>
                </c:pt>
                <c:pt idx="318">
                  <c:v>1.8000000000000003E-6</c:v>
                </c:pt>
                <c:pt idx="319">
                  <c:v>1.8000000000000006E-6</c:v>
                </c:pt>
                <c:pt idx="320">
                  <c:v>1.8000000000000006E-6</c:v>
                </c:pt>
                <c:pt idx="321">
                  <c:v>1.8000000000000006E-6</c:v>
                </c:pt>
                <c:pt idx="322">
                  <c:v>1.8000000000000006E-6</c:v>
                </c:pt>
                <c:pt idx="323">
                  <c:v>1.8000000000000006E-6</c:v>
                </c:pt>
                <c:pt idx="324">
                  <c:v>1.8000000000000006E-6</c:v>
                </c:pt>
                <c:pt idx="325">
                  <c:v>1.8000000000000006E-6</c:v>
                </c:pt>
                <c:pt idx="326">
                  <c:v>1.8000000000000003E-6</c:v>
                </c:pt>
                <c:pt idx="327">
                  <c:v>1.8000000000000006E-6</c:v>
                </c:pt>
                <c:pt idx="328">
                  <c:v>1.8000000000000006E-6</c:v>
                </c:pt>
                <c:pt idx="329">
                  <c:v>1.8000000000000006E-6</c:v>
                </c:pt>
                <c:pt idx="330">
                  <c:v>1.8000000000000006E-6</c:v>
                </c:pt>
                <c:pt idx="331">
                  <c:v>1.8000000000000006E-6</c:v>
                </c:pt>
                <c:pt idx="332">
                  <c:v>1.8000000000000008E-6</c:v>
                </c:pt>
                <c:pt idx="333">
                  <c:v>1.800000000000001E-6</c:v>
                </c:pt>
                <c:pt idx="334">
                  <c:v>1.800000000000001E-6</c:v>
                </c:pt>
                <c:pt idx="335">
                  <c:v>1.800000000000001E-6</c:v>
                </c:pt>
                <c:pt idx="336">
                  <c:v>1.800000000000001E-6</c:v>
                </c:pt>
                <c:pt idx="337">
                  <c:v>1.8000000000000008E-6</c:v>
                </c:pt>
                <c:pt idx="338">
                  <c:v>1.8000000000000006E-6</c:v>
                </c:pt>
                <c:pt idx="339">
                  <c:v>1.8000000000000008E-6</c:v>
                </c:pt>
                <c:pt idx="340">
                  <c:v>1.8000000000000006E-6</c:v>
                </c:pt>
                <c:pt idx="341">
                  <c:v>1.8000000000000006E-6</c:v>
                </c:pt>
                <c:pt idx="342">
                  <c:v>1.8000000000000006E-6</c:v>
                </c:pt>
                <c:pt idx="343">
                  <c:v>1.8000000000000006E-6</c:v>
                </c:pt>
                <c:pt idx="344">
                  <c:v>1.8000000000000003E-6</c:v>
                </c:pt>
                <c:pt idx="345">
                  <c:v>1.8000000000000003E-6</c:v>
                </c:pt>
                <c:pt idx="346">
                  <c:v>1.8000000000000003E-6</c:v>
                </c:pt>
                <c:pt idx="347">
                  <c:v>1.8000000000000003E-6</c:v>
                </c:pt>
                <c:pt idx="348">
                  <c:v>1.8000000000000003E-6</c:v>
                </c:pt>
                <c:pt idx="349">
                  <c:v>1.8000000000000003E-6</c:v>
                </c:pt>
                <c:pt idx="350">
                  <c:v>1.8000000000000003E-6</c:v>
                </c:pt>
                <c:pt idx="351">
                  <c:v>1.8000000000000001E-6</c:v>
                </c:pt>
                <c:pt idx="352">
                  <c:v>1.8000000000000001E-6</c:v>
                </c:pt>
                <c:pt idx="353">
                  <c:v>1.8000000000000001E-6</c:v>
                </c:pt>
                <c:pt idx="354">
                  <c:v>1.8000000000000001E-6</c:v>
                </c:pt>
                <c:pt idx="355">
                  <c:v>1.8000000000000001E-6</c:v>
                </c:pt>
                <c:pt idx="356">
                  <c:v>1.8000000000000001E-6</c:v>
                </c:pt>
                <c:pt idx="357">
                  <c:v>1.8000000000000001E-6</c:v>
                </c:pt>
                <c:pt idx="358">
                  <c:v>1.8000000000000001E-6</c:v>
                </c:pt>
                <c:pt idx="359">
                  <c:v>1.8000000000000001E-6</c:v>
                </c:pt>
                <c:pt idx="360">
                  <c:v>1.8000000000000001E-6</c:v>
                </c:pt>
                <c:pt idx="361">
                  <c:v>1.8000000000000001E-6</c:v>
                </c:pt>
                <c:pt idx="362">
                  <c:v>1.8000000000000001E-6</c:v>
                </c:pt>
                <c:pt idx="363">
                  <c:v>1.8000000000000001E-6</c:v>
                </c:pt>
                <c:pt idx="364">
                  <c:v>1.8000000000000003E-6</c:v>
                </c:pt>
                <c:pt idx="365">
                  <c:v>1.8000000000000003E-6</c:v>
                </c:pt>
                <c:pt idx="366">
                  <c:v>1.8000000000000001E-6</c:v>
                </c:pt>
                <c:pt idx="367">
                  <c:v>1.8000000000000003E-6</c:v>
                </c:pt>
                <c:pt idx="368">
                  <c:v>1.8000000000000006E-6</c:v>
                </c:pt>
                <c:pt idx="369">
                  <c:v>1.8000000000000006E-6</c:v>
                </c:pt>
                <c:pt idx="370">
                  <c:v>1.8000000000000003E-6</c:v>
                </c:pt>
                <c:pt idx="371">
                  <c:v>1.8000000000000003E-6</c:v>
                </c:pt>
                <c:pt idx="372">
                  <c:v>1.8000000000000003E-6</c:v>
                </c:pt>
                <c:pt idx="373">
                  <c:v>1.8000000000000001E-6</c:v>
                </c:pt>
                <c:pt idx="374">
                  <c:v>1.8000000000000001E-6</c:v>
                </c:pt>
                <c:pt idx="375">
                  <c:v>1.8000000000000003E-6</c:v>
                </c:pt>
                <c:pt idx="376">
                  <c:v>1.8000000000000003E-6</c:v>
                </c:pt>
                <c:pt idx="377">
                  <c:v>1.8000000000000003E-6</c:v>
                </c:pt>
                <c:pt idx="378">
                  <c:v>1.8000000000000001E-6</c:v>
                </c:pt>
                <c:pt idx="379">
                  <c:v>1.8000000000000001E-6</c:v>
                </c:pt>
                <c:pt idx="380">
                  <c:v>1.8000000000000001E-6</c:v>
                </c:pt>
                <c:pt idx="381">
                  <c:v>1.8000000000000001E-6</c:v>
                </c:pt>
                <c:pt idx="382">
                  <c:v>1.8000000000000001E-6</c:v>
                </c:pt>
                <c:pt idx="383">
                  <c:v>1.8000000000000001E-6</c:v>
                </c:pt>
                <c:pt idx="384">
                  <c:v>1.8000000000000003E-6</c:v>
                </c:pt>
                <c:pt idx="385">
                  <c:v>1.8000000000000003E-6</c:v>
                </c:pt>
                <c:pt idx="386">
                  <c:v>1.8000000000000003E-6</c:v>
                </c:pt>
                <c:pt idx="387">
                  <c:v>1.8000000000000006E-6</c:v>
                </c:pt>
                <c:pt idx="388">
                  <c:v>1.8000000000000006E-6</c:v>
                </c:pt>
                <c:pt idx="389">
                  <c:v>1.8000000000000003E-6</c:v>
                </c:pt>
                <c:pt idx="390">
                  <c:v>1.8000000000000003E-6</c:v>
                </c:pt>
                <c:pt idx="391">
                  <c:v>1.8000000000000001E-6</c:v>
                </c:pt>
                <c:pt idx="392">
                  <c:v>1.8000000000000001E-6</c:v>
                </c:pt>
                <c:pt idx="393">
                  <c:v>1.8000000000000001E-6</c:v>
                </c:pt>
                <c:pt idx="394">
                  <c:v>1.8000000000000001E-6</c:v>
                </c:pt>
                <c:pt idx="395">
                  <c:v>1.8000000000000001E-6</c:v>
                </c:pt>
                <c:pt idx="396">
                  <c:v>1.8000000000000001E-6</c:v>
                </c:pt>
                <c:pt idx="397">
                  <c:v>1.8000000000000003E-6</c:v>
                </c:pt>
                <c:pt idx="398">
                  <c:v>1.8000000000000003E-6</c:v>
                </c:pt>
                <c:pt idx="399">
                  <c:v>1.8000000000000006E-6</c:v>
                </c:pt>
                <c:pt idx="400">
                  <c:v>1.8000000000000006E-6</c:v>
                </c:pt>
                <c:pt idx="401">
                  <c:v>1.8000000000000006E-6</c:v>
                </c:pt>
                <c:pt idx="402">
                  <c:v>1.8000000000000006E-6</c:v>
                </c:pt>
                <c:pt idx="403">
                  <c:v>1.8000000000000006E-6</c:v>
                </c:pt>
                <c:pt idx="404">
                  <c:v>1.8000000000000006E-6</c:v>
                </c:pt>
                <c:pt idx="405">
                  <c:v>1.8000000000000006E-6</c:v>
                </c:pt>
                <c:pt idx="406">
                  <c:v>1.8000000000000003E-6</c:v>
                </c:pt>
                <c:pt idx="407">
                  <c:v>1.8000000000000006E-6</c:v>
                </c:pt>
                <c:pt idx="408">
                  <c:v>1.8000000000000006E-6</c:v>
                </c:pt>
                <c:pt idx="409">
                  <c:v>1.8000000000000006E-6</c:v>
                </c:pt>
                <c:pt idx="410">
                  <c:v>1.8000000000000006E-6</c:v>
                </c:pt>
                <c:pt idx="411">
                  <c:v>1.8000000000000003E-6</c:v>
                </c:pt>
                <c:pt idx="412">
                  <c:v>1.8000000000000001E-6</c:v>
                </c:pt>
                <c:pt idx="413">
                  <c:v>1.8000000000000001E-6</c:v>
                </c:pt>
                <c:pt idx="414">
                  <c:v>1.8000000000000001E-6</c:v>
                </c:pt>
                <c:pt idx="415">
                  <c:v>1.8000000000000001E-6</c:v>
                </c:pt>
                <c:pt idx="416">
                  <c:v>1.8000000000000001E-6</c:v>
                </c:pt>
                <c:pt idx="417">
                  <c:v>1.8000000000000001E-6</c:v>
                </c:pt>
                <c:pt idx="418">
                  <c:v>1.8000000000000003E-6</c:v>
                </c:pt>
                <c:pt idx="419">
                  <c:v>1.8000000000000003E-6</c:v>
                </c:pt>
                <c:pt idx="420">
                  <c:v>1.8000000000000003E-6</c:v>
                </c:pt>
                <c:pt idx="421">
                  <c:v>1.8000000000000001E-6</c:v>
                </c:pt>
                <c:pt idx="422">
                  <c:v>1.8000000000000001E-6</c:v>
                </c:pt>
                <c:pt idx="423">
                  <c:v>1.8000000000000001E-6</c:v>
                </c:pt>
                <c:pt idx="424">
                  <c:v>1.8000000000000001E-6</c:v>
                </c:pt>
                <c:pt idx="425">
                  <c:v>1.8000000000000001E-6</c:v>
                </c:pt>
                <c:pt idx="426">
                  <c:v>1.8000000000000001E-6</c:v>
                </c:pt>
                <c:pt idx="427">
                  <c:v>1.8000000000000003E-6</c:v>
                </c:pt>
                <c:pt idx="428">
                  <c:v>1.8000000000000003E-6</c:v>
                </c:pt>
                <c:pt idx="429">
                  <c:v>1.8000000000000003E-6</c:v>
                </c:pt>
                <c:pt idx="430">
                  <c:v>1.8000000000000003E-6</c:v>
                </c:pt>
                <c:pt idx="431">
                  <c:v>1.8000000000000003E-6</c:v>
                </c:pt>
                <c:pt idx="432">
                  <c:v>1.8000000000000001E-6</c:v>
                </c:pt>
                <c:pt idx="433">
                  <c:v>1.8000000000000001E-6</c:v>
                </c:pt>
                <c:pt idx="434">
                  <c:v>1.8000000000000001E-6</c:v>
                </c:pt>
                <c:pt idx="435">
                  <c:v>1.8000000000000003E-6</c:v>
                </c:pt>
                <c:pt idx="436">
                  <c:v>1.8000000000000003E-6</c:v>
                </c:pt>
                <c:pt idx="437">
                  <c:v>1.8000000000000003E-6</c:v>
                </c:pt>
                <c:pt idx="438">
                  <c:v>1.8000000000000001E-6</c:v>
                </c:pt>
                <c:pt idx="439">
                  <c:v>1.8000000000000001E-6</c:v>
                </c:pt>
                <c:pt idx="440">
                  <c:v>1.8000000000000003E-6</c:v>
                </c:pt>
                <c:pt idx="441">
                  <c:v>1.8000000000000003E-6</c:v>
                </c:pt>
                <c:pt idx="442">
                  <c:v>1.8000000000000003E-6</c:v>
                </c:pt>
                <c:pt idx="443">
                  <c:v>1.8000000000000006E-6</c:v>
                </c:pt>
                <c:pt idx="444">
                  <c:v>1.8000000000000006E-6</c:v>
                </c:pt>
                <c:pt idx="445">
                  <c:v>1.8000000000000006E-6</c:v>
                </c:pt>
                <c:pt idx="446">
                  <c:v>1.8000000000000003E-6</c:v>
                </c:pt>
                <c:pt idx="447">
                  <c:v>1.8000000000000003E-6</c:v>
                </c:pt>
                <c:pt idx="448">
                  <c:v>1.8000000000000006E-6</c:v>
                </c:pt>
                <c:pt idx="449">
                  <c:v>1.8000000000000006E-6</c:v>
                </c:pt>
                <c:pt idx="450">
                  <c:v>1.8000000000000006E-6</c:v>
                </c:pt>
                <c:pt idx="451">
                  <c:v>1.8000000000000006E-6</c:v>
                </c:pt>
                <c:pt idx="452">
                  <c:v>1.8000000000000006E-6</c:v>
                </c:pt>
                <c:pt idx="453">
                  <c:v>1.8000000000000006E-6</c:v>
                </c:pt>
                <c:pt idx="454">
                  <c:v>1.8000000000000008E-6</c:v>
                </c:pt>
                <c:pt idx="455">
                  <c:v>1.8000000000000008E-6</c:v>
                </c:pt>
                <c:pt idx="456">
                  <c:v>1.800000000000001E-6</c:v>
                </c:pt>
                <c:pt idx="457">
                  <c:v>1.800000000000001E-6</c:v>
                </c:pt>
                <c:pt idx="458">
                  <c:v>1.8000000000000006E-6</c:v>
                </c:pt>
                <c:pt idx="459">
                  <c:v>1.8000000000000008E-6</c:v>
                </c:pt>
                <c:pt idx="460">
                  <c:v>1.8000000000000008E-6</c:v>
                </c:pt>
                <c:pt idx="461">
                  <c:v>1.8000000000000006E-6</c:v>
                </c:pt>
                <c:pt idx="462">
                  <c:v>1.8000000000000006E-6</c:v>
                </c:pt>
                <c:pt idx="463">
                  <c:v>1.8000000000000006E-6</c:v>
                </c:pt>
                <c:pt idx="464">
                  <c:v>1.8000000000000006E-6</c:v>
                </c:pt>
                <c:pt idx="465">
                  <c:v>1.8000000000000006E-6</c:v>
                </c:pt>
                <c:pt idx="466">
                  <c:v>1.8000000000000006E-6</c:v>
                </c:pt>
                <c:pt idx="467">
                  <c:v>1.8000000000000006E-6</c:v>
                </c:pt>
                <c:pt idx="468">
                  <c:v>1.8000000000000001E-6</c:v>
                </c:pt>
                <c:pt idx="469">
                  <c:v>1.8000000000000006E-6</c:v>
                </c:pt>
                <c:pt idx="470">
                  <c:v>1.8000000000000006E-6</c:v>
                </c:pt>
                <c:pt idx="471">
                  <c:v>1.8000000000000006E-6</c:v>
                </c:pt>
                <c:pt idx="472">
                  <c:v>1.8000000000000006E-6</c:v>
                </c:pt>
                <c:pt idx="473">
                  <c:v>1.8000000000000006E-6</c:v>
                </c:pt>
                <c:pt idx="474">
                  <c:v>1.8000000000000003E-6</c:v>
                </c:pt>
                <c:pt idx="475">
                  <c:v>1.8000000000000001E-6</c:v>
                </c:pt>
                <c:pt idx="476">
                  <c:v>1.8000000000000001E-6</c:v>
                </c:pt>
                <c:pt idx="477">
                  <c:v>1.8000000000000003E-6</c:v>
                </c:pt>
                <c:pt idx="478">
                  <c:v>1.8000000000000001E-6</c:v>
                </c:pt>
                <c:pt idx="479">
                  <c:v>1.8000000000000001E-6</c:v>
                </c:pt>
                <c:pt idx="480">
                  <c:v>1.8000000000000001E-6</c:v>
                </c:pt>
                <c:pt idx="481">
                  <c:v>1.8000000000000006E-6</c:v>
                </c:pt>
                <c:pt idx="482">
                  <c:v>1.8000000000000003E-6</c:v>
                </c:pt>
                <c:pt idx="483">
                  <c:v>1.8000000000000001E-6</c:v>
                </c:pt>
                <c:pt idx="484">
                  <c:v>1.8000000000000003E-6</c:v>
                </c:pt>
                <c:pt idx="485">
                  <c:v>1.8000000000000001E-6</c:v>
                </c:pt>
                <c:pt idx="486">
                  <c:v>1.8000000000000001E-6</c:v>
                </c:pt>
                <c:pt idx="487">
                  <c:v>1.8000000000000001E-6</c:v>
                </c:pt>
                <c:pt idx="488">
                  <c:v>1.8000000000000001E-6</c:v>
                </c:pt>
                <c:pt idx="489">
                  <c:v>1.8000000000000001E-6</c:v>
                </c:pt>
                <c:pt idx="490">
                  <c:v>1.8000000000000001E-6</c:v>
                </c:pt>
                <c:pt idx="491">
                  <c:v>1.8000000000000001E-6</c:v>
                </c:pt>
                <c:pt idx="492">
                  <c:v>1.8000000000000001E-6</c:v>
                </c:pt>
                <c:pt idx="493">
                  <c:v>1.8000000000000001E-6</c:v>
                </c:pt>
                <c:pt idx="494">
                  <c:v>1.8000000000000006E-6</c:v>
                </c:pt>
                <c:pt idx="495">
                  <c:v>1.8000000000000006E-6</c:v>
                </c:pt>
                <c:pt idx="496">
                  <c:v>1.8000000000000001E-6</c:v>
                </c:pt>
                <c:pt idx="497">
                  <c:v>1.8000000000000001E-6</c:v>
                </c:pt>
                <c:pt idx="498">
                  <c:v>1.8000000000000006E-6</c:v>
                </c:pt>
                <c:pt idx="499">
                  <c:v>1.8000000000000006E-6</c:v>
                </c:pt>
                <c:pt idx="500">
                  <c:v>1.8000000000000006E-6</c:v>
                </c:pt>
                <c:pt idx="501">
                  <c:v>1.8000000000000008E-6</c:v>
                </c:pt>
                <c:pt idx="502">
                  <c:v>1.8000000000000006E-6</c:v>
                </c:pt>
                <c:pt idx="503">
                  <c:v>1.8000000000000006E-6</c:v>
                </c:pt>
                <c:pt idx="504">
                  <c:v>1.800000000000001E-6</c:v>
                </c:pt>
                <c:pt idx="505">
                  <c:v>1.800000000000001E-6</c:v>
                </c:pt>
                <c:pt idx="506">
                  <c:v>1.8000000000000006E-6</c:v>
                </c:pt>
                <c:pt idx="507">
                  <c:v>1.8000000000000006E-6</c:v>
                </c:pt>
                <c:pt idx="508">
                  <c:v>1.800000000000001E-6</c:v>
                </c:pt>
                <c:pt idx="509">
                  <c:v>1.800000000000001E-6</c:v>
                </c:pt>
                <c:pt idx="510">
                  <c:v>1.800000000000001E-6</c:v>
                </c:pt>
                <c:pt idx="511">
                  <c:v>1.800000000000001E-6</c:v>
                </c:pt>
                <c:pt idx="512">
                  <c:v>1.800000000000001E-6</c:v>
                </c:pt>
                <c:pt idx="513">
                  <c:v>1.8000000000000008E-6</c:v>
                </c:pt>
                <c:pt idx="514">
                  <c:v>1.8000000000000006E-6</c:v>
                </c:pt>
                <c:pt idx="515">
                  <c:v>1.8000000000000006E-6</c:v>
                </c:pt>
                <c:pt idx="516">
                  <c:v>1.800000000000001E-6</c:v>
                </c:pt>
                <c:pt idx="517">
                  <c:v>1.8000000000000006E-6</c:v>
                </c:pt>
                <c:pt idx="518">
                  <c:v>1.8000000000000006E-6</c:v>
                </c:pt>
                <c:pt idx="519">
                  <c:v>1.8000000000000006E-6</c:v>
                </c:pt>
                <c:pt idx="520">
                  <c:v>1.8000000000000008E-6</c:v>
                </c:pt>
                <c:pt idx="521">
                  <c:v>1.8000000000000006E-6</c:v>
                </c:pt>
                <c:pt idx="522">
                  <c:v>1.8000000000000006E-6</c:v>
                </c:pt>
                <c:pt idx="523">
                  <c:v>1.8000000000000006E-6</c:v>
                </c:pt>
                <c:pt idx="524">
                  <c:v>1.8000000000000006E-6</c:v>
                </c:pt>
                <c:pt idx="525">
                  <c:v>1.8000000000000003E-6</c:v>
                </c:pt>
                <c:pt idx="526">
                  <c:v>1.8000000000000003E-6</c:v>
                </c:pt>
                <c:pt idx="527">
                  <c:v>1.8000000000000003E-6</c:v>
                </c:pt>
                <c:pt idx="528">
                  <c:v>1.8000000000000001E-6</c:v>
                </c:pt>
                <c:pt idx="529">
                  <c:v>1.8000000000000001E-6</c:v>
                </c:pt>
                <c:pt idx="530">
                  <c:v>1.8000000000000006E-6</c:v>
                </c:pt>
                <c:pt idx="531">
                  <c:v>1.8000000000000006E-6</c:v>
                </c:pt>
                <c:pt idx="532">
                  <c:v>1.8000000000000003E-6</c:v>
                </c:pt>
                <c:pt idx="533">
                  <c:v>1.8000000000000006E-6</c:v>
                </c:pt>
                <c:pt idx="534">
                  <c:v>1.8000000000000006E-6</c:v>
                </c:pt>
                <c:pt idx="535">
                  <c:v>1.8000000000000006E-6</c:v>
                </c:pt>
                <c:pt idx="536">
                  <c:v>1.8000000000000006E-6</c:v>
                </c:pt>
                <c:pt idx="537">
                  <c:v>1.8000000000000006E-6</c:v>
                </c:pt>
                <c:pt idx="538">
                  <c:v>1.8000000000000006E-6</c:v>
                </c:pt>
                <c:pt idx="539">
                  <c:v>1.8000000000000003E-6</c:v>
                </c:pt>
                <c:pt idx="540">
                  <c:v>1.8000000000000006E-6</c:v>
                </c:pt>
                <c:pt idx="541">
                  <c:v>1.8000000000000006E-6</c:v>
                </c:pt>
                <c:pt idx="542">
                  <c:v>1.8000000000000006E-6</c:v>
                </c:pt>
                <c:pt idx="543">
                  <c:v>1.8000000000000006E-6</c:v>
                </c:pt>
                <c:pt idx="544">
                  <c:v>1.8000000000000003E-6</c:v>
                </c:pt>
                <c:pt idx="545">
                  <c:v>1.8000000000000001E-6</c:v>
                </c:pt>
                <c:pt idx="546">
                  <c:v>1.8000000000000001E-6</c:v>
                </c:pt>
                <c:pt idx="547">
                  <c:v>1.7999999999999999E-6</c:v>
                </c:pt>
                <c:pt idx="548">
                  <c:v>1.8000000000000001E-6</c:v>
                </c:pt>
                <c:pt idx="549">
                  <c:v>1.8000000000000001E-6</c:v>
                </c:pt>
                <c:pt idx="550">
                  <c:v>1.8000000000000001E-6</c:v>
                </c:pt>
                <c:pt idx="551">
                  <c:v>1.8000000000000001E-6</c:v>
                </c:pt>
                <c:pt idx="552">
                  <c:v>1.8000000000000001E-6</c:v>
                </c:pt>
                <c:pt idx="553">
                  <c:v>1.8000000000000001E-6</c:v>
                </c:pt>
                <c:pt idx="554">
                  <c:v>1.8000000000000001E-6</c:v>
                </c:pt>
                <c:pt idx="555">
                  <c:v>1.8000000000000001E-6</c:v>
                </c:pt>
                <c:pt idx="556">
                  <c:v>1.7999999999999999E-6</c:v>
                </c:pt>
                <c:pt idx="557">
                  <c:v>1.7999999999999997E-6</c:v>
                </c:pt>
                <c:pt idx="558">
                  <c:v>1.7999999999999997E-6</c:v>
                </c:pt>
                <c:pt idx="559">
                  <c:v>1.7999999999999997E-6</c:v>
                </c:pt>
                <c:pt idx="560">
                  <c:v>1.7999999999999993E-6</c:v>
                </c:pt>
                <c:pt idx="561">
                  <c:v>1.7999999999999993E-6</c:v>
                </c:pt>
                <c:pt idx="562">
                  <c:v>1.7999999999999993E-6</c:v>
                </c:pt>
                <c:pt idx="563">
                  <c:v>1.7999999999999991E-6</c:v>
                </c:pt>
                <c:pt idx="564">
                  <c:v>1.7999999999999993E-6</c:v>
                </c:pt>
                <c:pt idx="565">
                  <c:v>1.7999999999999993E-6</c:v>
                </c:pt>
                <c:pt idx="566">
                  <c:v>1.7999999999999993E-6</c:v>
                </c:pt>
                <c:pt idx="567">
                  <c:v>1.7999999999999993E-6</c:v>
                </c:pt>
                <c:pt idx="568">
                  <c:v>1.7999999999999995E-6</c:v>
                </c:pt>
                <c:pt idx="569">
                  <c:v>1.7999999999999995E-6</c:v>
                </c:pt>
                <c:pt idx="570">
                  <c:v>1.7999999999999995E-6</c:v>
                </c:pt>
                <c:pt idx="571">
                  <c:v>1.7999999999999995E-6</c:v>
                </c:pt>
                <c:pt idx="572">
                  <c:v>1.7999999999999997E-6</c:v>
                </c:pt>
                <c:pt idx="573">
                  <c:v>1.7999999999999995E-6</c:v>
                </c:pt>
                <c:pt idx="574">
                  <c:v>1.7999999999999997E-6</c:v>
                </c:pt>
                <c:pt idx="575">
                  <c:v>1.7999999999999995E-6</c:v>
                </c:pt>
                <c:pt idx="576">
                  <c:v>1.7999999999999997E-6</c:v>
                </c:pt>
                <c:pt idx="577">
                  <c:v>1.7999999999999997E-6</c:v>
                </c:pt>
                <c:pt idx="578">
                  <c:v>1.7999999999999999E-6</c:v>
                </c:pt>
                <c:pt idx="579">
                  <c:v>1.7999999999999997E-6</c:v>
                </c:pt>
                <c:pt idx="580">
                  <c:v>1.7999999999999997E-6</c:v>
                </c:pt>
                <c:pt idx="581">
                  <c:v>1.7999999999999993E-6</c:v>
                </c:pt>
                <c:pt idx="582">
                  <c:v>1.7999999999999993E-6</c:v>
                </c:pt>
                <c:pt idx="583">
                  <c:v>1.7999999999999991E-6</c:v>
                </c:pt>
                <c:pt idx="584">
                  <c:v>1.7999999999999989E-6</c:v>
                </c:pt>
                <c:pt idx="585">
                  <c:v>1.7999999999999989E-6</c:v>
                </c:pt>
                <c:pt idx="586">
                  <c:v>1.7999999999999989E-6</c:v>
                </c:pt>
                <c:pt idx="587">
                  <c:v>1.7999999999999989E-6</c:v>
                </c:pt>
                <c:pt idx="588">
                  <c:v>1.7999999999999993E-6</c:v>
                </c:pt>
                <c:pt idx="589">
                  <c:v>1.7999999999999993E-6</c:v>
                </c:pt>
                <c:pt idx="590">
                  <c:v>1.7999999999999993E-6</c:v>
                </c:pt>
                <c:pt idx="591">
                  <c:v>1.7999999999999993E-6</c:v>
                </c:pt>
                <c:pt idx="592">
                  <c:v>1.7999999999999993E-6</c:v>
                </c:pt>
                <c:pt idx="593">
                  <c:v>1.7999999999999993E-6</c:v>
                </c:pt>
                <c:pt idx="594">
                  <c:v>1.7999999999999995E-6</c:v>
                </c:pt>
                <c:pt idx="595">
                  <c:v>1.7999999999999995E-6</c:v>
                </c:pt>
                <c:pt idx="596">
                  <c:v>1.7999999999999997E-6</c:v>
                </c:pt>
                <c:pt idx="597">
                  <c:v>1.7999999999999997E-6</c:v>
                </c:pt>
                <c:pt idx="598">
                  <c:v>1.7999999999999997E-6</c:v>
                </c:pt>
                <c:pt idx="599">
                  <c:v>1.7999999999999997E-6</c:v>
                </c:pt>
                <c:pt idx="600">
                  <c:v>1.7999999999999997E-6</c:v>
                </c:pt>
                <c:pt idx="601">
                  <c:v>1.7999999999999997E-6</c:v>
                </c:pt>
                <c:pt idx="602">
                  <c:v>1.7999999999999997E-6</c:v>
                </c:pt>
                <c:pt idx="603">
                  <c:v>1.7999999999999997E-6</c:v>
                </c:pt>
                <c:pt idx="604">
                  <c:v>1.7999999999999997E-6</c:v>
                </c:pt>
                <c:pt idx="605">
                  <c:v>1.7999999999999997E-6</c:v>
                </c:pt>
                <c:pt idx="606">
                  <c:v>1.7999999999999997E-6</c:v>
                </c:pt>
                <c:pt idx="607">
                  <c:v>1.7999999999999997E-6</c:v>
                </c:pt>
                <c:pt idx="608">
                  <c:v>1.7999999999999997E-6</c:v>
                </c:pt>
                <c:pt idx="609">
                  <c:v>1.7999999999999997E-6</c:v>
                </c:pt>
                <c:pt idx="610">
                  <c:v>1.7999999999999999E-6</c:v>
                </c:pt>
                <c:pt idx="611">
                  <c:v>1.7999999999999999E-6</c:v>
                </c:pt>
                <c:pt idx="612">
                  <c:v>1.7999999999999997E-6</c:v>
                </c:pt>
                <c:pt idx="613">
                  <c:v>1.7999999999999997E-6</c:v>
                </c:pt>
                <c:pt idx="614">
                  <c:v>1.7999999999999997E-6</c:v>
                </c:pt>
                <c:pt idx="615">
                  <c:v>1.7999999999999999E-6</c:v>
                </c:pt>
                <c:pt idx="616">
                  <c:v>1.7999999999999999E-6</c:v>
                </c:pt>
                <c:pt idx="617">
                  <c:v>1.8000000000000001E-6</c:v>
                </c:pt>
                <c:pt idx="618">
                  <c:v>1.8000000000000001E-6</c:v>
                </c:pt>
                <c:pt idx="619">
                  <c:v>1.8000000000000001E-6</c:v>
                </c:pt>
                <c:pt idx="620">
                  <c:v>1.8000000000000003E-6</c:v>
                </c:pt>
                <c:pt idx="621">
                  <c:v>1.8000000000000003E-6</c:v>
                </c:pt>
                <c:pt idx="622">
                  <c:v>1.8000000000000006E-6</c:v>
                </c:pt>
                <c:pt idx="623">
                  <c:v>1.8000000000000008E-6</c:v>
                </c:pt>
                <c:pt idx="624">
                  <c:v>1.8000000000000006E-6</c:v>
                </c:pt>
                <c:pt idx="625">
                  <c:v>1.8000000000000006E-6</c:v>
                </c:pt>
                <c:pt idx="626">
                  <c:v>1.800000000000001E-6</c:v>
                </c:pt>
                <c:pt idx="627">
                  <c:v>1.800000000000001E-6</c:v>
                </c:pt>
                <c:pt idx="628">
                  <c:v>1.800000000000001E-6</c:v>
                </c:pt>
                <c:pt idx="629">
                  <c:v>1.800000000000001E-6</c:v>
                </c:pt>
                <c:pt idx="630">
                  <c:v>1.800000000000001E-6</c:v>
                </c:pt>
                <c:pt idx="631">
                  <c:v>1.800000000000001E-6</c:v>
                </c:pt>
                <c:pt idx="632">
                  <c:v>1.800000000000001E-6</c:v>
                </c:pt>
                <c:pt idx="633">
                  <c:v>1.800000000000001E-6</c:v>
                </c:pt>
                <c:pt idx="634">
                  <c:v>1.800000000000001E-6</c:v>
                </c:pt>
                <c:pt idx="635">
                  <c:v>1.800000000000001E-6</c:v>
                </c:pt>
                <c:pt idx="636">
                  <c:v>1.800000000000001E-6</c:v>
                </c:pt>
                <c:pt idx="637">
                  <c:v>1.800000000000001E-6</c:v>
                </c:pt>
                <c:pt idx="638">
                  <c:v>1.8000000000000006E-6</c:v>
                </c:pt>
                <c:pt idx="639">
                  <c:v>1.800000000000001E-6</c:v>
                </c:pt>
                <c:pt idx="640">
                  <c:v>1.800000000000001E-6</c:v>
                </c:pt>
                <c:pt idx="641">
                  <c:v>1.8000000000000008E-6</c:v>
                </c:pt>
                <c:pt idx="642">
                  <c:v>1.800000000000001E-6</c:v>
                </c:pt>
                <c:pt idx="643">
                  <c:v>1.8000000000000006E-6</c:v>
                </c:pt>
                <c:pt idx="644">
                  <c:v>1.8000000000000006E-6</c:v>
                </c:pt>
                <c:pt idx="645">
                  <c:v>1.8000000000000006E-6</c:v>
                </c:pt>
                <c:pt idx="646">
                  <c:v>1.8000000000000006E-6</c:v>
                </c:pt>
                <c:pt idx="647">
                  <c:v>1.8000000000000006E-6</c:v>
                </c:pt>
                <c:pt idx="648">
                  <c:v>1.8000000000000006E-6</c:v>
                </c:pt>
                <c:pt idx="649">
                  <c:v>1.8000000000000006E-6</c:v>
                </c:pt>
                <c:pt idx="650">
                  <c:v>1.8000000000000003E-6</c:v>
                </c:pt>
                <c:pt idx="651">
                  <c:v>1.8000000000000006E-6</c:v>
                </c:pt>
                <c:pt idx="652">
                  <c:v>1.8000000000000003E-6</c:v>
                </c:pt>
                <c:pt idx="653">
                  <c:v>1.8000000000000001E-6</c:v>
                </c:pt>
                <c:pt idx="654">
                  <c:v>1.8000000000000001E-6</c:v>
                </c:pt>
                <c:pt idx="655">
                  <c:v>1.8000000000000001E-6</c:v>
                </c:pt>
                <c:pt idx="656">
                  <c:v>1.7999999999999999E-6</c:v>
                </c:pt>
                <c:pt idx="657">
                  <c:v>1.8000000000000001E-6</c:v>
                </c:pt>
                <c:pt idx="658">
                  <c:v>1.8000000000000001E-6</c:v>
                </c:pt>
                <c:pt idx="659">
                  <c:v>1.8000000000000001E-6</c:v>
                </c:pt>
                <c:pt idx="660">
                  <c:v>1.8000000000000001E-6</c:v>
                </c:pt>
                <c:pt idx="661">
                  <c:v>1.7999999999999999E-6</c:v>
                </c:pt>
                <c:pt idx="662">
                  <c:v>1.8000000000000001E-6</c:v>
                </c:pt>
                <c:pt idx="663">
                  <c:v>1.7999999999999999E-6</c:v>
                </c:pt>
                <c:pt idx="664">
                  <c:v>1.8000000000000001E-6</c:v>
                </c:pt>
                <c:pt idx="665">
                  <c:v>1.8000000000000001E-6</c:v>
                </c:pt>
                <c:pt idx="666">
                  <c:v>1.8000000000000003E-6</c:v>
                </c:pt>
                <c:pt idx="667">
                  <c:v>1.8000000000000006E-6</c:v>
                </c:pt>
                <c:pt idx="668">
                  <c:v>1.8000000000000003E-6</c:v>
                </c:pt>
                <c:pt idx="669">
                  <c:v>1.8000000000000006E-6</c:v>
                </c:pt>
                <c:pt idx="670">
                  <c:v>1.8000000000000006E-6</c:v>
                </c:pt>
                <c:pt idx="671">
                  <c:v>1.8000000000000006E-6</c:v>
                </c:pt>
                <c:pt idx="672">
                  <c:v>1.8000000000000008E-6</c:v>
                </c:pt>
                <c:pt idx="673">
                  <c:v>1.800000000000001E-6</c:v>
                </c:pt>
                <c:pt idx="674">
                  <c:v>1.800000000000001E-6</c:v>
                </c:pt>
                <c:pt idx="675">
                  <c:v>1.800000000000001E-6</c:v>
                </c:pt>
                <c:pt idx="676">
                  <c:v>1.800000000000001E-6</c:v>
                </c:pt>
                <c:pt idx="677">
                  <c:v>1.8000000000000008E-6</c:v>
                </c:pt>
                <c:pt idx="678">
                  <c:v>1.800000000000001E-6</c:v>
                </c:pt>
                <c:pt idx="679">
                  <c:v>1.800000000000001E-6</c:v>
                </c:pt>
                <c:pt idx="680">
                  <c:v>1.800000000000001E-6</c:v>
                </c:pt>
                <c:pt idx="681">
                  <c:v>1.800000000000001E-6</c:v>
                </c:pt>
                <c:pt idx="682">
                  <c:v>1.800000000000001E-6</c:v>
                </c:pt>
                <c:pt idx="683">
                  <c:v>1.8000000000000014E-6</c:v>
                </c:pt>
                <c:pt idx="684">
                  <c:v>1.800000000000001E-6</c:v>
                </c:pt>
                <c:pt idx="685">
                  <c:v>1.8000000000000014E-6</c:v>
                </c:pt>
                <c:pt idx="686">
                  <c:v>1.8000000000000014E-6</c:v>
                </c:pt>
                <c:pt idx="687">
                  <c:v>1.800000000000001E-6</c:v>
                </c:pt>
                <c:pt idx="688">
                  <c:v>1.8000000000000012E-6</c:v>
                </c:pt>
                <c:pt idx="689">
                  <c:v>1.8000000000000012E-6</c:v>
                </c:pt>
                <c:pt idx="690">
                  <c:v>1.800000000000001E-6</c:v>
                </c:pt>
                <c:pt idx="691">
                  <c:v>1.8000000000000012E-6</c:v>
                </c:pt>
                <c:pt idx="692">
                  <c:v>1.800000000000001E-6</c:v>
                </c:pt>
                <c:pt idx="693">
                  <c:v>1.800000000000001E-6</c:v>
                </c:pt>
                <c:pt idx="694">
                  <c:v>1.8000000000000008E-6</c:v>
                </c:pt>
                <c:pt idx="695">
                  <c:v>1.8000000000000006E-6</c:v>
                </c:pt>
                <c:pt idx="696">
                  <c:v>1.8000000000000006E-6</c:v>
                </c:pt>
                <c:pt idx="697">
                  <c:v>1.8000000000000008E-6</c:v>
                </c:pt>
                <c:pt idx="698">
                  <c:v>1.8000000000000006E-6</c:v>
                </c:pt>
                <c:pt idx="699">
                  <c:v>1.8000000000000006E-6</c:v>
                </c:pt>
                <c:pt idx="700">
                  <c:v>1.8000000000000006E-6</c:v>
                </c:pt>
                <c:pt idx="701">
                  <c:v>1.8000000000000003E-6</c:v>
                </c:pt>
                <c:pt idx="702">
                  <c:v>1.8000000000000006E-6</c:v>
                </c:pt>
                <c:pt idx="703">
                  <c:v>1.8000000000000006E-6</c:v>
                </c:pt>
                <c:pt idx="704">
                  <c:v>1.8000000000000003E-6</c:v>
                </c:pt>
                <c:pt idx="705">
                  <c:v>1.8000000000000006E-6</c:v>
                </c:pt>
                <c:pt idx="706">
                  <c:v>1.8000000000000006E-6</c:v>
                </c:pt>
                <c:pt idx="707">
                  <c:v>1.8000000000000006E-6</c:v>
                </c:pt>
                <c:pt idx="708">
                  <c:v>1.8000000000000006E-6</c:v>
                </c:pt>
                <c:pt idx="709">
                  <c:v>1.8000000000000003E-6</c:v>
                </c:pt>
                <c:pt idx="710">
                  <c:v>1.8000000000000003E-6</c:v>
                </c:pt>
                <c:pt idx="711">
                  <c:v>1.8000000000000001E-6</c:v>
                </c:pt>
                <c:pt idx="712">
                  <c:v>1.8000000000000003E-6</c:v>
                </c:pt>
                <c:pt idx="713">
                  <c:v>1.8000000000000001E-6</c:v>
                </c:pt>
                <c:pt idx="714">
                  <c:v>1.8000000000000001E-6</c:v>
                </c:pt>
                <c:pt idx="715">
                  <c:v>1.8000000000000001E-6</c:v>
                </c:pt>
                <c:pt idx="716">
                  <c:v>1.8000000000000003E-6</c:v>
                </c:pt>
                <c:pt idx="717">
                  <c:v>1.8000000000000006E-6</c:v>
                </c:pt>
                <c:pt idx="718">
                  <c:v>1.8000000000000006E-6</c:v>
                </c:pt>
                <c:pt idx="719">
                  <c:v>1.8000000000000006E-6</c:v>
                </c:pt>
                <c:pt idx="720">
                  <c:v>1.8000000000000006E-6</c:v>
                </c:pt>
                <c:pt idx="721">
                  <c:v>1.8000000000000006E-6</c:v>
                </c:pt>
                <c:pt idx="722">
                  <c:v>1.8000000000000006E-6</c:v>
                </c:pt>
                <c:pt idx="723">
                  <c:v>1.8000000000000008E-6</c:v>
                </c:pt>
                <c:pt idx="724">
                  <c:v>1.8000000000000008E-6</c:v>
                </c:pt>
                <c:pt idx="725">
                  <c:v>1.8000000000000008E-6</c:v>
                </c:pt>
                <c:pt idx="726">
                  <c:v>1.8000000000000006E-6</c:v>
                </c:pt>
                <c:pt idx="727">
                  <c:v>1.8000000000000006E-6</c:v>
                </c:pt>
                <c:pt idx="728">
                  <c:v>1.800000000000001E-6</c:v>
                </c:pt>
                <c:pt idx="729">
                  <c:v>1.8000000000000008E-6</c:v>
                </c:pt>
                <c:pt idx="730">
                  <c:v>1.8000000000000006E-6</c:v>
                </c:pt>
                <c:pt idx="731">
                  <c:v>1.8000000000000008E-6</c:v>
                </c:pt>
                <c:pt idx="732">
                  <c:v>1.8000000000000008E-6</c:v>
                </c:pt>
                <c:pt idx="733">
                  <c:v>1.800000000000001E-6</c:v>
                </c:pt>
                <c:pt idx="734">
                  <c:v>1.800000000000001E-6</c:v>
                </c:pt>
                <c:pt idx="735">
                  <c:v>1.800000000000001E-6</c:v>
                </c:pt>
                <c:pt idx="736">
                  <c:v>1.800000000000001E-6</c:v>
                </c:pt>
                <c:pt idx="737">
                  <c:v>1.8000000000000008E-6</c:v>
                </c:pt>
                <c:pt idx="738">
                  <c:v>1.8000000000000008E-6</c:v>
                </c:pt>
                <c:pt idx="739">
                  <c:v>1.8000000000000008E-6</c:v>
                </c:pt>
                <c:pt idx="740">
                  <c:v>1.8000000000000006E-6</c:v>
                </c:pt>
                <c:pt idx="741">
                  <c:v>1.8000000000000006E-6</c:v>
                </c:pt>
                <c:pt idx="742">
                  <c:v>1.8000000000000006E-6</c:v>
                </c:pt>
                <c:pt idx="743">
                  <c:v>1.8000000000000008E-6</c:v>
                </c:pt>
                <c:pt idx="744">
                  <c:v>1.8000000000000006E-6</c:v>
                </c:pt>
                <c:pt idx="745">
                  <c:v>1.8000000000000003E-6</c:v>
                </c:pt>
                <c:pt idx="746">
                  <c:v>1.8000000000000003E-6</c:v>
                </c:pt>
                <c:pt idx="747">
                  <c:v>1.8000000000000003E-6</c:v>
                </c:pt>
                <c:pt idx="748">
                  <c:v>1.8000000000000006E-6</c:v>
                </c:pt>
                <c:pt idx="749">
                  <c:v>1.800000000000001E-6</c:v>
                </c:pt>
                <c:pt idx="750">
                  <c:v>1.800000000000001E-6</c:v>
                </c:pt>
                <c:pt idx="751">
                  <c:v>1.8000000000000008E-6</c:v>
                </c:pt>
                <c:pt idx="752">
                  <c:v>1.8000000000000008E-6</c:v>
                </c:pt>
                <c:pt idx="753">
                  <c:v>1.8000000000000008E-6</c:v>
                </c:pt>
                <c:pt idx="754">
                  <c:v>1.8000000000000006E-6</c:v>
                </c:pt>
                <c:pt idx="755">
                  <c:v>1.8000000000000006E-6</c:v>
                </c:pt>
                <c:pt idx="756">
                  <c:v>1.8000000000000008E-6</c:v>
                </c:pt>
                <c:pt idx="757">
                  <c:v>1.8000000000000006E-6</c:v>
                </c:pt>
                <c:pt idx="758">
                  <c:v>1.800000000000001E-6</c:v>
                </c:pt>
                <c:pt idx="759">
                  <c:v>1.8000000000000008E-6</c:v>
                </c:pt>
                <c:pt idx="760">
                  <c:v>1.800000000000001E-6</c:v>
                </c:pt>
                <c:pt idx="761">
                  <c:v>1.800000000000001E-6</c:v>
                </c:pt>
                <c:pt idx="762">
                  <c:v>1.8000000000000012E-6</c:v>
                </c:pt>
                <c:pt idx="763">
                  <c:v>1.800000000000001E-6</c:v>
                </c:pt>
                <c:pt idx="764">
                  <c:v>1.800000000000001E-6</c:v>
                </c:pt>
                <c:pt idx="765">
                  <c:v>1.8000000000000012E-6</c:v>
                </c:pt>
                <c:pt idx="766">
                  <c:v>1.800000000000001E-6</c:v>
                </c:pt>
                <c:pt idx="767">
                  <c:v>1.8000000000000012E-6</c:v>
                </c:pt>
                <c:pt idx="768">
                  <c:v>1.8000000000000012E-6</c:v>
                </c:pt>
                <c:pt idx="769">
                  <c:v>1.8000000000000012E-6</c:v>
                </c:pt>
                <c:pt idx="770">
                  <c:v>1.8000000000000012E-6</c:v>
                </c:pt>
                <c:pt idx="771">
                  <c:v>1.8000000000000012E-6</c:v>
                </c:pt>
                <c:pt idx="772">
                  <c:v>1.800000000000001E-6</c:v>
                </c:pt>
                <c:pt idx="773">
                  <c:v>1.800000000000001E-6</c:v>
                </c:pt>
                <c:pt idx="774">
                  <c:v>1.800000000000001E-6</c:v>
                </c:pt>
                <c:pt idx="775">
                  <c:v>1.8000000000000008E-6</c:v>
                </c:pt>
                <c:pt idx="776">
                  <c:v>1.8000000000000008E-6</c:v>
                </c:pt>
                <c:pt idx="777">
                  <c:v>1.800000000000001E-6</c:v>
                </c:pt>
                <c:pt idx="778">
                  <c:v>1.8000000000000006E-6</c:v>
                </c:pt>
                <c:pt idx="779">
                  <c:v>1.8000000000000006E-6</c:v>
                </c:pt>
                <c:pt idx="780">
                  <c:v>1.8000000000000006E-6</c:v>
                </c:pt>
                <c:pt idx="781">
                  <c:v>1.8000000000000006E-6</c:v>
                </c:pt>
                <c:pt idx="782">
                  <c:v>1.8000000000000006E-6</c:v>
                </c:pt>
                <c:pt idx="783">
                  <c:v>1.8000000000000008E-6</c:v>
                </c:pt>
                <c:pt idx="784">
                  <c:v>1.800000000000001E-6</c:v>
                </c:pt>
                <c:pt idx="785">
                  <c:v>1.800000000000001E-6</c:v>
                </c:pt>
                <c:pt idx="786">
                  <c:v>1.800000000000001E-6</c:v>
                </c:pt>
                <c:pt idx="787">
                  <c:v>1.800000000000001E-6</c:v>
                </c:pt>
                <c:pt idx="788">
                  <c:v>1.800000000000001E-6</c:v>
                </c:pt>
                <c:pt idx="789">
                  <c:v>1.8000000000000014E-6</c:v>
                </c:pt>
                <c:pt idx="790">
                  <c:v>1.8000000000000014E-6</c:v>
                </c:pt>
                <c:pt idx="791">
                  <c:v>1.800000000000001E-6</c:v>
                </c:pt>
                <c:pt idx="792">
                  <c:v>1.800000000000001E-6</c:v>
                </c:pt>
                <c:pt idx="793">
                  <c:v>1.8000000000000012E-6</c:v>
                </c:pt>
                <c:pt idx="794">
                  <c:v>1.800000000000001E-6</c:v>
                </c:pt>
                <c:pt idx="795">
                  <c:v>1.800000000000001E-6</c:v>
                </c:pt>
                <c:pt idx="796">
                  <c:v>1.800000000000001E-6</c:v>
                </c:pt>
                <c:pt idx="797">
                  <c:v>1.8000000000000008E-6</c:v>
                </c:pt>
                <c:pt idx="798">
                  <c:v>1.800000000000001E-6</c:v>
                </c:pt>
                <c:pt idx="799">
                  <c:v>1.800000000000001E-6</c:v>
                </c:pt>
                <c:pt idx="800">
                  <c:v>1.8000000000000012E-6</c:v>
                </c:pt>
                <c:pt idx="801">
                  <c:v>1.8000000000000014E-6</c:v>
                </c:pt>
                <c:pt idx="802">
                  <c:v>1.8000000000000012E-6</c:v>
                </c:pt>
                <c:pt idx="803">
                  <c:v>1.8000000000000012E-6</c:v>
                </c:pt>
                <c:pt idx="804">
                  <c:v>1.8000000000000014E-6</c:v>
                </c:pt>
                <c:pt idx="805">
                  <c:v>1.8000000000000014E-6</c:v>
                </c:pt>
                <c:pt idx="806">
                  <c:v>1.8000000000000012E-6</c:v>
                </c:pt>
                <c:pt idx="807">
                  <c:v>1.800000000000001E-6</c:v>
                </c:pt>
                <c:pt idx="808">
                  <c:v>1.800000000000001E-6</c:v>
                </c:pt>
                <c:pt idx="809">
                  <c:v>1.800000000000001E-6</c:v>
                </c:pt>
                <c:pt idx="810">
                  <c:v>1.800000000000001E-6</c:v>
                </c:pt>
                <c:pt idx="811">
                  <c:v>1.800000000000001E-6</c:v>
                </c:pt>
                <c:pt idx="812">
                  <c:v>1.800000000000001E-6</c:v>
                </c:pt>
                <c:pt idx="813">
                  <c:v>1.800000000000001E-6</c:v>
                </c:pt>
                <c:pt idx="814">
                  <c:v>1.800000000000001E-6</c:v>
                </c:pt>
                <c:pt idx="815">
                  <c:v>1.8000000000000008E-6</c:v>
                </c:pt>
                <c:pt idx="816">
                  <c:v>1.8000000000000006E-6</c:v>
                </c:pt>
                <c:pt idx="817">
                  <c:v>1.8000000000000003E-6</c:v>
                </c:pt>
                <c:pt idx="818">
                  <c:v>1.8000000000000006E-6</c:v>
                </c:pt>
                <c:pt idx="819">
                  <c:v>1.8000000000000001E-6</c:v>
                </c:pt>
                <c:pt idx="820">
                  <c:v>1.8000000000000001E-6</c:v>
                </c:pt>
                <c:pt idx="821">
                  <c:v>1.8000000000000001E-6</c:v>
                </c:pt>
                <c:pt idx="822">
                  <c:v>1.8000000000000001E-6</c:v>
                </c:pt>
                <c:pt idx="823">
                  <c:v>1.8000000000000003E-6</c:v>
                </c:pt>
                <c:pt idx="824">
                  <c:v>1.8000000000000001E-6</c:v>
                </c:pt>
                <c:pt idx="825">
                  <c:v>1.8000000000000006E-6</c:v>
                </c:pt>
                <c:pt idx="826">
                  <c:v>1.8000000000000006E-6</c:v>
                </c:pt>
                <c:pt idx="827">
                  <c:v>1.8000000000000006E-6</c:v>
                </c:pt>
                <c:pt idx="828">
                  <c:v>1.8000000000000006E-6</c:v>
                </c:pt>
                <c:pt idx="829">
                  <c:v>1.8000000000000006E-6</c:v>
                </c:pt>
                <c:pt idx="830">
                  <c:v>1.8000000000000006E-6</c:v>
                </c:pt>
                <c:pt idx="831">
                  <c:v>1.8000000000000003E-6</c:v>
                </c:pt>
                <c:pt idx="832">
                  <c:v>1.8000000000000001E-6</c:v>
                </c:pt>
                <c:pt idx="833">
                  <c:v>1.7999999999999999E-6</c:v>
                </c:pt>
                <c:pt idx="834">
                  <c:v>1.8000000000000001E-6</c:v>
                </c:pt>
                <c:pt idx="835">
                  <c:v>1.8000000000000001E-6</c:v>
                </c:pt>
                <c:pt idx="836">
                  <c:v>1.8000000000000006E-6</c:v>
                </c:pt>
                <c:pt idx="837">
                  <c:v>1.8000000000000003E-6</c:v>
                </c:pt>
                <c:pt idx="838">
                  <c:v>1.8000000000000006E-6</c:v>
                </c:pt>
                <c:pt idx="839">
                  <c:v>1.8000000000000006E-6</c:v>
                </c:pt>
                <c:pt idx="840">
                  <c:v>1.8000000000000006E-6</c:v>
                </c:pt>
                <c:pt idx="841">
                  <c:v>1.8000000000000006E-6</c:v>
                </c:pt>
                <c:pt idx="842">
                  <c:v>1.8000000000000008E-6</c:v>
                </c:pt>
                <c:pt idx="843">
                  <c:v>1.8000000000000008E-6</c:v>
                </c:pt>
                <c:pt idx="844">
                  <c:v>1.800000000000001E-6</c:v>
                </c:pt>
                <c:pt idx="845">
                  <c:v>1.800000000000001E-6</c:v>
                </c:pt>
                <c:pt idx="846">
                  <c:v>1.8000000000000008E-6</c:v>
                </c:pt>
                <c:pt idx="847">
                  <c:v>1.8000000000000006E-6</c:v>
                </c:pt>
                <c:pt idx="848">
                  <c:v>1.8000000000000008E-6</c:v>
                </c:pt>
                <c:pt idx="849">
                  <c:v>1.8000000000000006E-6</c:v>
                </c:pt>
                <c:pt idx="850">
                  <c:v>1.8000000000000008E-6</c:v>
                </c:pt>
                <c:pt idx="851">
                  <c:v>1.800000000000001E-6</c:v>
                </c:pt>
                <c:pt idx="852">
                  <c:v>1.8000000000000008E-6</c:v>
                </c:pt>
                <c:pt idx="853">
                  <c:v>1.800000000000001E-6</c:v>
                </c:pt>
                <c:pt idx="854">
                  <c:v>1.8000000000000006E-6</c:v>
                </c:pt>
                <c:pt idx="855">
                  <c:v>1.8000000000000006E-6</c:v>
                </c:pt>
                <c:pt idx="856">
                  <c:v>1.8000000000000003E-6</c:v>
                </c:pt>
                <c:pt idx="857">
                  <c:v>1.8000000000000001E-6</c:v>
                </c:pt>
                <c:pt idx="858">
                  <c:v>1.8000000000000006E-6</c:v>
                </c:pt>
                <c:pt idx="859">
                  <c:v>1.8000000000000006E-6</c:v>
                </c:pt>
                <c:pt idx="860">
                  <c:v>1.8000000000000006E-6</c:v>
                </c:pt>
                <c:pt idx="861">
                  <c:v>1.8000000000000008E-6</c:v>
                </c:pt>
                <c:pt idx="862">
                  <c:v>1.8000000000000008E-6</c:v>
                </c:pt>
                <c:pt idx="863">
                  <c:v>1.8000000000000006E-6</c:v>
                </c:pt>
                <c:pt idx="864">
                  <c:v>1.8000000000000006E-6</c:v>
                </c:pt>
                <c:pt idx="865">
                  <c:v>1.8000000000000006E-6</c:v>
                </c:pt>
                <c:pt idx="866">
                  <c:v>1.8000000000000006E-6</c:v>
                </c:pt>
                <c:pt idx="867">
                  <c:v>1.8000000000000006E-6</c:v>
                </c:pt>
                <c:pt idx="868">
                  <c:v>1.8000000000000006E-6</c:v>
                </c:pt>
                <c:pt idx="869">
                  <c:v>1.8000000000000006E-6</c:v>
                </c:pt>
                <c:pt idx="870">
                  <c:v>1.8000000000000008E-6</c:v>
                </c:pt>
                <c:pt idx="871">
                  <c:v>1.8000000000000006E-6</c:v>
                </c:pt>
                <c:pt idx="872">
                  <c:v>1.800000000000001E-6</c:v>
                </c:pt>
                <c:pt idx="873">
                  <c:v>1.8000000000000008E-6</c:v>
                </c:pt>
                <c:pt idx="874">
                  <c:v>1.8000000000000006E-6</c:v>
                </c:pt>
                <c:pt idx="875">
                  <c:v>1.8000000000000008E-6</c:v>
                </c:pt>
                <c:pt idx="876">
                  <c:v>1.8000000000000006E-6</c:v>
                </c:pt>
                <c:pt idx="877">
                  <c:v>1.8000000000000006E-6</c:v>
                </c:pt>
                <c:pt idx="878">
                  <c:v>1.8000000000000006E-6</c:v>
                </c:pt>
                <c:pt idx="879">
                  <c:v>1.8000000000000006E-6</c:v>
                </c:pt>
                <c:pt idx="880">
                  <c:v>1.8000000000000006E-6</c:v>
                </c:pt>
                <c:pt idx="881">
                  <c:v>1.800000000000001E-6</c:v>
                </c:pt>
                <c:pt idx="882">
                  <c:v>1.800000000000001E-6</c:v>
                </c:pt>
                <c:pt idx="883">
                  <c:v>1.800000000000001E-6</c:v>
                </c:pt>
                <c:pt idx="884">
                  <c:v>1.800000000000001E-6</c:v>
                </c:pt>
                <c:pt idx="885">
                  <c:v>1.8000000000000012E-6</c:v>
                </c:pt>
                <c:pt idx="886">
                  <c:v>1.8000000000000012E-6</c:v>
                </c:pt>
                <c:pt idx="887">
                  <c:v>1.8000000000000012E-6</c:v>
                </c:pt>
                <c:pt idx="888">
                  <c:v>1.8000000000000012E-6</c:v>
                </c:pt>
                <c:pt idx="889">
                  <c:v>1.8000000000000012E-6</c:v>
                </c:pt>
                <c:pt idx="890">
                  <c:v>1.8000000000000014E-6</c:v>
                </c:pt>
                <c:pt idx="891">
                  <c:v>1.8000000000000014E-6</c:v>
                </c:pt>
                <c:pt idx="892">
                  <c:v>1.8000000000000012E-6</c:v>
                </c:pt>
                <c:pt idx="893">
                  <c:v>1.800000000000001E-6</c:v>
                </c:pt>
                <c:pt idx="894">
                  <c:v>1.800000000000001E-6</c:v>
                </c:pt>
                <c:pt idx="895">
                  <c:v>1.800000000000001E-6</c:v>
                </c:pt>
                <c:pt idx="896">
                  <c:v>1.8000000000000012E-6</c:v>
                </c:pt>
                <c:pt idx="897">
                  <c:v>1.8000000000000012E-6</c:v>
                </c:pt>
                <c:pt idx="898">
                  <c:v>1.800000000000001E-6</c:v>
                </c:pt>
                <c:pt idx="899">
                  <c:v>1.8000000000000012E-6</c:v>
                </c:pt>
                <c:pt idx="900">
                  <c:v>1.8000000000000012E-6</c:v>
                </c:pt>
                <c:pt idx="901">
                  <c:v>1.8000000000000012E-6</c:v>
                </c:pt>
                <c:pt idx="902">
                  <c:v>1.800000000000001E-6</c:v>
                </c:pt>
                <c:pt idx="903">
                  <c:v>1.800000000000001E-6</c:v>
                </c:pt>
                <c:pt idx="904">
                  <c:v>1.800000000000001E-6</c:v>
                </c:pt>
                <c:pt idx="905">
                  <c:v>1.800000000000001E-6</c:v>
                </c:pt>
                <c:pt idx="906">
                  <c:v>1.800000000000001E-6</c:v>
                </c:pt>
                <c:pt idx="907">
                  <c:v>1.800000000000001E-6</c:v>
                </c:pt>
                <c:pt idx="908">
                  <c:v>1.800000000000001E-6</c:v>
                </c:pt>
                <c:pt idx="909">
                  <c:v>1.8000000000000014E-6</c:v>
                </c:pt>
                <c:pt idx="910">
                  <c:v>1.8000000000000014E-6</c:v>
                </c:pt>
                <c:pt idx="911">
                  <c:v>1.8000000000000014E-6</c:v>
                </c:pt>
                <c:pt idx="912">
                  <c:v>1.8000000000000016E-6</c:v>
                </c:pt>
                <c:pt idx="913">
                  <c:v>1.8000000000000016E-6</c:v>
                </c:pt>
                <c:pt idx="914">
                  <c:v>1.8000000000000018E-6</c:v>
                </c:pt>
                <c:pt idx="915">
                  <c:v>1.8000000000000018E-6</c:v>
                </c:pt>
                <c:pt idx="916">
                  <c:v>1.8000000000000018E-6</c:v>
                </c:pt>
                <c:pt idx="917">
                  <c:v>1.8000000000000018E-6</c:v>
                </c:pt>
                <c:pt idx="918">
                  <c:v>1.8000000000000018E-6</c:v>
                </c:pt>
                <c:pt idx="919">
                  <c:v>1.8000000000000014E-6</c:v>
                </c:pt>
                <c:pt idx="920">
                  <c:v>1.8000000000000018E-6</c:v>
                </c:pt>
                <c:pt idx="921">
                  <c:v>1.8000000000000018E-6</c:v>
                </c:pt>
                <c:pt idx="922">
                  <c:v>1.8000000000000018E-6</c:v>
                </c:pt>
                <c:pt idx="923">
                  <c:v>1.8000000000000018E-6</c:v>
                </c:pt>
                <c:pt idx="924">
                  <c:v>1.8000000000000022E-6</c:v>
                </c:pt>
                <c:pt idx="925">
                  <c:v>1.800000000000002E-6</c:v>
                </c:pt>
                <c:pt idx="926">
                  <c:v>1.800000000000002E-6</c:v>
                </c:pt>
                <c:pt idx="927">
                  <c:v>1.8000000000000022E-6</c:v>
                </c:pt>
                <c:pt idx="928">
                  <c:v>1.8000000000000025E-6</c:v>
                </c:pt>
                <c:pt idx="929">
                  <c:v>1.8000000000000027E-6</c:v>
                </c:pt>
                <c:pt idx="930">
                  <c:v>1.8000000000000027E-6</c:v>
                </c:pt>
                <c:pt idx="931">
                  <c:v>1.8000000000000027E-6</c:v>
                </c:pt>
                <c:pt idx="932">
                  <c:v>1.8000000000000025E-6</c:v>
                </c:pt>
                <c:pt idx="933">
                  <c:v>1.8000000000000027E-6</c:v>
                </c:pt>
                <c:pt idx="934">
                  <c:v>1.8000000000000027E-6</c:v>
                </c:pt>
                <c:pt idx="935">
                  <c:v>1.8000000000000029E-6</c:v>
                </c:pt>
                <c:pt idx="936">
                  <c:v>1.8000000000000029E-6</c:v>
                </c:pt>
                <c:pt idx="937">
                  <c:v>1.8000000000000029E-6</c:v>
                </c:pt>
                <c:pt idx="938">
                  <c:v>1.8000000000000031E-6</c:v>
                </c:pt>
                <c:pt idx="939">
                  <c:v>1.8000000000000031E-6</c:v>
                </c:pt>
                <c:pt idx="940">
                  <c:v>1.8000000000000031E-6</c:v>
                </c:pt>
                <c:pt idx="941">
                  <c:v>1.8000000000000031E-6</c:v>
                </c:pt>
                <c:pt idx="942">
                  <c:v>1.8000000000000035E-6</c:v>
                </c:pt>
                <c:pt idx="943">
                  <c:v>1.8000000000000035E-6</c:v>
                </c:pt>
                <c:pt idx="944">
                  <c:v>1.8000000000000035E-6</c:v>
                </c:pt>
                <c:pt idx="945">
                  <c:v>1.8000000000000031E-6</c:v>
                </c:pt>
                <c:pt idx="946">
                  <c:v>1.8000000000000033E-6</c:v>
                </c:pt>
                <c:pt idx="947">
                  <c:v>1.8000000000000035E-6</c:v>
                </c:pt>
                <c:pt idx="948">
                  <c:v>1.8000000000000035E-6</c:v>
                </c:pt>
                <c:pt idx="949">
                  <c:v>1.8000000000000035E-6</c:v>
                </c:pt>
                <c:pt idx="950">
                  <c:v>1.8000000000000035E-6</c:v>
                </c:pt>
                <c:pt idx="951">
                  <c:v>1.8000000000000035E-6</c:v>
                </c:pt>
                <c:pt idx="952">
                  <c:v>1.8000000000000037E-6</c:v>
                </c:pt>
                <c:pt idx="953">
                  <c:v>1.8000000000000035E-6</c:v>
                </c:pt>
                <c:pt idx="954">
                  <c:v>1.8000000000000035E-6</c:v>
                </c:pt>
                <c:pt idx="955">
                  <c:v>1.8000000000000035E-6</c:v>
                </c:pt>
                <c:pt idx="956">
                  <c:v>1.8000000000000035E-6</c:v>
                </c:pt>
                <c:pt idx="957">
                  <c:v>1.8000000000000035E-6</c:v>
                </c:pt>
                <c:pt idx="958">
                  <c:v>1.8000000000000035E-6</c:v>
                </c:pt>
                <c:pt idx="959">
                  <c:v>1.8000000000000035E-6</c:v>
                </c:pt>
                <c:pt idx="960">
                  <c:v>1.8000000000000035E-6</c:v>
                </c:pt>
                <c:pt idx="961">
                  <c:v>1.8000000000000035E-6</c:v>
                </c:pt>
                <c:pt idx="962">
                  <c:v>1.8000000000000033E-6</c:v>
                </c:pt>
                <c:pt idx="963">
                  <c:v>1.8000000000000033E-6</c:v>
                </c:pt>
                <c:pt idx="964">
                  <c:v>1.8000000000000035E-6</c:v>
                </c:pt>
                <c:pt idx="965">
                  <c:v>1.8000000000000035E-6</c:v>
                </c:pt>
                <c:pt idx="966">
                  <c:v>1.8000000000000035E-6</c:v>
                </c:pt>
                <c:pt idx="967">
                  <c:v>1.8000000000000035E-6</c:v>
                </c:pt>
                <c:pt idx="968">
                  <c:v>1.8000000000000035E-6</c:v>
                </c:pt>
                <c:pt idx="969">
                  <c:v>1.8000000000000039E-6</c:v>
                </c:pt>
                <c:pt idx="970">
                  <c:v>1.8000000000000037E-6</c:v>
                </c:pt>
                <c:pt idx="971">
                  <c:v>1.8000000000000039E-6</c:v>
                </c:pt>
                <c:pt idx="972">
                  <c:v>1.8000000000000037E-6</c:v>
                </c:pt>
                <c:pt idx="973">
                  <c:v>1.8000000000000035E-6</c:v>
                </c:pt>
                <c:pt idx="974">
                  <c:v>1.8000000000000035E-6</c:v>
                </c:pt>
                <c:pt idx="975">
                  <c:v>1.8000000000000035E-6</c:v>
                </c:pt>
                <c:pt idx="976">
                  <c:v>1.8000000000000035E-6</c:v>
                </c:pt>
                <c:pt idx="977">
                  <c:v>1.8000000000000035E-6</c:v>
                </c:pt>
                <c:pt idx="978">
                  <c:v>1.8000000000000035E-6</c:v>
                </c:pt>
                <c:pt idx="979">
                  <c:v>1.8000000000000035E-6</c:v>
                </c:pt>
                <c:pt idx="980">
                  <c:v>1.8000000000000035E-6</c:v>
                </c:pt>
                <c:pt idx="981">
                  <c:v>1.8000000000000035E-6</c:v>
                </c:pt>
                <c:pt idx="982">
                  <c:v>1.8000000000000035E-6</c:v>
                </c:pt>
                <c:pt idx="983">
                  <c:v>1.8000000000000037E-6</c:v>
                </c:pt>
                <c:pt idx="984">
                  <c:v>1.8000000000000039E-6</c:v>
                </c:pt>
                <c:pt idx="985">
                  <c:v>1.8000000000000039E-6</c:v>
                </c:pt>
                <c:pt idx="986">
                  <c:v>1.8000000000000037E-6</c:v>
                </c:pt>
                <c:pt idx="987">
                  <c:v>1.8000000000000037E-6</c:v>
                </c:pt>
                <c:pt idx="988">
                  <c:v>1.8000000000000037E-6</c:v>
                </c:pt>
                <c:pt idx="989">
                  <c:v>1.8000000000000037E-6</c:v>
                </c:pt>
                <c:pt idx="990">
                  <c:v>1.8000000000000039E-6</c:v>
                </c:pt>
                <c:pt idx="991">
                  <c:v>1.8000000000000037E-6</c:v>
                </c:pt>
                <c:pt idx="992">
                  <c:v>1.8000000000000037E-6</c:v>
                </c:pt>
                <c:pt idx="993">
                  <c:v>1.8000000000000039E-6</c:v>
                </c:pt>
                <c:pt idx="994">
                  <c:v>1.8000000000000039E-6</c:v>
                </c:pt>
                <c:pt idx="995">
                  <c:v>1.8000000000000039E-6</c:v>
                </c:pt>
                <c:pt idx="996">
                  <c:v>1.8000000000000039E-6</c:v>
                </c:pt>
                <c:pt idx="997">
                  <c:v>1.8000000000000039E-6</c:v>
                </c:pt>
                <c:pt idx="998">
                  <c:v>1.8000000000000039E-6</c:v>
                </c:pt>
                <c:pt idx="999">
                  <c:v>1.8000000000000042E-6</c:v>
                </c:pt>
                <c:pt idx="1000">
                  <c:v>1.8000000000000042E-6</c:v>
                </c:pt>
                <c:pt idx="1001">
                  <c:v>1.8000000000000039E-6</c:v>
                </c:pt>
                <c:pt idx="1002">
                  <c:v>1.8000000000000042E-6</c:v>
                </c:pt>
                <c:pt idx="1003">
                  <c:v>1.8000000000000044E-6</c:v>
                </c:pt>
                <c:pt idx="1004">
                  <c:v>1.8000000000000044E-6</c:v>
                </c:pt>
                <c:pt idx="1005">
                  <c:v>1.8000000000000044E-6</c:v>
                </c:pt>
                <c:pt idx="1006">
                  <c:v>1.8000000000000042E-6</c:v>
                </c:pt>
                <c:pt idx="1007">
                  <c:v>1.8000000000000039E-6</c:v>
                </c:pt>
                <c:pt idx="1008">
                  <c:v>1.8000000000000039E-6</c:v>
                </c:pt>
                <c:pt idx="1009">
                  <c:v>1.8000000000000039E-6</c:v>
                </c:pt>
                <c:pt idx="1010">
                  <c:v>1.8000000000000039E-6</c:v>
                </c:pt>
                <c:pt idx="1011">
                  <c:v>1.8000000000000037E-6</c:v>
                </c:pt>
                <c:pt idx="1012">
                  <c:v>1.8000000000000039E-6</c:v>
                </c:pt>
                <c:pt idx="1013">
                  <c:v>1.8000000000000039E-6</c:v>
                </c:pt>
                <c:pt idx="1014">
                  <c:v>1.8000000000000039E-6</c:v>
                </c:pt>
                <c:pt idx="1015">
                  <c:v>1.8000000000000037E-6</c:v>
                </c:pt>
                <c:pt idx="1016">
                  <c:v>1.8000000000000039E-6</c:v>
                </c:pt>
                <c:pt idx="1017">
                  <c:v>1.8000000000000037E-6</c:v>
                </c:pt>
                <c:pt idx="1018">
                  <c:v>1.8000000000000035E-6</c:v>
                </c:pt>
                <c:pt idx="1019">
                  <c:v>1.8000000000000037E-6</c:v>
                </c:pt>
                <c:pt idx="1020">
                  <c:v>1.8000000000000035E-6</c:v>
                </c:pt>
                <c:pt idx="1021">
                  <c:v>1.8000000000000039E-6</c:v>
                </c:pt>
                <c:pt idx="1022">
                  <c:v>1.8000000000000039E-6</c:v>
                </c:pt>
                <c:pt idx="1023">
                  <c:v>1.8000000000000037E-6</c:v>
                </c:pt>
                <c:pt idx="1024">
                  <c:v>1.8000000000000039E-6</c:v>
                </c:pt>
                <c:pt idx="1025">
                  <c:v>1.8000000000000039E-6</c:v>
                </c:pt>
                <c:pt idx="1026">
                  <c:v>1.8000000000000039E-6</c:v>
                </c:pt>
                <c:pt idx="1027">
                  <c:v>1.8000000000000039E-6</c:v>
                </c:pt>
                <c:pt idx="1028">
                  <c:v>1.8000000000000039E-6</c:v>
                </c:pt>
                <c:pt idx="1029">
                  <c:v>1.8000000000000039E-6</c:v>
                </c:pt>
                <c:pt idx="1030">
                  <c:v>1.8000000000000039E-6</c:v>
                </c:pt>
                <c:pt idx="1031">
                  <c:v>1.8000000000000039E-6</c:v>
                </c:pt>
                <c:pt idx="1032">
                  <c:v>1.8000000000000039E-6</c:v>
                </c:pt>
                <c:pt idx="1033">
                  <c:v>1.8000000000000039E-6</c:v>
                </c:pt>
                <c:pt idx="1034">
                  <c:v>1.8000000000000037E-6</c:v>
                </c:pt>
                <c:pt idx="1035">
                  <c:v>1.8000000000000039E-6</c:v>
                </c:pt>
                <c:pt idx="1036">
                  <c:v>1.8000000000000039E-6</c:v>
                </c:pt>
                <c:pt idx="1037">
                  <c:v>1.8000000000000039E-6</c:v>
                </c:pt>
                <c:pt idx="1038">
                  <c:v>1.8000000000000039E-6</c:v>
                </c:pt>
                <c:pt idx="1039">
                  <c:v>1.8000000000000039E-6</c:v>
                </c:pt>
                <c:pt idx="1040">
                  <c:v>1.8000000000000039E-6</c:v>
                </c:pt>
                <c:pt idx="1041">
                  <c:v>1.8000000000000042E-6</c:v>
                </c:pt>
                <c:pt idx="1042">
                  <c:v>1.8000000000000039E-6</c:v>
                </c:pt>
                <c:pt idx="1043">
                  <c:v>1.8000000000000037E-6</c:v>
                </c:pt>
                <c:pt idx="1044">
                  <c:v>1.8000000000000037E-6</c:v>
                </c:pt>
                <c:pt idx="1045">
                  <c:v>1.8000000000000037E-6</c:v>
                </c:pt>
                <c:pt idx="1046">
                  <c:v>1.8000000000000039E-6</c:v>
                </c:pt>
                <c:pt idx="1047">
                  <c:v>1.8000000000000039E-6</c:v>
                </c:pt>
                <c:pt idx="1048">
                  <c:v>1.8000000000000039E-6</c:v>
                </c:pt>
                <c:pt idx="1049">
                  <c:v>1.8000000000000039E-6</c:v>
                </c:pt>
                <c:pt idx="1050">
                  <c:v>1.8000000000000037E-6</c:v>
                </c:pt>
                <c:pt idx="1051">
                  <c:v>1.8000000000000039E-6</c:v>
                </c:pt>
                <c:pt idx="1052">
                  <c:v>1.8000000000000039E-6</c:v>
                </c:pt>
                <c:pt idx="1053">
                  <c:v>1.8000000000000037E-6</c:v>
                </c:pt>
                <c:pt idx="1054">
                  <c:v>1.8000000000000037E-6</c:v>
                </c:pt>
                <c:pt idx="1055">
                  <c:v>1.8000000000000035E-6</c:v>
                </c:pt>
                <c:pt idx="1056">
                  <c:v>1.8000000000000035E-6</c:v>
                </c:pt>
                <c:pt idx="1057">
                  <c:v>1.8000000000000035E-6</c:v>
                </c:pt>
                <c:pt idx="1058">
                  <c:v>1.8000000000000035E-6</c:v>
                </c:pt>
                <c:pt idx="1059">
                  <c:v>1.8000000000000035E-6</c:v>
                </c:pt>
                <c:pt idx="1060">
                  <c:v>1.8000000000000035E-6</c:v>
                </c:pt>
                <c:pt idx="1061">
                  <c:v>1.8000000000000035E-6</c:v>
                </c:pt>
                <c:pt idx="1062">
                  <c:v>1.8000000000000035E-6</c:v>
                </c:pt>
                <c:pt idx="1063">
                  <c:v>1.8000000000000037E-6</c:v>
                </c:pt>
                <c:pt idx="1064">
                  <c:v>1.8000000000000039E-6</c:v>
                </c:pt>
                <c:pt idx="1065">
                  <c:v>1.8000000000000037E-6</c:v>
                </c:pt>
                <c:pt idx="1066">
                  <c:v>1.8000000000000037E-6</c:v>
                </c:pt>
                <c:pt idx="1067">
                  <c:v>1.8000000000000037E-6</c:v>
                </c:pt>
                <c:pt idx="1068">
                  <c:v>1.8000000000000035E-6</c:v>
                </c:pt>
                <c:pt idx="1069">
                  <c:v>1.8000000000000035E-6</c:v>
                </c:pt>
                <c:pt idx="1070">
                  <c:v>1.8000000000000035E-6</c:v>
                </c:pt>
                <c:pt idx="1071">
                  <c:v>1.8000000000000037E-6</c:v>
                </c:pt>
                <c:pt idx="1072">
                  <c:v>1.8000000000000037E-6</c:v>
                </c:pt>
                <c:pt idx="1073">
                  <c:v>1.8000000000000039E-6</c:v>
                </c:pt>
                <c:pt idx="1074">
                  <c:v>1.8000000000000037E-6</c:v>
                </c:pt>
                <c:pt idx="1075">
                  <c:v>1.8000000000000039E-6</c:v>
                </c:pt>
                <c:pt idx="1076">
                  <c:v>1.8000000000000039E-6</c:v>
                </c:pt>
                <c:pt idx="1077">
                  <c:v>1.8000000000000039E-6</c:v>
                </c:pt>
                <c:pt idx="1078">
                  <c:v>1.8000000000000039E-6</c:v>
                </c:pt>
                <c:pt idx="1079">
                  <c:v>1.8000000000000039E-6</c:v>
                </c:pt>
                <c:pt idx="1080">
                  <c:v>1.8000000000000039E-6</c:v>
                </c:pt>
                <c:pt idx="1081">
                  <c:v>1.8000000000000037E-6</c:v>
                </c:pt>
                <c:pt idx="1082">
                  <c:v>1.8000000000000039E-6</c:v>
                </c:pt>
                <c:pt idx="1083">
                  <c:v>1.8000000000000039E-6</c:v>
                </c:pt>
                <c:pt idx="1084">
                  <c:v>1.8000000000000039E-6</c:v>
                </c:pt>
                <c:pt idx="1085">
                  <c:v>1.8000000000000039E-6</c:v>
                </c:pt>
                <c:pt idx="1086">
                  <c:v>1.8000000000000039E-6</c:v>
                </c:pt>
                <c:pt idx="1087">
                  <c:v>1.8000000000000039E-6</c:v>
                </c:pt>
                <c:pt idx="1088">
                  <c:v>1.8000000000000037E-6</c:v>
                </c:pt>
                <c:pt idx="1089">
                  <c:v>1.8000000000000037E-6</c:v>
                </c:pt>
                <c:pt idx="1090">
                  <c:v>1.8000000000000037E-6</c:v>
                </c:pt>
                <c:pt idx="1091">
                  <c:v>1.8000000000000035E-6</c:v>
                </c:pt>
                <c:pt idx="1092">
                  <c:v>1.8000000000000035E-6</c:v>
                </c:pt>
                <c:pt idx="1093">
                  <c:v>1.8000000000000035E-6</c:v>
                </c:pt>
                <c:pt idx="1094">
                  <c:v>1.8000000000000031E-6</c:v>
                </c:pt>
                <c:pt idx="1095">
                  <c:v>1.8000000000000031E-6</c:v>
                </c:pt>
                <c:pt idx="1096">
                  <c:v>1.8000000000000031E-6</c:v>
                </c:pt>
                <c:pt idx="1097">
                  <c:v>1.8000000000000031E-6</c:v>
                </c:pt>
                <c:pt idx="1098">
                  <c:v>1.8000000000000031E-6</c:v>
                </c:pt>
                <c:pt idx="1099">
                  <c:v>1.8000000000000031E-6</c:v>
                </c:pt>
                <c:pt idx="1100">
                  <c:v>1.8000000000000031E-6</c:v>
                </c:pt>
                <c:pt idx="1101">
                  <c:v>1.8000000000000031E-6</c:v>
                </c:pt>
                <c:pt idx="1102">
                  <c:v>1.8000000000000031E-6</c:v>
                </c:pt>
                <c:pt idx="1103">
                  <c:v>1.8000000000000031E-6</c:v>
                </c:pt>
                <c:pt idx="1104">
                  <c:v>1.8000000000000033E-6</c:v>
                </c:pt>
                <c:pt idx="1105">
                  <c:v>1.8000000000000031E-6</c:v>
                </c:pt>
                <c:pt idx="1106">
                  <c:v>1.8000000000000027E-6</c:v>
                </c:pt>
                <c:pt idx="1107">
                  <c:v>1.8000000000000031E-6</c:v>
                </c:pt>
                <c:pt idx="1108">
                  <c:v>1.8000000000000027E-6</c:v>
                </c:pt>
                <c:pt idx="1109">
                  <c:v>1.8000000000000029E-6</c:v>
                </c:pt>
                <c:pt idx="1110">
                  <c:v>1.8000000000000029E-6</c:v>
                </c:pt>
                <c:pt idx="1111">
                  <c:v>1.8000000000000031E-6</c:v>
                </c:pt>
                <c:pt idx="1112">
                  <c:v>1.8000000000000029E-6</c:v>
                </c:pt>
                <c:pt idx="1113">
                  <c:v>1.8000000000000027E-6</c:v>
                </c:pt>
                <c:pt idx="1114">
                  <c:v>1.8000000000000029E-6</c:v>
                </c:pt>
                <c:pt idx="1115">
                  <c:v>1.8000000000000029E-6</c:v>
                </c:pt>
                <c:pt idx="1116">
                  <c:v>1.8000000000000029E-6</c:v>
                </c:pt>
                <c:pt idx="1117">
                  <c:v>1.8000000000000029E-6</c:v>
                </c:pt>
                <c:pt idx="1118">
                  <c:v>1.8000000000000031E-6</c:v>
                </c:pt>
                <c:pt idx="1119">
                  <c:v>1.8000000000000029E-6</c:v>
                </c:pt>
                <c:pt idx="1120">
                  <c:v>1.8000000000000027E-6</c:v>
                </c:pt>
                <c:pt idx="1121">
                  <c:v>1.8000000000000027E-6</c:v>
                </c:pt>
                <c:pt idx="1122">
                  <c:v>1.8000000000000027E-6</c:v>
                </c:pt>
                <c:pt idx="1123">
                  <c:v>1.8000000000000027E-6</c:v>
                </c:pt>
                <c:pt idx="1124">
                  <c:v>1.8000000000000027E-6</c:v>
                </c:pt>
                <c:pt idx="1125">
                  <c:v>1.8000000000000027E-6</c:v>
                </c:pt>
                <c:pt idx="1126">
                  <c:v>1.8000000000000027E-6</c:v>
                </c:pt>
                <c:pt idx="1127">
                  <c:v>1.8000000000000029E-6</c:v>
                </c:pt>
                <c:pt idx="1128">
                  <c:v>1.8000000000000027E-6</c:v>
                </c:pt>
                <c:pt idx="1129">
                  <c:v>1.8000000000000027E-6</c:v>
                </c:pt>
                <c:pt idx="1130">
                  <c:v>1.8000000000000027E-6</c:v>
                </c:pt>
                <c:pt idx="1131">
                  <c:v>1.8000000000000027E-6</c:v>
                </c:pt>
                <c:pt idx="1132">
                  <c:v>1.8000000000000027E-6</c:v>
                </c:pt>
                <c:pt idx="1133">
                  <c:v>1.8000000000000027E-6</c:v>
                </c:pt>
                <c:pt idx="1134">
                  <c:v>1.8000000000000027E-6</c:v>
                </c:pt>
                <c:pt idx="1135">
                  <c:v>1.8000000000000027E-6</c:v>
                </c:pt>
                <c:pt idx="1136">
                  <c:v>1.8000000000000027E-6</c:v>
                </c:pt>
                <c:pt idx="1137">
                  <c:v>1.8000000000000025E-6</c:v>
                </c:pt>
                <c:pt idx="1138">
                  <c:v>1.8000000000000025E-6</c:v>
                </c:pt>
                <c:pt idx="1139">
                  <c:v>1.8000000000000025E-6</c:v>
                </c:pt>
                <c:pt idx="1140">
                  <c:v>1.8000000000000027E-6</c:v>
                </c:pt>
                <c:pt idx="1141">
                  <c:v>1.8000000000000027E-6</c:v>
                </c:pt>
                <c:pt idx="1142">
                  <c:v>1.8000000000000025E-6</c:v>
                </c:pt>
                <c:pt idx="1143">
                  <c:v>1.8000000000000027E-6</c:v>
                </c:pt>
                <c:pt idx="1144">
                  <c:v>1.8000000000000027E-6</c:v>
                </c:pt>
                <c:pt idx="1145">
                  <c:v>1.8000000000000031E-6</c:v>
                </c:pt>
                <c:pt idx="1146">
                  <c:v>1.8000000000000029E-6</c:v>
                </c:pt>
                <c:pt idx="1147">
                  <c:v>1.8000000000000031E-6</c:v>
                </c:pt>
                <c:pt idx="1148">
                  <c:v>1.8000000000000031E-6</c:v>
                </c:pt>
                <c:pt idx="1149">
                  <c:v>1.8000000000000031E-6</c:v>
                </c:pt>
                <c:pt idx="1150">
                  <c:v>1.8000000000000029E-6</c:v>
                </c:pt>
                <c:pt idx="1151">
                  <c:v>1.8000000000000031E-6</c:v>
                </c:pt>
                <c:pt idx="1152">
                  <c:v>1.8000000000000029E-6</c:v>
                </c:pt>
                <c:pt idx="1153">
                  <c:v>1.8000000000000029E-6</c:v>
                </c:pt>
                <c:pt idx="1154">
                  <c:v>1.8000000000000029E-6</c:v>
                </c:pt>
                <c:pt idx="1155">
                  <c:v>1.8000000000000029E-6</c:v>
                </c:pt>
                <c:pt idx="1156">
                  <c:v>1.8000000000000029E-6</c:v>
                </c:pt>
                <c:pt idx="1157">
                  <c:v>1.8000000000000027E-6</c:v>
                </c:pt>
                <c:pt idx="1158">
                  <c:v>1.8000000000000027E-6</c:v>
                </c:pt>
                <c:pt idx="1159">
                  <c:v>1.8000000000000027E-6</c:v>
                </c:pt>
                <c:pt idx="1160">
                  <c:v>1.8000000000000029E-6</c:v>
                </c:pt>
                <c:pt idx="1161">
                  <c:v>1.8000000000000029E-6</c:v>
                </c:pt>
                <c:pt idx="1162">
                  <c:v>1.8000000000000031E-6</c:v>
                </c:pt>
                <c:pt idx="1163">
                  <c:v>1.8000000000000029E-6</c:v>
                </c:pt>
                <c:pt idx="1164">
                  <c:v>1.8000000000000027E-6</c:v>
                </c:pt>
                <c:pt idx="1165">
                  <c:v>1.8000000000000029E-6</c:v>
                </c:pt>
                <c:pt idx="1166">
                  <c:v>1.8000000000000029E-6</c:v>
                </c:pt>
                <c:pt idx="1167">
                  <c:v>1.8000000000000031E-6</c:v>
                </c:pt>
                <c:pt idx="1168">
                  <c:v>1.8000000000000031E-6</c:v>
                </c:pt>
                <c:pt idx="1169">
                  <c:v>1.8000000000000029E-6</c:v>
                </c:pt>
                <c:pt idx="1170">
                  <c:v>1.8000000000000027E-6</c:v>
                </c:pt>
                <c:pt idx="1171">
                  <c:v>1.8000000000000027E-6</c:v>
                </c:pt>
                <c:pt idx="1172">
                  <c:v>1.8000000000000027E-6</c:v>
                </c:pt>
                <c:pt idx="1173">
                  <c:v>1.8000000000000027E-6</c:v>
                </c:pt>
                <c:pt idx="1174">
                  <c:v>1.8000000000000027E-6</c:v>
                </c:pt>
                <c:pt idx="1175">
                  <c:v>1.8000000000000027E-6</c:v>
                </c:pt>
                <c:pt idx="1176">
                  <c:v>1.8000000000000025E-6</c:v>
                </c:pt>
                <c:pt idx="1177">
                  <c:v>1.8000000000000025E-6</c:v>
                </c:pt>
                <c:pt idx="1178">
                  <c:v>1.8000000000000022E-6</c:v>
                </c:pt>
                <c:pt idx="1179">
                  <c:v>1.8000000000000022E-6</c:v>
                </c:pt>
                <c:pt idx="1180">
                  <c:v>1.800000000000002E-6</c:v>
                </c:pt>
                <c:pt idx="1181">
                  <c:v>1.8000000000000022E-6</c:v>
                </c:pt>
                <c:pt idx="1182">
                  <c:v>1.8000000000000022E-6</c:v>
                </c:pt>
                <c:pt idx="1183">
                  <c:v>1.8000000000000025E-6</c:v>
                </c:pt>
                <c:pt idx="1184">
                  <c:v>1.8000000000000025E-6</c:v>
                </c:pt>
                <c:pt idx="1185">
                  <c:v>1.8000000000000025E-6</c:v>
                </c:pt>
                <c:pt idx="1186">
                  <c:v>1.8000000000000022E-6</c:v>
                </c:pt>
                <c:pt idx="1187">
                  <c:v>1.8000000000000025E-6</c:v>
                </c:pt>
                <c:pt idx="1188">
                  <c:v>1.800000000000002E-6</c:v>
                </c:pt>
                <c:pt idx="1189">
                  <c:v>1.8000000000000022E-6</c:v>
                </c:pt>
                <c:pt idx="1190">
                  <c:v>1.8000000000000018E-6</c:v>
                </c:pt>
                <c:pt idx="1191">
                  <c:v>1.8000000000000016E-6</c:v>
                </c:pt>
                <c:pt idx="1192">
                  <c:v>1.8000000000000014E-6</c:v>
                </c:pt>
                <c:pt idx="1193">
                  <c:v>1.8000000000000014E-6</c:v>
                </c:pt>
                <c:pt idx="1194">
                  <c:v>1.8000000000000016E-6</c:v>
                </c:pt>
                <c:pt idx="1195">
                  <c:v>1.8000000000000014E-6</c:v>
                </c:pt>
                <c:pt idx="1196">
                  <c:v>1.8000000000000014E-6</c:v>
                </c:pt>
                <c:pt idx="1197">
                  <c:v>1.8000000000000016E-6</c:v>
                </c:pt>
                <c:pt idx="1198">
                  <c:v>1.8000000000000014E-6</c:v>
                </c:pt>
                <c:pt idx="1199">
                  <c:v>1.8000000000000014E-6</c:v>
                </c:pt>
                <c:pt idx="1200">
                  <c:v>1.8000000000000014E-6</c:v>
                </c:pt>
                <c:pt idx="1201">
                  <c:v>1.8000000000000012E-6</c:v>
                </c:pt>
                <c:pt idx="1202">
                  <c:v>1.800000000000001E-6</c:v>
                </c:pt>
                <c:pt idx="1203">
                  <c:v>1.8000000000000012E-6</c:v>
                </c:pt>
                <c:pt idx="1204">
                  <c:v>1.8000000000000012E-6</c:v>
                </c:pt>
                <c:pt idx="1205">
                  <c:v>1.8000000000000012E-6</c:v>
                </c:pt>
                <c:pt idx="1206">
                  <c:v>1.8000000000000014E-6</c:v>
                </c:pt>
                <c:pt idx="1207">
                  <c:v>1.8000000000000012E-6</c:v>
                </c:pt>
                <c:pt idx="1208">
                  <c:v>1.8000000000000014E-6</c:v>
                </c:pt>
                <c:pt idx="1209">
                  <c:v>1.800000000000001E-6</c:v>
                </c:pt>
                <c:pt idx="1210">
                  <c:v>1.8000000000000012E-6</c:v>
                </c:pt>
                <c:pt idx="1211">
                  <c:v>1.800000000000001E-6</c:v>
                </c:pt>
                <c:pt idx="1212">
                  <c:v>1.8000000000000012E-6</c:v>
                </c:pt>
                <c:pt idx="1213">
                  <c:v>1.8000000000000012E-6</c:v>
                </c:pt>
                <c:pt idx="1214">
                  <c:v>1.8000000000000012E-6</c:v>
                </c:pt>
                <c:pt idx="1215">
                  <c:v>1.8000000000000014E-6</c:v>
                </c:pt>
                <c:pt idx="1216">
                  <c:v>1.8000000000000012E-6</c:v>
                </c:pt>
                <c:pt idx="1217">
                  <c:v>1.8000000000000012E-6</c:v>
                </c:pt>
                <c:pt idx="1218">
                  <c:v>1.8000000000000012E-6</c:v>
                </c:pt>
                <c:pt idx="1219">
                  <c:v>1.800000000000001E-6</c:v>
                </c:pt>
                <c:pt idx="1220">
                  <c:v>1.800000000000001E-6</c:v>
                </c:pt>
                <c:pt idx="1221">
                  <c:v>1.800000000000001E-6</c:v>
                </c:pt>
                <c:pt idx="1222">
                  <c:v>1.8000000000000008E-6</c:v>
                </c:pt>
                <c:pt idx="1223">
                  <c:v>1.8000000000000008E-6</c:v>
                </c:pt>
                <c:pt idx="1224">
                  <c:v>1.8000000000000008E-6</c:v>
                </c:pt>
                <c:pt idx="1225">
                  <c:v>1.8000000000000008E-6</c:v>
                </c:pt>
                <c:pt idx="1226">
                  <c:v>1.8000000000000008E-6</c:v>
                </c:pt>
                <c:pt idx="1227">
                  <c:v>1.800000000000001E-6</c:v>
                </c:pt>
                <c:pt idx="1228">
                  <c:v>1.800000000000001E-6</c:v>
                </c:pt>
                <c:pt idx="1229">
                  <c:v>1.8000000000000008E-6</c:v>
                </c:pt>
                <c:pt idx="1230">
                  <c:v>1.8000000000000008E-6</c:v>
                </c:pt>
                <c:pt idx="1231">
                  <c:v>1.8000000000000006E-6</c:v>
                </c:pt>
                <c:pt idx="1232">
                  <c:v>1.8000000000000003E-6</c:v>
                </c:pt>
                <c:pt idx="1233">
                  <c:v>1.8000000000000001E-6</c:v>
                </c:pt>
                <c:pt idx="1234">
                  <c:v>1.8000000000000001E-6</c:v>
                </c:pt>
                <c:pt idx="1235">
                  <c:v>1.8000000000000006E-6</c:v>
                </c:pt>
                <c:pt idx="1236">
                  <c:v>1.8000000000000003E-6</c:v>
                </c:pt>
                <c:pt idx="1237">
                  <c:v>1.8000000000000003E-6</c:v>
                </c:pt>
                <c:pt idx="1238">
                  <c:v>1.8000000000000001E-6</c:v>
                </c:pt>
                <c:pt idx="1239">
                  <c:v>1.8000000000000001E-6</c:v>
                </c:pt>
                <c:pt idx="1240">
                  <c:v>1.8000000000000001E-6</c:v>
                </c:pt>
                <c:pt idx="1241">
                  <c:v>1.8000000000000003E-6</c:v>
                </c:pt>
                <c:pt idx="1242">
                  <c:v>1.8000000000000003E-6</c:v>
                </c:pt>
                <c:pt idx="1243">
                  <c:v>1.8000000000000003E-6</c:v>
                </c:pt>
                <c:pt idx="1244">
                  <c:v>1.8000000000000003E-6</c:v>
                </c:pt>
                <c:pt idx="1245">
                  <c:v>1.8000000000000003E-6</c:v>
                </c:pt>
                <c:pt idx="1246">
                  <c:v>1.8000000000000003E-6</c:v>
                </c:pt>
                <c:pt idx="1247">
                  <c:v>1.8000000000000003E-6</c:v>
                </c:pt>
                <c:pt idx="1248">
                  <c:v>1.8000000000000003E-6</c:v>
                </c:pt>
                <c:pt idx="1249">
                  <c:v>1.8000000000000006E-6</c:v>
                </c:pt>
                <c:pt idx="1250">
                  <c:v>1.8000000000000003E-6</c:v>
                </c:pt>
                <c:pt idx="1251">
                  <c:v>1.8000000000000006E-6</c:v>
                </c:pt>
                <c:pt idx="1252">
                  <c:v>1.8000000000000006E-6</c:v>
                </c:pt>
                <c:pt idx="1253">
                  <c:v>1.8000000000000006E-6</c:v>
                </c:pt>
                <c:pt idx="1254">
                  <c:v>1.8000000000000006E-6</c:v>
                </c:pt>
                <c:pt idx="1255">
                  <c:v>1.800000000000001E-6</c:v>
                </c:pt>
                <c:pt idx="1256">
                  <c:v>1.800000000000001E-6</c:v>
                </c:pt>
                <c:pt idx="1257">
                  <c:v>1.8000000000000006E-6</c:v>
                </c:pt>
                <c:pt idx="1258">
                  <c:v>1.8000000000000006E-6</c:v>
                </c:pt>
                <c:pt idx="1259">
                  <c:v>1.8000000000000003E-6</c:v>
                </c:pt>
                <c:pt idx="1260">
                  <c:v>1.8000000000000001E-6</c:v>
                </c:pt>
                <c:pt idx="1261">
                  <c:v>1.8000000000000003E-6</c:v>
                </c:pt>
                <c:pt idx="1262">
                  <c:v>1.8000000000000003E-6</c:v>
                </c:pt>
                <c:pt idx="1263">
                  <c:v>1.8000000000000001E-6</c:v>
                </c:pt>
                <c:pt idx="1264">
                  <c:v>1.8000000000000001E-6</c:v>
                </c:pt>
                <c:pt idx="1265">
                  <c:v>1.8000000000000003E-6</c:v>
                </c:pt>
                <c:pt idx="1266">
                  <c:v>1.8000000000000001E-6</c:v>
                </c:pt>
                <c:pt idx="1267">
                  <c:v>1.8000000000000003E-6</c:v>
                </c:pt>
                <c:pt idx="1268">
                  <c:v>1.8000000000000001E-6</c:v>
                </c:pt>
                <c:pt idx="1269">
                  <c:v>1.8000000000000001E-6</c:v>
                </c:pt>
                <c:pt idx="1270">
                  <c:v>1.8000000000000003E-6</c:v>
                </c:pt>
                <c:pt idx="1271">
                  <c:v>1.8000000000000001E-6</c:v>
                </c:pt>
                <c:pt idx="1272">
                  <c:v>1.8000000000000001E-6</c:v>
                </c:pt>
                <c:pt idx="1273">
                  <c:v>1.8000000000000001E-6</c:v>
                </c:pt>
                <c:pt idx="1274">
                  <c:v>1.8000000000000001E-6</c:v>
                </c:pt>
                <c:pt idx="1275">
                  <c:v>1.8000000000000001E-6</c:v>
                </c:pt>
                <c:pt idx="1276">
                  <c:v>1.7999999999999999E-6</c:v>
                </c:pt>
                <c:pt idx="1277">
                  <c:v>1.8000000000000001E-6</c:v>
                </c:pt>
                <c:pt idx="1278">
                  <c:v>1.7999999999999997E-6</c:v>
                </c:pt>
                <c:pt idx="1279">
                  <c:v>1.7999999999999997E-6</c:v>
                </c:pt>
                <c:pt idx="1280">
                  <c:v>1.7999999999999997E-6</c:v>
                </c:pt>
                <c:pt idx="1281">
                  <c:v>1.7999999999999997E-6</c:v>
                </c:pt>
                <c:pt idx="1282">
                  <c:v>1.7999999999999999E-6</c:v>
                </c:pt>
                <c:pt idx="1283">
                  <c:v>1.8000000000000001E-6</c:v>
                </c:pt>
                <c:pt idx="1284">
                  <c:v>1.7999999999999999E-6</c:v>
                </c:pt>
                <c:pt idx="1285">
                  <c:v>1.7999999999999999E-6</c:v>
                </c:pt>
                <c:pt idx="1286">
                  <c:v>1.7999999999999999E-6</c:v>
                </c:pt>
                <c:pt idx="1287">
                  <c:v>1.7999999999999999E-6</c:v>
                </c:pt>
                <c:pt idx="1288">
                  <c:v>1.8000000000000001E-6</c:v>
                </c:pt>
                <c:pt idx="1289">
                  <c:v>1.8000000000000001E-6</c:v>
                </c:pt>
                <c:pt idx="1290">
                  <c:v>1.8000000000000001E-6</c:v>
                </c:pt>
                <c:pt idx="1291">
                  <c:v>1.7999999999999999E-6</c:v>
                </c:pt>
                <c:pt idx="1292">
                  <c:v>1.8000000000000001E-6</c:v>
                </c:pt>
                <c:pt idx="1293">
                  <c:v>1.7999999999999999E-6</c:v>
                </c:pt>
                <c:pt idx="1294">
                  <c:v>1.7999999999999999E-6</c:v>
                </c:pt>
                <c:pt idx="1295">
                  <c:v>1.7999999999999997E-6</c:v>
                </c:pt>
                <c:pt idx="1296">
                  <c:v>1.7999999999999995E-6</c:v>
                </c:pt>
                <c:pt idx="1297">
                  <c:v>1.7999999999999997E-6</c:v>
                </c:pt>
                <c:pt idx="1298">
                  <c:v>1.7999999999999997E-6</c:v>
                </c:pt>
                <c:pt idx="1299">
                  <c:v>1.7999999999999997E-6</c:v>
                </c:pt>
                <c:pt idx="1300">
                  <c:v>1.7999999999999997E-6</c:v>
                </c:pt>
                <c:pt idx="1301">
                  <c:v>1.7999999999999997E-6</c:v>
                </c:pt>
                <c:pt idx="1302">
                  <c:v>1.7999999999999997E-6</c:v>
                </c:pt>
                <c:pt idx="1303">
                  <c:v>1.7999999999999997E-6</c:v>
                </c:pt>
                <c:pt idx="1304">
                  <c:v>1.7999999999999995E-6</c:v>
                </c:pt>
                <c:pt idx="1305">
                  <c:v>1.7999999999999997E-6</c:v>
                </c:pt>
                <c:pt idx="1306">
                  <c:v>1.7999999999999995E-6</c:v>
                </c:pt>
                <c:pt idx="1307">
                  <c:v>1.7999999999999995E-6</c:v>
                </c:pt>
                <c:pt idx="1308">
                  <c:v>1.7999999999999993E-6</c:v>
                </c:pt>
                <c:pt idx="1309">
                  <c:v>1.7999999999999993E-6</c:v>
                </c:pt>
                <c:pt idx="1310">
                  <c:v>1.7999999999999993E-6</c:v>
                </c:pt>
                <c:pt idx="1311">
                  <c:v>1.7999999999999993E-6</c:v>
                </c:pt>
                <c:pt idx="1312">
                  <c:v>1.7999999999999993E-6</c:v>
                </c:pt>
                <c:pt idx="1313">
                  <c:v>1.7999999999999995E-6</c:v>
                </c:pt>
                <c:pt idx="1314">
                  <c:v>1.7999999999999997E-6</c:v>
                </c:pt>
                <c:pt idx="1315">
                  <c:v>1.7999999999999995E-6</c:v>
                </c:pt>
                <c:pt idx="1316">
                  <c:v>1.7999999999999997E-6</c:v>
                </c:pt>
                <c:pt idx="1317">
                  <c:v>1.7999999999999997E-6</c:v>
                </c:pt>
                <c:pt idx="1318">
                  <c:v>1.7999999999999995E-6</c:v>
                </c:pt>
                <c:pt idx="1319">
                  <c:v>1.7999999999999995E-6</c:v>
                </c:pt>
                <c:pt idx="1320">
                  <c:v>1.7999999999999997E-6</c:v>
                </c:pt>
                <c:pt idx="1321">
                  <c:v>1.7999999999999997E-6</c:v>
                </c:pt>
                <c:pt idx="1322">
                  <c:v>1.7999999999999997E-6</c:v>
                </c:pt>
                <c:pt idx="1323">
                  <c:v>1.7999999999999997E-6</c:v>
                </c:pt>
                <c:pt idx="1324">
                  <c:v>1.7999999999999997E-6</c:v>
                </c:pt>
                <c:pt idx="1325">
                  <c:v>1.7999999999999999E-6</c:v>
                </c:pt>
                <c:pt idx="1326">
                  <c:v>1.7999999999999997E-6</c:v>
                </c:pt>
                <c:pt idx="1327">
                  <c:v>1.7999999999999997E-6</c:v>
                </c:pt>
                <c:pt idx="1328">
                  <c:v>1.7999999999999997E-6</c:v>
                </c:pt>
                <c:pt idx="1329">
                  <c:v>1.7999999999999999E-6</c:v>
                </c:pt>
                <c:pt idx="1330">
                  <c:v>1.7999999999999997E-6</c:v>
                </c:pt>
                <c:pt idx="1331">
                  <c:v>1.7999999999999999E-6</c:v>
                </c:pt>
                <c:pt idx="1332">
                  <c:v>1.7999999999999997E-6</c:v>
                </c:pt>
                <c:pt idx="1333">
                  <c:v>1.7999999999999997E-6</c:v>
                </c:pt>
                <c:pt idx="1334">
                  <c:v>1.7999999999999997E-6</c:v>
                </c:pt>
                <c:pt idx="1335">
                  <c:v>1.7999999999999997E-6</c:v>
                </c:pt>
                <c:pt idx="1336">
                  <c:v>1.7999999999999997E-6</c:v>
                </c:pt>
                <c:pt idx="1337">
                  <c:v>1.7999999999999997E-6</c:v>
                </c:pt>
                <c:pt idx="1338">
                  <c:v>1.7999999999999999E-6</c:v>
                </c:pt>
                <c:pt idx="1339">
                  <c:v>1.7999999999999997E-6</c:v>
                </c:pt>
                <c:pt idx="1340">
                  <c:v>1.7999999999999997E-6</c:v>
                </c:pt>
                <c:pt idx="1341">
                  <c:v>1.7999999999999999E-6</c:v>
                </c:pt>
                <c:pt idx="1342">
                  <c:v>1.8000000000000001E-6</c:v>
                </c:pt>
                <c:pt idx="1343">
                  <c:v>1.7999999999999999E-6</c:v>
                </c:pt>
                <c:pt idx="1344">
                  <c:v>1.7999999999999999E-6</c:v>
                </c:pt>
                <c:pt idx="1345">
                  <c:v>1.7999999999999999E-6</c:v>
                </c:pt>
                <c:pt idx="1346">
                  <c:v>1.7999999999999999E-6</c:v>
                </c:pt>
                <c:pt idx="1347">
                  <c:v>1.7999999999999999E-6</c:v>
                </c:pt>
                <c:pt idx="1348">
                  <c:v>1.8000000000000001E-6</c:v>
                </c:pt>
                <c:pt idx="1349">
                  <c:v>1.8000000000000001E-6</c:v>
                </c:pt>
                <c:pt idx="1350">
                  <c:v>1.8000000000000001E-6</c:v>
                </c:pt>
                <c:pt idx="1351">
                  <c:v>1.8000000000000001E-6</c:v>
                </c:pt>
                <c:pt idx="1352">
                  <c:v>1.7999999999999999E-6</c:v>
                </c:pt>
                <c:pt idx="1353">
                  <c:v>1.7999999999999999E-6</c:v>
                </c:pt>
                <c:pt idx="1354">
                  <c:v>1.7999999999999997E-6</c:v>
                </c:pt>
                <c:pt idx="1355">
                  <c:v>1.7999999999999997E-6</c:v>
                </c:pt>
                <c:pt idx="1356">
                  <c:v>1.7999999999999997E-6</c:v>
                </c:pt>
                <c:pt idx="1357">
                  <c:v>1.7999999999999997E-6</c:v>
                </c:pt>
                <c:pt idx="1358">
                  <c:v>1.7999999999999997E-6</c:v>
                </c:pt>
                <c:pt idx="1359">
                  <c:v>1.7999999999999997E-6</c:v>
                </c:pt>
                <c:pt idx="1360">
                  <c:v>1.7999999999999997E-6</c:v>
                </c:pt>
                <c:pt idx="1361">
                  <c:v>1.7999999999999999E-6</c:v>
                </c:pt>
                <c:pt idx="1362">
                  <c:v>1.7999999999999997E-6</c:v>
                </c:pt>
                <c:pt idx="1363">
                  <c:v>1.7999999999999997E-6</c:v>
                </c:pt>
                <c:pt idx="1364">
                  <c:v>1.7999999999999997E-6</c:v>
                </c:pt>
                <c:pt idx="1365">
                  <c:v>1.7999999999999999E-6</c:v>
                </c:pt>
                <c:pt idx="1366">
                  <c:v>1.7999999999999999E-6</c:v>
                </c:pt>
                <c:pt idx="1367">
                  <c:v>1.8000000000000001E-6</c:v>
                </c:pt>
                <c:pt idx="1368">
                  <c:v>1.7999999999999997E-6</c:v>
                </c:pt>
                <c:pt idx="1369">
                  <c:v>1.7999999999999997E-6</c:v>
                </c:pt>
                <c:pt idx="1370">
                  <c:v>1.7999999999999999E-6</c:v>
                </c:pt>
                <c:pt idx="1371">
                  <c:v>1.7999999999999997E-6</c:v>
                </c:pt>
                <c:pt idx="1372">
                  <c:v>1.7999999999999997E-6</c:v>
                </c:pt>
                <c:pt idx="1373">
                  <c:v>1.7999999999999997E-6</c:v>
                </c:pt>
                <c:pt idx="1374">
                  <c:v>1.7999999999999999E-6</c:v>
                </c:pt>
                <c:pt idx="1375">
                  <c:v>1.7999999999999999E-6</c:v>
                </c:pt>
                <c:pt idx="1376">
                  <c:v>1.7999999999999997E-6</c:v>
                </c:pt>
                <c:pt idx="1377">
                  <c:v>1.7999999999999999E-6</c:v>
                </c:pt>
                <c:pt idx="1378">
                  <c:v>1.7999999999999999E-6</c:v>
                </c:pt>
                <c:pt idx="1379">
                  <c:v>1.7999999999999997E-6</c:v>
                </c:pt>
                <c:pt idx="1380">
                  <c:v>1.7999999999999997E-6</c:v>
                </c:pt>
                <c:pt idx="1381">
                  <c:v>1.7999999999999997E-6</c:v>
                </c:pt>
                <c:pt idx="1382">
                  <c:v>1.7999999999999997E-6</c:v>
                </c:pt>
                <c:pt idx="1383">
                  <c:v>1.7999999999999997E-6</c:v>
                </c:pt>
                <c:pt idx="1384">
                  <c:v>1.7999999999999999E-6</c:v>
                </c:pt>
                <c:pt idx="1385">
                  <c:v>1.7999999999999997E-6</c:v>
                </c:pt>
                <c:pt idx="1386">
                  <c:v>1.7999999999999999E-6</c:v>
                </c:pt>
                <c:pt idx="1387">
                  <c:v>1.7999999999999997E-6</c:v>
                </c:pt>
                <c:pt idx="1388">
                  <c:v>1.7999999999999997E-6</c:v>
                </c:pt>
                <c:pt idx="1389">
                  <c:v>1.7999999999999997E-6</c:v>
                </c:pt>
                <c:pt idx="1390">
                  <c:v>1.7999999999999997E-6</c:v>
                </c:pt>
                <c:pt idx="1391">
                  <c:v>1.7999999999999997E-6</c:v>
                </c:pt>
                <c:pt idx="1392">
                  <c:v>1.7999999999999997E-6</c:v>
                </c:pt>
                <c:pt idx="1393">
                  <c:v>1.7999999999999997E-6</c:v>
                </c:pt>
                <c:pt idx="1394">
                  <c:v>1.7999999999999999E-6</c:v>
                </c:pt>
                <c:pt idx="1395">
                  <c:v>1.7999999999999997E-6</c:v>
                </c:pt>
                <c:pt idx="1396">
                  <c:v>1.7999999999999997E-6</c:v>
                </c:pt>
                <c:pt idx="1397">
                  <c:v>1.7999999999999997E-6</c:v>
                </c:pt>
                <c:pt idx="1398">
                  <c:v>1.7999999999999997E-6</c:v>
                </c:pt>
                <c:pt idx="1399">
                  <c:v>1.7999999999999997E-6</c:v>
                </c:pt>
                <c:pt idx="1400">
                  <c:v>1.7999999999999997E-6</c:v>
                </c:pt>
                <c:pt idx="1401">
                  <c:v>1.7999999999999999E-6</c:v>
                </c:pt>
                <c:pt idx="1402">
                  <c:v>1.7999999999999997E-6</c:v>
                </c:pt>
                <c:pt idx="1403">
                  <c:v>1.7999999999999997E-6</c:v>
                </c:pt>
                <c:pt idx="1404">
                  <c:v>1.7999999999999995E-6</c:v>
                </c:pt>
                <c:pt idx="1405">
                  <c:v>1.7999999999999995E-6</c:v>
                </c:pt>
                <c:pt idx="1406">
                  <c:v>1.7999999999999995E-6</c:v>
                </c:pt>
                <c:pt idx="1407">
                  <c:v>1.7999999999999997E-6</c:v>
                </c:pt>
                <c:pt idx="1408">
                  <c:v>1.7999999999999997E-6</c:v>
                </c:pt>
                <c:pt idx="1409">
                  <c:v>1.7999999999999995E-6</c:v>
                </c:pt>
                <c:pt idx="1410">
                  <c:v>1.7999999999999997E-6</c:v>
                </c:pt>
                <c:pt idx="1411">
                  <c:v>1.7999999999999995E-6</c:v>
                </c:pt>
                <c:pt idx="1412">
                  <c:v>1.7999999999999995E-6</c:v>
                </c:pt>
                <c:pt idx="1413">
                  <c:v>1.7999999999999995E-6</c:v>
                </c:pt>
                <c:pt idx="1414">
                  <c:v>1.7999999999999995E-6</c:v>
                </c:pt>
                <c:pt idx="1415">
                  <c:v>1.7999999999999995E-6</c:v>
                </c:pt>
                <c:pt idx="1416">
                  <c:v>1.7999999999999993E-6</c:v>
                </c:pt>
                <c:pt idx="1417">
                  <c:v>1.7999999999999995E-6</c:v>
                </c:pt>
                <c:pt idx="1418">
                  <c:v>1.7999999999999993E-6</c:v>
                </c:pt>
                <c:pt idx="1419">
                  <c:v>1.7999999999999993E-6</c:v>
                </c:pt>
                <c:pt idx="1420">
                  <c:v>1.7999999999999993E-6</c:v>
                </c:pt>
                <c:pt idx="1421">
                  <c:v>1.7999999999999993E-6</c:v>
                </c:pt>
                <c:pt idx="1422">
                  <c:v>1.7999999999999993E-6</c:v>
                </c:pt>
                <c:pt idx="1423">
                  <c:v>1.7999999999999993E-6</c:v>
                </c:pt>
                <c:pt idx="1424">
                  <c:v>1.7999999999999993E-6</c:v>
                </c:pt>
                <c:pt idx="1425">
                  <c:v>1.7999999999999993E-6</c:v>
                </c:pt>
                <c:pt idx="1426">
                  <c:v>1.7999999999999993E-6</c:v>
                </c:pt>
                <c:pt idx="1427">
                  <c:v>1.7999999999999993E-6</c:v>
                </c:pt>
                <c:pt idx="1428">
                  <c:v>1.7999999999999993E-6</c:v>
                </c:pt>
                <c:pt idx="1429">
                  <c:v>1.7999999999999993E-6</c:v>
                </c:pt>
                <c:pt idx="1430">
                  <c:v>1.7999999999999993E-6</c:v>
                </c:pt>
                <c:pt idx="1431">
                  <c:v>1.7999999999999991E-6</c:v>
                </c:pt>
                <c:pt idx="1432">
                  <c:v>1.7999999999999991E-6</c:v>
                </c:pt>
                <c:pt idx="1433">
                  <c:v>1.7999999999999993E-6</c:v>
                </c:pt>
                <c:pt idx="1434">
                  <c:v>1.7999999999999993E-6</c:v>
                </c:pt>
                <c:pt idx="1435">
                  <c:v>1.7999999999999991E-6</c:v>
                </c:pt>
                <c:pt idx="1436">
                  <c:v>1.7999999999999993E-6</c:v>
                </c:pt>
                <c:pt idx="1437">
                  <c:v>1.7999999999999991E-6</c:v>
                </c:pt>
                <c:pt idx="1438">
                  <c:v>1.7999999999999991E-6</c:v>
                </c:pt>
                <c:pt idx="1439">
                  <c:v>1.7999999999999991E-6</c:v>
                </c:pt>
                <c:pt idx="1440">
                  <c:v>1.7999999999999993E-6</c:v>
                </c:pt>
                <c:pt idx="1441">
                  <c:v>1.7999999999999993E-6</c:v>
                </c:pt>
                <c:pt idx="1442">
                  <c:v>1.7999999999999993E-6</c:v>
                </c:pt>
                <c:pt idx="1443">
                  <c:v>1.7999999999999993E-6</c:v>
                </c:pt>
                <c:pt idx="1444">
                  <c:v>1.7999999999999993E-6</c:v>
                </c:pt>
                <c:pt idx="1445">
                  <c:v>1.7999999999999993E-6</c:v>
                </c:pt>
                <c:pt idx="1446">
                  <c:v>1.7999999999999993E-6</c:v>
                </c:pt>
                <c:pt idx="1447">
                  <c:v>1.7999999999999993E-6</c:v>
                </c:pt>
                <c:pt idx="1448">
                  <c:v>1.7999999999999993E-6</c:v>
                </c:pt>
                <c:pt idx="1449">
                  <c:v>1.7999999999999991E-6</c:v>
                </c:pt>
                <c:pt idx="1450">
                  <c:v>1.7999999999999993E-6</c:v>
                </c:pt>
                <c:pt idx="1451">
                  <c:v>1.7999999999999991E-6</c:v>
                </c:pt>
                <c:pt idx="1452">
                  <c:v>1.7999999999999993E-6</c:v>
                </c:pt>
                <c:pt idx="1453">
                  <c:v>1.7999999999999991E-6</c:v>
                </c:pt>
                <c:pt idx="1454">
                  <c:v>1.7999999999999993E-6</c:v>
                </c:pt>
                <c:pt idx="1455">
                  <c:v>1.7999999999999991E-6</c:v>
                </c:pt>
                <c:pt idx="1456">
                  <c:v>1.7999999999999991E-6</c:v>
                </c:pt>
                <c:pt idx="1457">
                  <c:v>1.7999999999999993E-6</c:v>
                </c:pt>
                <c:pt idx="1458">
                  <c:v>1.7999999999999993E-6</c:v>
                </c:pt>
                <c:pt idx="1459">
                  <c:v>1.7999999999999993E-6</c:v>
                </c:pt>
                <c:pt idx="1460">
                  <c:v>1.7999999999999991E-6</c:v>
                </c:pt>
                <c:pt idx="1461">
                  <c:v>1.7999999999999989E-6</c:v>
                </c:pt>
                <c:pt idx="1462">
                  <c:v>1.7999999999999989E-6</c:v>
                </c:pt>
                <c:pt idx="1463">
                  <c:v>1.7999999999999989E-6</c:v>
                </c:pt>
                <c:pt idx="1464">
                  <c:v>1.7999999999999991E-6</c:v>
                </c:pt>
                <c:pt idx="1465">
                  <c:v>1.7999999999999989E-6</c:v>
                </c:pt>
                <c:pt idx="1466">
                  <c:v>1.7999999999999991E-6</c:v>
                </c:pt>
                <c:pt idx="1467">
                  <c:v>1.7999999999999993E-6</c:v>
                </c:pt>
                <c:pt idx="1468">
                  <c:v>1.7999999999999995E-6</c:v>
                </c:pt>
                <c:pt idx="1469">
                  <c:v>1.7999999999999995E-6</c:v>
                </c:pt>
                <c:pt idx="1470">
                  <c:v>1.7999999999999995E-6</c:v>
                </c:pt>
                <c:pt idx="1471">
                  <c:v>1.7999999999999995E-6</c:v>
                </c:pt>
                <c:pt idx="1472">
                  <c:v>1.7999999999999995E-6</c:v>
                </c:pt>
                <c:pt idx="1473">
                  <c:v>1.7999999999999995E-6</c:v>
                </c:pt>
                <c:pt idx="1474">
                  <c:v>1.7999999999999997E-6</c:v>
                </c:pt>
                <c:pt idx="1475">
                  <c:v>1.7999999999999995E-6</c:v>
                </c:pt>
                <c:pt idx="1476">
                  <c:v>1.7999999999999997E-6</c:v>
                </c:pt>
                <c:pt idx="1477">
                  <c:v>1.7999999999999997E-6</c:v>
                </c:pt>
                <c:pt idx="1478">
                  <c:v>1.8000000000000001E-6</c:v>
                </c:pt>
                <c:pt idx="1479">
                  <c:v>1.8000000000000001E-6</c:v>
                </c:pt>
                <c:pt idx="1480">
                  <c:v>1.8000000000000001E-6</c:v>
                </c:pt>
                <c:pt idx="1481">
                  <c:v>1.8000000000000001E-6</c:v>
                </c:pt>
                <c:pt idx="1482">
                  <c:v>1.7999999999999999E-6</c:v>
                </c:pt>
                <c:pt idx="1483">
                  <c:v>1.8000000000000001E-6</c:v>
                </c:pt>
                <c:pt idx="1484">
                  <c:v>1.8000000000000001E-6</c:v>
                </c:pt>
                <c:pt idx="1485">
                  <c:v>1.8000000000000001E-6</c:v>
                </c:pt>
                <c:pt idx="1486">
                  <c:v>1.7999999999999997E-6</c:v>
                </c:pt>
                <c:pt idx="1487">
                  <c:v>1.8000000000000001E-6</c:v>
                </c:pt>
                <c:pt idx="1488">
                  <c:v>1.7999999999999999E-6</c:v>
                </c:pt>
                <c:pt idx="1489">
                  <c:v>1.8000000000000001E-6</c:v>
                </c:pt>
                <c:pt idx="1490">
                  <c:v>1.8000000000000001E-6</c:v>
                </c:pt>
                <c:pt idx="1491">
                  <c:v>1.7999999999999999E-6</c:v>
                </c:pt>
                <c:pt idx="1492">
                  <c:v>1.8000000000000001E-6</c:v>
                </c:pt>
                <c:pt idx="1493">
                  <c:v>1.7999999999999999E-6</c:v>
                </c:pt>
                <c:pt idx="1494">
                  <c:v>1.8000000000000001E-6</c:v>
                </c:pt>
                <c:pt idx="1495">
                  <c:v>1.7999999999999999E-6</c:v>
                </c:pt>
                <c:pt idx="1496">
                  <c:v>1.7999999999999999E-6</c:v>
                </c:pt>
                <c:pt idx="1497">
                  <c:v>1.7999999999999997E-6</c:v>
                </c:pt>
                <c:pt idx="1498">
                  <c:v>1.7999999999999995E-6</c:v>
                </c:pt>
                <c:pt idx="1499">
                  <c:v>1.7999999999999993E-6</c:v>
                </c:pt>
                <c:pt idx="1500">
                  <c:v>1.7999999999999993E-6</c:v>
                </c:pt>
                <c:pt idx="1501">
                  <c:v>1.7999999999999995E-6</c:v>
                </c:pt>
                <c:pt idx="1502">
                  <c:v>1.7999999999999993E-6</c:v>
                </c:pt>
                <c:pt idx="1503">
                  <c:v>1.7999999999999993E-6</c:v>
                </c:pt>
                <c:pt idx="1504">
                  <c:v>1.7999999999999993E-6</c:v>
                </c:pt>
                <c:pt idx="1505">
                  <c:v>1.7999999999999991E-6</c:v>
                </c:pt>
                <c:pt idx="1506">
                  <c:v>1.7999999999999989E-6</c:v>
                </c:pt>
                <c:pt idx="1507">
                  <c:v>1.7999999999999993E-6</c:v>
                </c:pt>
                <c:pt idx="1508">
                  <c:v>1.7999999999999991E-6</c:v>
                </c:pt>
                <c:pt idx="1509">
                  <c:v>1.7999999999999989E-6</c:v>
                </c:pt>
                <c:pt idx="1510">
                  <c:v>1.7999999999999989E-6</c:v>
                </c:pt>
                <c:pt idx="1511">
                  <c:v>1.7999999999999993E-6</c:v>
                </c:pt>
                <c:pt idx="1512">
                  <c:v>1.7999999999999995E-6</c:v>
                </c:pt>
                <c:pt idx="1513">
                  <c:v>1.7999999999999993E-6</c:v>
                </c:pt>
                <c:pt idx="1514">
                  <c:v>1.7999999999999991E-6</c:v>
                </c:pt>
                <c:pt idx="1515">
                  <c:v>1.7999999999999989E-6</c:v>
                </c:pt>
                <c:pt idx="1516">
                  <c:v>1.7999999999999993E-6</c:v>
                </c:pt>
                <c:pt idx="1517">
                  <c:v>1.7999999999999993E-6</c:v>
                </c:pt>
                <c:pt idx="1518">
                  <c:v>1.7999999999999991E-6</c:v>
                </c:pt>
                <c:pt idx="1519">
                  <c:v>1.7999999999999991E-6</c:v>
                </c:pt>
                <c:pt idx="1520">
                  <c:v>1.7999999999999991E-6</c:v>
                </c:pt>
                <c:pt idx="1521">
                  <c:v>1.7999999999999993E-6</c:v>
                </c:pt>
                <c:pt idx="1522">
                  <c:v>1.7999999999999989E-6</c:v>
                </c:pt>
                <c:pt idx="1523">
                  <c:v>1.7999999999999989E-6</c:v>
                </c:pt>
                <c:pt idx="1524">
                  <c:v>1.7999999999999991E-6</c:v>
                </c:pt>
                <c:pt idx="1525">
                  <c:v>1.7999999999999989E-6</c:v>
                </c:pt>
                <c:pt idx="1526">
                  <c:v>1.7999999999999991E-6</c:v>
                </c:pt>
                <c:pt idx="1527">
                  <c:v>1.7999999999999993E-6</c:v>
                </c:pt>
                <c:pt idx="1528">
                  <c:v>1.7999999999999991E-6</c:v>
                </c:pt>
                <c:pt idx="1529">
                  <c:v>1.7999999999999995E-6</c:v>
                </c:pt>
                <c:pt idx="1530">
                  <c:v>1.7999999999999997E-6</c:v>
                </c:pt>
                <c:pt idx="1531">
                  <c:v>1.7999999999999995E-6</c:v>
                </c:pt>
                <c:pt idx="1532">
                  <c:v>1.7999999999999995E-6</c:v>
                </c:pt>
                <c:pt idx="1533">
                  <c:v>1.7999999999999993E-6</c:v>
                </c:pt>
                <c:pt idx="1534">
                  <c:v>1.7999999999999995E-6</c:v>
                </c:pt>
                <c:pt idx="1535">
                  <c:v>1.7999999999999991E-6</c:v>
                </c:pt>
                <c:pt idx="1536">
                  <c:v>1.7999999999999993E-6</c:v>
                </c:pt>
                <c:pt idx="1537">
                  <c:v>1.7999999999999991E-6</c:v>
                </c:pt>
                <c:pt idx="1538">
                  <c:v>1.7999999999999993E-6</c:v>
                </c:pt>
                <c:pt idx="1539">
                  <c:v>1.7999999999999993E-6</c:v>
                </c:pt>
                <c:pt idx="1540">
                  <c:v>1.7999999999999993E-6</c:v>
                </c:pt>
                <c:pt idx="1541">
                  <c:v>1.7999999999999993E-6</c:v>
                </c:pt>
                <c:pt idx="1542">
                  <c:v>1.7999999999999991E-6</c:v>
                </c:pt>
                <c:pt idx="1543">
                  <c:v>1.7999999999999989E-6</c:v>
                </c:pt>
                <c:pt idx="1544">
                  <c:v>1.7999999999999989E-6</c:v>
                </c:pt>
                <c:pt idx="1545">
                  <c:v>1.7999999999999989E-6</c:v>
                </c:pt>
                <c:pt idx="1546">
                  <c:v>1.7999999999999991E-6</c:v>
                </c:pt>
                <c:pt idx="1547">
                  <c:v>1.7999999999999991E-6</c:v>
                </c:pt>
                <c:pt idx="1548">
                  <c:v>1.7999999999999993E-6</c:v>
                </c:pt>
                <c:pt idx="1549">
                  <c:v>1.7999999999999991E-6</c:v>
                </c:pt>
                <c:pt idx="1550">
                  <c:v>1.7999999999999993E-6</c:v>
                </c:pt>
                <c:pt idx="1551">
                  <c:v>1.7999999999999991E-6</c:v>
                </c:pt>
                <c:pt idx="1552">
                  <c:v>1.7999999999999993E-6</c:v>
                </c:pt>
                <c:pt idx="1553">
                  <c:v>1.7999999999999993E-6</c:v>
                </c:pt>
                <c:pt idx="1554">
                  <c:v>1.7999999999999993E-6</c:v>
                </c:pt>
                <c:pt idx="1555">
                  <c:v>1.7999999999999995E-6</c:v>
                </c:pt>
                <c:pt idx="1556">
                  <c:v>1.7999999999999995E-6</c:v>
                </c:pt>
                <c:pt idx="1557">
                  <c:v>1.7999999999999995E-6</c:v>
                </c:pt>
                <c:pt idx="1558">
                  <c:v>1.7999999999999995E-6</c:v>
                </c:pt>
                <c:pt idx="1559">
                  <c:v>1.7999999999999995E-6</c:v>
                </c:pt>
                <c:pt idx="1560">
                  <c:v>1.7999999999999993E-6</c:v>
                </c:pt>
                <c:pt idx="1561">
                  <c:v>1.7999999999999995E-6</c:v>
                </c:pt>
                <c:pt idx="1562">
                  <c:v>1.7999999999999993E-6</c:v>
                </c:pt>
                <c:pt idx="1563">
                  <c:v>1.7999999999999993E-6</c:v>
                </c:pt>
                <c:pt idx="1564">
                  <c:v>1.7999999999999995E-6</c:v>
                </c:pt>
                <c:pt idx="1565">
                  <c:v>1.7999999999999995E-6</c:v>
                </c:pt>
                <c:pt idx="1566">
                  <c:v>1.7999999999999995E-6</c:v>
                </c:pt>
                <c:pt idx="1567">
                  <c:v>1.7999999999999995E-6</c:v>
                </c:pt>
                <c:pt idx="1568">
                  <c:v>1.7999999999999995E-6</c:v>
                </c:pt>
                <c:pt idx="1569">
                  <c:v>1.7999999999999993E-6</c:v>
                </c:pt>
                <c:pt idx="1570">
                  <c:v>1.7999999999999995E-6</c:v>
                </c:pt>
                <c:pt idx="1571">
                  <c:v>1.7999999999999993E-6</c:v>
                </c:pt>
                <c:pt idx="1572">
                  <c:v>1.7999999999999995E-6</c:v>
                </c:pt>
                <c:pt idx="1573">
                  <c:v>1.7999999999999993E-6</c:v>
                </c:pt>
                <c:pt idx="1574">
                  <c:v>1.7999999999999991E-6</c:v>
                </c:pt>
                <c:pt idx="1575">
                  <c:v>1.7999999999999993E-6</c:v>
                </c:pt>
                <c:pt idx="1576">
                  <c:v>1.7999999999999995E-6</c:v>
                </c:pt>
                <c:pt idx="1577">
                  <c:v>1.7999999999999995E-6</c:v>
                </c:pt>
                <c:pt idx="1578">
                  <c:v>1.7999999999999995E-6</c:v>
                </c:pt>
                <c:pt idx="1579">
                  <c:v>1.7999999999999995E-6</c:v>
                </c:pt>
                <c:pt idx="1580">
                  <c:v>1.7999999999999993E-6</c:v>
                </c:pt>
                <c:pt idx="1581">
                  <c:v>1.7999999999999997E-6</c:v>
                </c:pt>
                <c:pt idx="1582">
                  <c:v>1.7999999999999993E-6</c:v>
                </c:pt>
                <c:pt idx="1583">
                  <c:v>1.7999999999999995E-6</c:v>
                </c:pt>
                <c:pt idx="1584">
                  <c:v>1.7999999999999997E-6</c:v>
                </c:pt>
                <c:pt idx="1585">
                  <c:v>1.7999999999999997E-6</c:v>
                </c:pt>
                <c:pt idx="1586">
                  <c:v>1.7999999999999997E-6</c:v>
                </c:pt>
                <c:pt idx="1587">
                  <c:v>1.7999999999999999E-6</c:v>
                </c:pt>
                <c:pt idx="1588">
                  <c:v>1.7999999999999999E-6</c:v>
                </c:pt>
                <c:pt idx="1589">
                  <c:v>1.7999999999999995E-6</c:v>
                </c:pt>
                <c:pt idx="1590">
                  <c:v>1.7999999999999995E-6</c:v>
                </c:pt>
                <c:pt idx="1591">
                  <c:v>1.7999999999999995E-6</c:v>
                </c:pt>
                <c:pt idx="1592">
                  <c:v>1.7999999999999997E-6</c:v>
                </c:pt>
                <c:pt idx="1593">
                  <c:v>1.7999999999999997E-6</c:v>
                </c:pt>
                <c:pt idx="1594">
                  <c:v>1.7999999999999997E-6</c:v>
                </c:pt>
                <c:pt idx="1595">
                  <c:v>1.7999999999999997E-6</c:v>
                </c:pt>
                <c:pt idx="1596">
                  <c:v>1.7999999999999993E-6</c:v>
                </c:pt>
                <c:pt idx="1597">
                  <c:v>1.7999999999999993E-6</c:v>
                </c:pt>
                <c:pt idx="1598">
                  <c:v>1.7999999999999993E-6</c:v>
                </c:pt>
                <c:pt idx="1599">
                  <c:v>1.7999999999999993E-6</c:v>
                </c:pt>
                <c:pt idx="1600">
                  <c:v>1.7999999999999997E-6</c:v>
                </c:pt>
                <c:pt idx="1601">
                  <c:v>1.7999999999999997E-6</c:v>
                </c:pt>
                <c:pt idx="1602">
                  <c:v>1.7999999999999995E-6</c:v>
                </c:pt>
                <c:pt idx="1603">
                  <c:v>1.7999999999999995E-6</c:v>
                </c:pt>
                <c:pt idx="1604">
                  <c:v>1.7999999999999995E-6</c:v>
                </c:pt>
                <c:pt idx="1605">
                  <c:v>1.7999999999999993E-6</c:v>
                </c:pt>
                <c:pt idx="1606">
                  <c:v>1.7999999999999993E-6</c:v>
                </c:pt>
                <c:pt idx="1607">
                  <c:v>1.7999999999999993E-6</c:v>
                </c:pt>
                <c:pt idx="1608">
                  <c:v>1.7999999999999993E-6</c:v>
                </c:pt>
                <c:pt idx="1609">
                  <c:v>1.7999999999999993E-6</c:v>
                </c:pt>
                <c:pt idx="1610">
                  <c:v>1.7999999999999995E-6</c:v>
                </c:pt>
                <c:pt idx="1611">
                  <c:v>1.7999999999999993E-6</c:v>
                </c:pt>
                <c:pt idx="1612">
                  <c:v>1.7999999999999993E-6</c:v>
                </c:pt>
                <c:pt idx="1613">
                  <c:v>1.7999999999999993E-6</c:v>
                </c:pt>
                <c:pt idx="1614">
                  <c:v>1.7999999999999991E-6</c:v>
                </c:pt>
                <c:pt idx="1615">
                  <c:v>1.7999999999999993E-6</c:v>
                </c:pt>
                <c:pt idx="1616">
                  <c:v>1.7999999999999991E-6</c:v>
                </c:pt>
                <c:pt idx="1617">
                  <c:v>1.7999999999999989E-6</c:v>
                </c:pt>
                <c:pt idx="1618">
                  <c:v>1.7999999999999991E-6</c:v>
                </c:pt>
                <c:pt idx="1619">
                  <c:v>1.7999999999999991E-6</c:v>
                </c:pt>
                <c:pt idx="1620">
                  <c:v>1.7999999999999991E-6</c:v>
                </c:pt>
                <c:pt idx="1621">
                  <c:v>1.7999999999999993E-6</c:v>
                </c:pt>
                <c:pt idx="1622">
                  <c:v>1.7999999999999993E-6</c:v>
                </c:pt>
                <c:pt idx="1623">
                  <c:v>1.7999999999999993E-6</c:v>
                </c:pt>
                <c:pt idx="1624">
                  <c:v>1.7999999999999993E-6</c:v>
                </c:pt>
                <c:pt idx="1625">
                  <c:v>1.7999999999999993E-6</c:v>
                </c:pt>
                <c:pt idx="1626">
                  <c:v>1.7999999999999993E-6</c:v>
                </c:pt>
                <c:pt idx="1627">
                  <c:v>1.7999999999999991E-6</c:v>
                </c:pt>
                <c:pt idx="1628">
                  <c:v>1.7999999999999991E-6</c:v>
                </c:pt>
                <c:pt idx="1629">
                  <c:v>1.7999999999999991E-6</c:v>
                </c:pt>
                <c:pt idx="1630">
                  <c:v>1.7999999999999995E-6</c:v>
                </c:pt>
                <c:pt idx="1631">
                  <c:v>1.7999999999999995E-6</c:v>
                </c:pt>
                <c:pt idx="1632">
                  <c:v>1.7999999999999997E-6</c:v>
                </c:pt>
                <c:pt idx="1633">
                  <c:v>1.7999999999999999E-6</c:v>
                </c:pt>
                <c:pt idx="1634">
                  <c:v>1.8000000000000001E-6</c:v>
                </c:pt>
                <c:pt idx="1635">
                  <c:v>1.7999999999999999E-6</c:v>
                </c:pt>
                <c:pt idx="1636">
                  <c:v>1.7999999999999999E-6</c:v>
                </c:pt>
                <c:pt idx="1637">
                  <c:v>1.8000000000000001E-6</c:v>
                </c:pt>
                <c:pt idx="1638">
                  <c:v>1.8000000000000003E-6</c:v>
                </c:pt>
                <c:pt idx="1639">
                  <c:v>1.8000000000000001E-6</c:v>
                </c:pt>
                <c:pt idx="1640">
                  <c:v>1.8000000000000003E-6</c:v>
                </c:pt>
                <c:pt idx="1641">
                  <c:v>1.8000000000000006E-6</c:v>
                </c:pt>
                <c:pt idx="1642">
                  <c:v>1.8000000000000006E-6</c:v>
                </c:pt>
                <c:pt idx="1643">
                  <c:v>1.8000000000000003E-6</c:v>
                </c:pt>
                <c:pt idx="1644">
                  <c:v>1.8000000000000003E-6</c:v>
                </c:pt>
                <c:pt idx="1645">
                  <c:v>1.8000000000000003E-6</c:v>
                </c:pt>
                <c:pt idx="1646">
                  <c:v>1.8000000000000003E-6</c:v>
                </c:pt>
                <c:pt idx="1647">
                  <c:v>1.8000000000000003E-6</c:v>
                </c:pt>
                <c:pt idx="1648">
                  <c:v>1.8000000000000001E-6</c:v>
                </c:pt>
                <c:pt idx="1649">
                  <c:v>1.8000000000000001E-6</c:v>
                </c:pt>
                <c:pt idx="1650">
                  <c:v>1.7999999999999999E-6</c:v>
                </c:pt>
                <c:pt idx="1651">
                  <c:v>1.7999999999999999E-6</c:v>
                </c:pt>
                <c:pt idx="1652">
                  <c:v>1.8000000000000001E-6</c:v>
                </c:pt>
                <c:pt idx="1653">
                  <c:v>1.8000000000000001E-6</c:v>
                </c:pt>
                <c:pt idx="1654">
                  <c:v>1.7999999999999997E-6</c:v>
                </c:pt>
                <c:pt idx="1655">
                  <c:v>1.7999999999999997E-6</c:v>
                </c:pt>
                <c:pt idx="1656">
                  <c:v>1.7999999999999995E-6</c:v>
                </c:pt>
                <c:pt idx="1657">
                  <c:v>1.7999999999999997E-6</c:v>
                </c:pt>
                <c:pt idx="1658">
                  <c:v>1.7999999999999995E-6</c:v>
                </c:pt>
                <c:pt idx="1659">
                  <c:v>1.7999999999999999E-6</c:v>
                </c:pt>
                <c:pt idx="1660">
                  <c:v>1.7999999999999997E-6</c:v>
                </c:pt>
                <c:pt idx="1661">
                  <c:v>1.7999999999999997E-6</c:v>
                </c:pt>
                <c:pt idx="1662">
                  <c:v>1.7999999999999997E-6</c:v>
                </c:pt>
                <c:pt idx="1663">
                  <c:v>1.7999999999999995E-6</c:v>
                </c:pt>
                <c:pt idx="1664">
                  <c:v>1.7999999999999997E-6</c:v>
                </c:pt>
                <c:pt idx="1665">
                  <c:v>1.7999999999999999E-6</c:v>
                </c:pt>
                <c:pt idx="1666">
                  <c:v>1.8000000000000001E-6</c:v>
                </c:pt>
                <c:pt idx="1667">
                  <c:v>1.8000000000000003E-6</c:v>
                </c:pt>
                <c:pt idx="1668">
                  <c:v>1.8000000000000003E-6</c:v>
                </c:pt>
                <c:pt idx="1669">
                  <c:v>1.8000000000000006E-6</c:v>
                </c:pt>
                <c:pt idx="1670">
                  <c:v>1.8000000000000006E-6</c:v>
                </c:pt>
                <c:pt idx="1671">
                  <c:v>1.8000000000000006E-6</c:v>
                </c:pt>
                <c:pt idx="1672">
                  <c:v>1.8000000000000006E-6</c:v>
                </c:pt>
                <c:pt idx="1673">
                  <c:v>1.8000000000000008E-6</c:v>
                </c:pt>
                <c:pt idx="1674">
                  <c:v>1.800000000000001E-6</c:v>
                </c:pt>
                <c:pt idx="1675">
                  <c:v>1.8000000000000008E-6</c:v>
                </c:pt>
                <c:pt idx="1676">
                  <c:v>1.800000000000001E-6</c:v>
                </c:pt>
                <c:pt idx="1677">
                  <c:v>1.8000000000000008E-6</c:v>
                </c:pt>
                <c:pt idx="1678">
                  <c:v>1.800000000000001E-6</c:v>
                </c:pt>
                <c:pt idx="1679">
                  <c:v>1.8000000000000008E-6</c:v>
                </c:pt>
                <c:pt idx="1680">
                  <c:v>1.8000000000000008E-6</c:v>
                </c:pt>
                <c:pt idx="1681">
                  <c:v>1.8000000000000008E-6</c:v>
                </c:pt>
                <c:pt idx="1682">
                  <c:v>1.800000000000001E-6</c:v>
                </c:pt>
                <c:pt idx="1683">
                  <c:v>1.800000000000001E-6</c:v>
                </c:pt>
                <c:pt idx="1684">
                  <c:v>1.800000000000001E-6</c:v>
                </c:pt>
                <c:pt idx="1685">
                  <c:v>1.8000000000000008E-6</c:v>
                </c:pt>
                <c:pt idx="1686">
                  <c:v>1.8000000000000008E-6</c:v>
                </c:pt>
                <c:pt idx="1687">
                  <c:v>1.8000000000000006E-6</c:v>
                </c:pt>
                <c:pt idx="1688">
                  <c:v>1.8000000000000006E-6</c:v>
                </c:pt>
                <c:pt idx="1689">
                  <c:v>1.8000000000000006E-6</c:v>
                </c:pt>
                <c:pt idx="1690">
                  <c:v>1.800000000000001E-6</c:v>
                </c:pt>
                <c:pt idx="1691">
                  <c:v>1.800000000000001E-6</c:v>
                </c:pt>
                <c:pt idx="1692">
                  <c:v>1.800000000000001E-6</c:v>
                </c:pt>
                <c:pt idx="1693">
                  <c:v>1.8000000000000008E-6</c:v>
                </c:pt>
                <c:pt idx="1694">
                  <c:v>1.8000000000000008E-6</c:v>
                </c:pt>
                <c:pt idx="1695">
                  <c:v>1.8000000000000008E-6</c:v>
                </c:pt>
                <c:pt idx="1696">
                  <c:v>1.8000000000000008E-6</c:v>
                </c:pt>
                <c:pt idx="1697">
                  <c:v>1.8000000000000008E-6</c:v>
                </c:pt>
                <c:pt idx="1698">
                  <c:v>1.800000000000001E-6</c:v>
                </c:pt>
                <c:pt idx="1699">
                  <c:v>1.800000000000001E-6</c:v>
                </c:pt>
                <c:pt idx="1700">
                  <c:v>1.800000000000001E-6</c:v>
                </c:pt>
                <c:pt idx="1701">
                  <c:v>1.800000000000001E-6</c:v>
                </c:pt>
                <c:pt idx="1702">
                  <c:v>1.800000000000001E-6</c:v>
                </c:pt>
                <c:pt idx="1703">
                  <c:v>1.8000000000000014E-6</c:v>
                </c:pt>
                <c:pt idx="1704">
                  <c:v>1.8000000000000014E-6</c:v>
                </c:pt>
                <c:pt idx="1705">
                  <c:v>1.8000000000000014E-6</c:v>
                </c:pt>
                <c:pt idx="1706">
                  <c:v>1.8000000000000014E-6</c:v>
                </c:pt>
                <c:pt idx="1707">
                  <c:v>1.8000000000000014E-6</c:v>
                </c:pt>
                <c:pt idx="1708">
                  <c:v>1.8000000000000014E-6</c:v>
                </c:pt>
                <c:pt idx="1709">
                  <c:v>1.8000000000000012E-6</c:v>
                </c:pt>
                <c:pt idx="1710">
                  <c:v>1.8000000000000014E-6</c:v>
                </c:pt>
                <c:pt idx="1711">
                  <c:v>1.8000000000000012E-6</c:v>
                </c:pt>
                <c:pt idx="1712">
                  <c:v>1.8000000000000014E-6</c:v>
                </c:pt>
                <c:pt idx="1713">
                  <c:v>1.8000000000000014E-6</c:v>
                </c:pt>
                <c:pt idx="1714">
                  <c:v>1.8000000000000012E-6</c:v>
                </c:pt>
                <c:pt idx="1715">
                  <c:v>1.8000000000000016E-6</c:v>
                </c:pt>
                <c:pt idx="1716">
                  <c:v>1.8000000000000014E-6</c:v>
                </c:pt>
                <c:pt idx="1717">
                  <c:v>1.8000000000000016E-6</c:v>
                </c:pt>
                <c:pt idx="1718">
                  <c:v>1.8000000000000014E-6</c:v>
                </c:pt>
                <c:pt idx="1719">
                  <c:v>1.8000000000000018E-6</c:v>
                </c:pt>
                <c:pt idx="1720">
                  <c:v>1.8000000000000018E-6</c:v>
                </c:pt>
                <c:pt idx="1721">
                  <c:v>1.8000000000000018E-6</c:v>
                </c:pt>
                <c:pt idx="1722">
                  <c:v>1.8000000000000018E-6</c:v>
                </c:pt>
                <c:pt idx="1723">
                  <c:v>1.8000000000000016E-6</c:v>
                </c:pt>
                <c:pt idx="1724">
                  <c:v>1.8000000000000016E-6</c:v>
                </c:pt>
                <c:pt idx="1725">
                  <c:v>1.8000000000000016E-6</c:v>
                </c:pt>
                <c:pt idx="1726">
                  <c:v>1.8000000000000016E-6</c:v>
                </c:pt>
                <c:pt idx="1727">
                  <c:v>1.8000000000000016E-6</c:v>
                </c:pt>
                <c:pt idx="1728">
                  <c:v>1.8000000000000018E-6</c:v>
                </c:pt>
                <c:pt idx="1729">
                  <c:v>1.8000000000000016E-6</c:v>
                </c:pt>
                <c:pt idx="1730">
                  <c:v>1.8000000000000018E-6</c:v>
                </c:pt>
                <c:pt idx="1731">
                  <c:v>1.8000000000000018E-6</c:v>
                </c:pt>
                <c:pt idx="1732">
                  <c:v>1.8000000000000018E-6</c:v>
                </c:pt>
                <c:pt idx="1733">
                  <c:v>1.8000000000000018E-6</c:v>
                </c:pt>
                <c:pt idx="1734">
                  <c:v>1.8000000000000018E-6</c:v>
                </c:pt>
                <c:pt idx="1735">
                  <c:v>1.8000000000000018E-6</c:v>
                </c:pt>
                <c:pt idx="1736">
                  <c:v>1.8000000000000018E-6</c:v>
                </c:pt>
                <c:pt idx="1737">
                  <c:v>1.8000000000000018E-6</c:v>
                </c:pt>
                <c:pt idx="1738">
                  <c:v>1.8000000000000018E-6</c:v>
                </c:pt>
                <c:pt idx="1739">
                  <c:v>1.8000000000000016E-6</c:v>
                </c:pt>
                <c:pt idx="1740">
                  <c:v>1.8000000000000016E-6</c:v>
                </c:pt>
                <c:pt idx="1741">
                  <c:v>1.8000000000000016E-6</c:v>
                </c:pt>
                <c:pt idx="1742">
                  <c:v>1.800000000000002E-6</c:v>
                </c:pt>
                <c:pt idx="1743">
                  <c:v>1.8000000000000018E-6</c:v>
                </c:pt>
                <c:pt idx="1744">
                  <c:v>1.8000000000000018E-6</c:v>
                </c:pt>
                <c:pt idx="1745">
                  <c:v>1.8000000000000018E-6</c:v>
                </c:pt>
                <c:pt idx="1746">
                  <c:v>1.8000000000000016E-6</c:v>
                </c:pt>
                <c:pt idx="1747">
                  <c:v>1.8000000000000018E-6</c:v>
                </c:pt>
                <c:pt idx="1748">
                  <c:v>1.800000000000002E-6</c:v>
                </c:pt>
                <c:pt idx="1749">
                  <c:v>1.800000000000002E-6</c:v>
                </c:pt>
                <c:pt idx="1750">
                  <c:v>1.8000000000000018E-6</c:v>
                </c:pt>
                <c:pt idx="1751">
                  <c:v>1.8000000000000022E-6</c:v>
                </c:pt>
                <c:pt idx="1752">
                  <c:v>1.800000000000002E-6</c:v>
                </c:pt>
                <c:pt idx="1753">
                  <c:v>1.800000000000002E-6</c:v>
                </c:pt>
                <c:pt idx="1754">
                  <c:v>1.8000000000000022E-6</c:v>
                </c:pt>
                <c:pt idx="1755">
                  <c:v>1.8000000000000022E-6</c:v>
                </c:pt>
                <c:pt idx="1756">
                  <c:v>1.8000000000000022E-6</c:v>
                </c:pt>
                <c:pt idx="1757">
                  <c:v>1.8000000000000022E-6</c:v>
                </c:pt>
                <c:pt idx="1758">
                  <c:v>1.8000000000000022E-6</c:v>
                </c:pt>
                <c:pt idx="1759">
                  <c:v>1.800000000000002E-6</c:v>
                </c:pt>
                <c:pt idx="1760">
                  <c:v>1.800000000000002E-6</c:v>
                </c:pt>
                <c:pt idx="1761">
                  <c:v>1.8000000000000022E-6</c:v>
                </c:pt>
                <c:pt idx="1762">
                  <c:v>1.8000000000000022E-6</c:v>
                </c:pt>
                <c:pt idx="1763">
                  <c:v>1.800000000000002E-6</c:v>
                </c:pt>
                <c:pt idx="1764">
                  <c:v>1.8000000000000022E-6</c:v>
                </c:pt>
                <c:pt idx="1765">
                  <c:v>1.8000000000000022E-6</c:v>
                </c:pt>
                <c:pt idx="1766">
                  <c:v>1.8000000000000022E-6</c:v>
                </c:pt>
                <c:pt idx="1767">
                  <c:v>1.8000000000000022E-6</c:v>
                </c:pt>
                <c:pt idx="1768">
                  <c:v>1.8000000000000022E-6</c:v>
                </c:pt>
                <c:pt idx="1769">
                  <c:v>1.8000000000000022E-6</c:v>
                </c:pt>
                <c:pt idx="1770">
                  <c:v>1.800000000000002E-6</c:v>
                </c:pt>
                <c:pt idx="1771">
                  <c:v>1.8000000000000022E-6</c:v>
                </c:pt>
                <c:pt idx="1772">
                  <c:v>1.8000000000000022E-6</c:v>
                </c:pt>
                <c:pt idx="1773">
                  <c:v>1.8000000000000022E-6</c:v>
                </c:pt>
                <c:pt idx="1774">
                  <c:v>1.8000000000000022E-6</c:v>
                </c:pt>
                <c:pt idx="1775">
                  <c:v>1.800000000000002E-6</c:v>
                </c:pt>
                <c:pt idx="1776">
                  <c:v>1.8000000000000018E-6</c:v>
                </c:pt>
                <c:pt idx="1777">
                  <c:v>1.800000000000002E-6</c:v>
                </c:pt>
                <c:pt idx="1778">
                  <c:v>1.800000000000002E-6</c:v>
                </c:pt>
                <c:pt idx="1779">
                  <c:v>1.8000000000000018E-6</c:v>
                </c:pt>
                <c:pt idx="1780">
                  <c:v>1.800000000000002E-6</c:v>
                </c:pt>
                <c:pt idx="1781">
                  <c:v>1.800000000000002E-6</c:v>
                </c:pt>
                <c:pt idx="1782">
                  <c:v>1.800000000000002E-6</c:v>
                </c:pt>
                <c:pt idx="1783">
                  <c:v>1.8000000000000025E-6</c:v>
                </c:pt>
                <c:pt idx="1784">
                  <c:v>1.8000000000000025E-6</c:v>
                </c:pt>
                <c:pt idx="1785">
                  <c:v>1.8000000000000022E-6</c:v>
                </c:pt>
                <c:pt idx="1786">
                  <c:v>1.8000000000000025E-6</c:v>
                </c:pt>
                <c:pt idx="1787">
                  <c:v>1.8000000000000025E-6</c:v>
                </c:pt>
                <c:pt idx="1788">
                  <c:v>1.8000000000000025E-6</c:v>
                </c:pt>
                <c:pt idx="1789">
                  <c:v>1.8000000000000025E-6</c:v>
                </c:pt>
                <c:pt idx="1790">
                  <c:v>1.8000000000000022E-6</c:v>
                </c:pt>
                <c:pt idx="1791">
                  <c:v>1.8000000000000022E-6</c:v>
                </c:pt>
                <c:pt idx="1792">
                  <c:v>1.800000000000002E-6</c:v>
                </c:pt>
                <c:pt idx="1793">
                  <c:v>1.8000000000000022E-6</c:v>
                </c:pt>
                <c:pt idx="1794">
                  <c:v>1.800000000000002E-6</c:v>
                </c:pt>
                <c:pt idx="1795">
                  <c:v>1.800000000000002E-6</c:v>
                </c:pt>
                <c:pt idx="1796">
                  <c:v>1.8000000000000022E-6</c:v>
                </c:pt>
                <c:pt idx="1797">
                  <c:v>1.800000000000002E-6</c:v>
                </c:pt>
                <c:pt idx="1798">
                  <c:v>1.8000000000000018E-6</c:v>
                </c:pt>
                <c:pt idx="1799">
                  <c:v>1.800000000000002E-6</c:v>
                </c:pt>
                <c:pt idx="1800">
                  <c:v>1.8000000000000018E-6</c:v>
                </c:pt>
              </c:numCache>
            </c:numRef>
          </c:yVal>
          <c:smooth val="0"/>
        </c:ser>
        <c:ser>
          <c:idx val="3"/>
          <c:order val="4"/>
          <c:tx>
            <c:v>SMX_exp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EXP!$A$2:$A$9</c:f>
              <c:numCache>
                <c:formatCode>0.00E+00</c:formatCode>
                <c:ptCount val="8"/>
                <c:pt idx="0">
                  <c:v>0</c:v>
                </c:pt>
                <c:pt idx="1">
                  <c:v>2.2000000000000002</c:v>
                </c:pt>
                <c:pt idx="2">
                  <c:v>5</c:v>
                </c:pt>
                <c:pt idx="3">
                  <c:v>10</c:v>
                </c:pt>
                <c:pt idx="4">
                  <c:v>14.5</c:v>
                </c:pt>
                <c:pt idx="5">
                  <c:v>25</c:v>
                </c:pt>
                <c:pt idx="6">
                  <c:v>41</c:v>
                </c:pt>
                <c:pt idx="7">
                  <c:v>88</c:v>
                </c:pt>
              </c:numCache>
            </c:numRef>
          </c:xVal>
          <c:yVal>
            <c:numRef>
              <c:f>EXP!$I$2:$I$9</c:f>
              <c:numCache>
                <c:formatCode>0.00E+00</c:formatCode>
                <c:ptCount val="8"/>
                <c:pt idx="0">
                  <c:v>3.9999999999999998E-6</c:v>
                </c:pt>
                <c:pt idx="1">
                  <c:v>3.4999999999999999E-6</c:v>
                </c:pt>
                <c:pt idx="2">
                  <c:v>4.2E-7</c:v>
                </c:pt>
                <c:pt idx="3">
                  <c:v>1.2E-8</c:v>
                </c:pt>
                <c:pt idx="4">
                  <c:v>4.0000000000000001E-8</c:v>
                </c:pt>
                <c:pt idx="5">
                  <c:v>2.3000000000000001E-8</c:v>
                </c:pt>
                <c:pt idx="6">
                  <c:v>7.4999999999999993E-9</c:v>
                </c:pt>
                <c:pt idx="7">
                  <c:v>2.1399999999999998E-6</c:v>
                </c:pt>
              </c:numCache>
            </c:numRef>
          </c:yVal>
          <c:smooth val="0"/>
        </c:ser>
        <c:ser>
          <c:idx val="4"/>
          <c:order val="5"/>
          <c:tx>
            <c:v>SMXh_exp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EXP!$A$2:$A$9</c:f>
              <c:numCache>
                <c:formatCode>0.00E+00</c:formatCode>
                <c:ptCount val="8"/>
                <c:pt idx="0">
                  <c:v>0</c:v>
                </c:pt>
                <c:pt idx="1">
                  <c:v>2.2000000000000002</c:v>
                </c:pt>
                <c:pt idx="2">
                  <c:v>5</c:v>
                </c:pt>
                <c:pt idx="3">
                  <c:v>10</c:v>
                </c:pt>
                <c:pt idx="4">
                  <c:v>14.5</c:v>
                </c:pt>
                <c:pt idx="5">
                  <c:v>25</c:v>
                </c:pt>
                <c:pt idx="6">
                  <c:v>41</c:v>
                </c:pt>
                <c:pt idx="7">
                  <c:v>88</c:v>
                </c:pt>
              </c:numCache>
            </c:numRef>
          </c:xVal>
          <c:yVal>
            <c:numRef>
              <c:f>EXP!$M$2:$M$9</c:f>
              <c:numCache>
                <c:formatCode>0.00E+00</c:formatCode>
                <c:ptCount val="8"/>
                <c:pt idx="0">
                  <c:v>0</c:v>
                </c:pt>
                <c:pt idx="1">
                  <c:v>1.4E-8</c:v>
                </c:pt>
                <c:pt idx="2">
                  <c:v>1.2300000000000001E-6</c:v>
                </c:pt>
                <c:pt idx="3">
                  <c:v>1.3999999999999999E-6</c:v>
                </c:pt>
                <c:pt idx="4">
                  <c:v>1.08E-6</c:v>
                </c:pt>
                <c:pt idx="5">
                  <c:v>6.5899999999999996E-7</c:v>
                </c:pt>
                <c:pt idx="6">
                  <c:v>4.7999999999999996E-7</c:v>
                </c:pt>
                <c:pt idx="7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v>SMXn_exp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EXP!$A$2:$A$9</c:f>
              <c:numCache>
                <c:formatCode>0.00E+00</c:formatCode>
                <c:ptCount val="8"/>
                <c:pt idx="0">
                  <c:v>0</c:v>
                </c:pt>
                <c:pt idx="1">
                  <c:v>2.2000000000000002</c:v>
                </c:pt>
                <c:pt idx="2">
                  <c:v>5</c:v>
                </c:pt>
                <c:pt idx="3">
                  <c:v>10</c:v>
                </c:pt>
                <c:pt idx="4">
                  <c:v>14.5</c:v>
                </c:pt>
                <c:pt idx="5">
                  <c:v>25</c:v>
                </c:pt>
                <c:pt idx="6">
                  <c:v>41</c:v>
                </c:pt>
                <c:pt idx="7">
                  <c:v>88</c:v>
                </c:pt>
              </c:numCache>
            </c:numRef>
          </c:xVal>
          <c:yVal>
            <c:numRef>
              <c:f>EXP!$K$2:$K$9</c:f>
              <c:numCache>
                <c:formatCode>0.00E+00</c:formatCode>
                <c:ptCount val="8"/>
                <c:pt idx="0">
                  <c:v>0</c:v>
                </c:pt>
                <c:pt idx="1">
                  <c:v>2.9999999999999997E-8</c:v>
                </c:pt>
                <c:pt idx="2">
                  <c:v>1.48E-7</c:v>
                </c:pt>
                <c:pt idx="3">
                  <c:v>6.1999999999999999E-7</c:v>
                </c:pt>
                <c:pt idx="4">
                  <c:v>6.9999999999999997E-7</c:v>
                </c:pt>
                <c:pt idx="5">
                  <c:v>1.02E-6</c:v>
                </c:pt>
                <c:pt idx="6">
                  <c:v>1.02E-6</c:v>
                </c:pt>
                <c:pt idx="7">
                  <c:v>1.4E-8</c:v>
                </c:pt>
              </c:numCache>
            </c:numRef>
          </c:yVal>
          <c:smooth val="0"/>
        </c:ser>
        <c:ser>
          <c:idx val="7"/>
          <c:order val="7"/>
          <c:tx>
            <c:v>Balance_Exp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MODEL!$U$50:$U$57</c:f>
              <c:numCache>
                <c:formatCode>General</c:formatCode>
                <c:ptCount val="8"/>
              </c:numCache>
            </c:numRef>
          </c:xVal>
          <c:yVal>
            <c:numRef>
              <c:f>EXP!$R$2:$R$9</c:f>
              <c:numCache>
                <c:formatCode>0.00E+00</c:formatCode>
                <c:ptCount val="8"/>
                <c:pt idx="0">
                  <c:v>3.9999999999999998E-6</c:v>
                </c:pt>
                <c:pt idx="1">
                  <c:v>3.5440000000000003E-6</c:v>
                </c:pt>
                <c:pt idx="2">
                  <c:v>1.798E-6</c:v>
                </c:pt>
                <c:pt idx="3">
                  <c:v>2.0319999999999998E-6</c:v>
                </c:pt>
                <c:pt idx="4">
                  <c:v>1.8199999999999999E-6</c:v>
                </c:pt>
                <c:pt idx="5">
                  <c:v>1.702E-6</c:v>
                </c:pt>
                <c:pt idx="6">
                  <c:v>1.5075E-6</c:v>
                </c:pt>
                <c:pt idx="7">
                  <c:v>2.154E-6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674320"/>
        <c:axId val="565681040"/>
      </c:scatterChart>
      <c:valAx>
        <c:axId val="565674320"/>
        <c:scaling>
          <c:logBase val="10"/>
          <c:orientation val="minMax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681040"/>
        <c:crosses val="autoZero"/>
        <c:crossBetween val="midCat"/>
      </c:valAx>
      <c:valAx>
        <c:axId val="565681040"/>
        <c:scaling>
          <c:orientation val="minMax"/>
          <c:max val="2.5000000000000011E-6"/>
          <c:min val="0"/>
        </c:scaling>
        <c:delete val="0"/>
        <c:axPos val="l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67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465908540765714"/>
          <c:y val="0.81052969233947192"/>
          <c:w val="0.66623747416394441"/>
          <c:h val="0.155870350596580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97917105960608E-2"/>
          <c:y val="8.7202934629236575E-2"/>
          <c:w val="0.77882370953630808"/>
          <c:h val="0.72088764946048411"/>
        </c:manualLayout>
      </c:layout>
      <c:scatterChart>
        <c:scatterStyle val="lineMarker"/>
        <c:varyColors val="0"/>
        <c:ser>
          <c:idx val="2"/>
          <c:order val="0"/>
          <c:tx>
            <c:strRef>
              <c:f>MODEL!$B$1</c:f>
              <c:strCache>
                <c:ptCount val="1"/>
                <c:pt idx="0">
                  <c:v>Nitrate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MODEL!$A$2:$A$1900</c:f>
              <c:numCache>
                <c:formatCode>0.00E+00</c:formatCode>
                <c:ptCount val="1899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</c:v>
                </c:pt>
                <c:pt idx="504">
                  <c:v>25.2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</c:v>
                </c:pt>
                <c:pt idx="509">
                  <c:v>25.45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</c:v>
                </c:pt>
                <c:pt idx="514">
                  <c:v>25.7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</c:v>
                </c:pt>
                <c:pt idx="519">
                  <c:v>25.95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</c:v>
                </c:pt>
                <c:pt idx="524">
                  <c:v>26.2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</c:v>
                </c:pt>
                <c:pt idx="529">
                  <c:v>26.45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</c:v>
                </c:pt>
                <c:pt idx="534">
                  <c:v>26.7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</c:v>
                </c:pt>
                <c:pt idx="539">
                  <c:v>26.95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</c:v>
                </c:pt>
                <c:pt idx="544">
                  <c:v>27.2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</c:v>
                </c:pt>
                <c:pt idx="549">
                  <c:v>27.45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</c:v>
                </c:pt>
                <c:pt idx="554">
                  <c:v>27.7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</c:v>
                </c:pt>
                <c:pt idx="559">
                  <c:v>27.95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</c:v>
                </c:pt>
                <c:pt idx="564">
                  <c:v>28.2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</c:v>
                </c:pt>
                <c:pt idx="569">
                  <c:v>28.45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</c:v>
                </c:pt>
                <c:pt idx="574">
                  <c:v>28.7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</c:v>
                </c:pt>
                <c:pt idx="579">
                  <c:v>28.95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</c:v>
                </c:pt>
                <c:pt idx="584">
                  <c:v>29.2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</c:v>
                </c:pt>
                <c:pt idx="589">
                  <c:v>29.45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</c:v>
                </c:pt>
                <c:pt idx="594">
                  <c:v>29.7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</c:v>
                </c:pt>
                <c:pt idx="599">
                  <c:v>29.95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</c:v>
                </c:pt>
                <c:pt idx="604">
                  <c:v>30.2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</c:v>
                </c:pt>
                <c:pt idx="609">
                  <c:v>30.45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</c:v>
                </c:pt>
                <c:pt idx="614">
                  <c:v>30.7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</c:v>
                </c:pt>
                <c:pt idx="619">
                  <c:v>30.95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</c:v>
                </c:pt>
                <c:pt idx="624">
                  <c:v>31.2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</c:v>
                </c:pt>
                <c:pt idx="629">
                  <c:v>31.45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</c:v>
                </c:pt>
                <c:pt idx="634">
                  <c:v>31.7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</c:v>
                </c:pt>
                <c:pt idx="639">
                  <c:v>31.95</c:v>
                </c:pt>
                <c:pt idx="640">
                  <c:v>32</c:v>
                </c:pt>
                <c:pt idx="641">
                  <c:v>32.049999999999997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32.299999999999997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32.549999999999997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32.799999999999997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33.049999999999997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33.299999999999997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33.549999999999997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33.799999999999997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34.049999999999997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34.299999999999997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34.549999999999997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34.799999999999997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35.049999999999997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35.299999999999997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35.549999999999997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35.799999999999997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36.049999999999997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36.299999999999997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36.549999999999997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36.799999999999997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37.049999999999997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37.299999999999997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37.549999999999997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37.799999999999997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38.049999999999997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38.299999999999997</c:v>
                </c:pt>
                <c:pt idx="767">
                  <c:v>38.35</c:v>
                </c:pt>
                <c:pt idx="768">
                  <c:v>38.4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38.549999999999997</c:v>
                </c:pt>
                <c:pt idx="772">
                  <c:v>38.6</c:v>
                </c:pt>
                <c:pt idx="773">
                  <c:v>38.65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38.799999999999997</c:v>
                </c:pt>
                <c:pt idx="777">
                  <c:v>38.85</c:v>
                </c:pt>
                <c:pt idx="778">
                  <c:v>38.9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39.049999999999997</c:v>
                </c:pt>
                <c:pt idx="782">
                  <c:v>39.1</c:v>
                </c:pt>
                <c:pt idx="783">
                  <c:v>39.15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39.299999999999997</c:v>
                </c:pt>
                <c:pt idx="787">
                  <c:v>39.35</c:v>
                </c:pt>
                <c:pt idx="788">
                  <c:v>39.4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39.549999999999997</c:v>
                </c:pt>
                <c:pt idx="792">
                  <c:v>39.6</c:v>
                </c:pt>
                <c:pt idx="793">
                  <c:v>39.65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39.799999999999997</c:v>
                </c:pt>
                <c:pt idx="797">
                  <c:v>39.85</c:v>
                </c:pt>
                <c:pt idx="798">
                  <c:v>39.9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40.049999999999997</c:v>
                </c:pt>
                <c:pt idx="802">
                  <c:v>40.1</c:v>
                </c:pt>
                <c:pt idx="803">
                  <c:v>40.15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40.299999999999997</c:v>
                </c:pt>
                <c:pt idx="807">
                  <c:v>40.35</c:v>
                </c:pt>
                <c:pt idx="808">
                  <c:v>40.4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40.549999999999997</c:v>
                </c:pt>
                <c:pt idx="812">
                  <c:v>40.6</c:v>
                </c:pt>
                <c:pt idx="813">
                  <c:v>40.65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40.799999999999997</c:v>
                </c:pt>
                <c:pt idx="817">
                  <c:v>40.85</c:v>
                </c:pt>
                <c:pt idx="818">
                  <c:v>40.9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</c:v>
                </c:pt>
                <c:pt idx="822">
                  <c:v>41.1</c:v>
                </c:pt>
                <c:pt idx="823">
                  <c:v>41.15</c:v>
                </c:pt>
                <c:pt idx="824">
                  <c:v>41.2</c:v>
                </c:pt>
                <c:pt idx="825">
                  <c:v>41.25</c:v>
                </c:pt>
                <c:pt idx="826">
                  <c:v>41.3</c:v>
                </c:pt>
                <c:pt idx="827">
                  <c:v>41.35</c:v>
                </c:pt>
                <c:pt idx="828">
                  <c:v>41.4</c:v>
                </c:pt>
                <c:pt idx="829">
                  <c:v>41.45</c:v>
                </c:pt>
                <c:pt idx="830">
                  <c:v>41.5</c:v>
                </c:pt>
                <c:pt idx="831">
                  <c:v>41.55</c:v>
                </c:pt>
                <c:pt idx="832">
                  <c:v>41.6</c:v>
                </c:pt>
                <c:pt idx="833">
                  <c:v>41.65</c:v>
                </c:pt>
                <c:pt idx="834">
                  <c:v>41.7</c:v>
                </c:pt>
                <c:pt idx="835">
                  <c:v>41.75</c:v>
                </c:pt>
                <c:pt idx="836">
                  <c:v>41.8</c:v>
                </c:pt>
                <c:pt idx="837">
                  <c:v>41.85</c:v>
                </c:pt>
                <c:pt idx="838">
                  <c:v>41.9</c:v>
                </c:pt>
                <c:pt idx="839">
                  <c:v>41.95</c:v>
                </c:pt>
                <c:pt idx="840">
                  <c:v>42</c:v>
                </c:pt>
                <c:pt idx="841">
                  <c:v>42.05</c:v>
                </c:pt>
                <c:pt idx="842">
                  <c:v>42.1</c:v>
                </c:pt>
                <c:pt idx="843">
                  <c:v>42.15</c:v>
                </c:pt>
                <c:pt idx="844">
                  <c:v>42.2</c:v>
                </c:pt>
                <c:pt idx="845">
                  <c:v>42.25</c:v>
                </c:pt>
                <c:pt idx="846">
                  <c:v>42.3</c:v>
                </c:pt>
                <c:pt idx="847">
                  <c:v>42.35</c:v>
                </c:pt>
                <c:pt idx="848">
                  <c:v>42.4</c:v>
                </c:pt>
                <c:pt idx="849">
                  <c:v>42.45</c:v>
                </c:pt>
                <c:pt idx="850">
                  <c:v>42.5</c:v>
                </c:pt>
                <c:pt idx="851">
                  <c:v>42.55</c:v>
                </c:pt>
                <c:pt idx="852">
                  <c:v>42.6</c:v>
                </c:pt>
                <c:pt idx="853">
                  <c:v>42.65</c:v>
                </c:pt>
                <c:pt idx="854">
                  <c:v>42.7</c:v>
                </c:pt>
                <c:pt idx="855">
                  <c:v>42.75</c:v>
                </c:pt>
                <c:pt idx="856">
                  <c:v>42.8</c:v>
                </c:pt>
                <c:pt idx="857">
                  <c:v>42.85</c:v>
                </c:pt>
                <c:pt idx="858">
                  <c:v>42.9</c:v>
                </c:pt>
                <c:pt idx="859">
                  <c:v>42.95</c:v>
                </c:pt>
                <c:pt idx="860">
                  <c:v>43</c:v>
                </c:pt>
                <c:pt idx="861">
                  <c:v>43.05</c:v>
                </c:pt>
                <c:pt idx="862">
                  <c:v>43.1</c:v>
                </c:pt>
                <c:pt idx="863">
                  <c:v>43.15</c:v>
                </c:pt>
                <c:pt idx="864">
                  <c:v>43.2</c:v>
                </c:pt>
                <c:pt idx="865">
                  <c:v>43.25</c:v>
                </c:pt>
                <c:pt idx="866">
                  <c:v>43.3</c:v>
                </c:pt>
                <c:pt idx="867">
                  <c:v>43.35</c:v>
                </c:pt>
                <c:pt idx="868">
                  <c:v>43.4</c:v>
                </c:pt>
                <c:pt idx="869">
                  <c:v>43.45</c:v>
                </c:pt>
                <c:pt idx="870">
                  <c:v>43.5</c:v>
                </c:pt>
                <c:pt idx="871">
                  <c:v>43.55</c:v>
                </c:pt>
                <c:pt idx="872">
                  <c:v>43.6</c:v>
                </c:pt>
                <c:pt idx="873">
                  <c:v>43.65</c:v>
                </c:pt>
                <c:pt idx="874">
                  <c:v>43.7</c:v>
                </c:pt>
                <c:pt idx="875">
                  <c:v>43.75</c:v>
                </c:pt>
                <c:pt idx="876">
                  <c:v>43.8</c:v>
                </c:pt>
                <c:pt idx="877">
                  <c:v>43.85</c:v>
                </c:pt>
                <c:pt idx="878">
                  <c:v>43.9</c:v>
                </c:pt>
                <c:pt idx="879">
                  <c:v>43.95</c:v>
                </c:pt>
                <c:pt idx="880">
                  <c:v>44</c:v>
                </c:pt>
                <c:pt idx="881">
                  <c:v>44.05</c:v>
                </c:pt>
                <c:pt idx="882">
                  <c:v>44.1</c:v>
                </c:pt>
                <c:pt idx="883">
                  <c:v>44.15</c:v>
                </c:pt>
                <c:pt idx="884">
                  <c:v>44.2</c:v>
                </c:pt>
                <c:pt idx="885">
                  <c:v>44.25</c:v>
                </c:pt>
                <c:pt idx="886">
                  <c:v>44.3</c:v>
                </c:pt>
                <c:pt idx="887">
                  <c:v>44.35</c:v>
                </c:pt>
                <c:pt idx="888">
                  <c:v>44.4</c:v>
                </c:pt>
                <c:pt idx="889">
                  <c:v>44.45</c:v>
                </c:pt>
                <c:pt idx="890">
                  <c:v>44.5</c:v>
                </c:pt>
                <c:pt idx="891">
                  <c:v>44.55</c:v>
                </c:pt>
                <c:pt idx="892">
                  <c:v>44.6</c:v>
                </c:pt>
                <c:pt idx="893">
                  <c:v>44.65</c:v>
                </c:pt>
                <c:pt idx="894">
                  <c:v>44.7</c:v>
                </c:pt>
                <c:pt idx="895">
                  <c:v>44.75</c:v>
                </c:pt>
                <c:pt idx="896">
                  <c:v>44.8</c:v>
                </c:pt>
                <c:pt idx="897">
                  <c:v>44.85</c:v>
                </c:pt>
                <c:pt idx="898">
                  <c:v>44.9</c:v>
                </c:pt>
                <c:pt idx="899">
                  <c:v>44.95</c:v>
                </c:pt>
                <c:pt idx="900">
                  <c:v>45</c:v>
                </c:pt>
                <c:pt idx="901">
                  <c:v>45.05</c:v>
                </c:pt>
                <c:pt idx="902">
                  <c:v>45.1</c:v>
                </c:pt>
                <c:pt idx="903">
                  <c:v>45.15</c:v>
                </c:pt>
                <c:pt idx="904">
                  <c:v>45.2</c:v>
                </c:pt>
                <c:pt idx="905">
                  <c:v>45.25</c:v>
                </c:pt>
                <c:pt idx="906">
                  <c:v>45.3</c:v>
                </c:pt>
                <c:pt idx="907">
                  <c:v>45.35</c:v>
                </c:pt>
                <c:pt idx="908">
                  <c:v>45.4</c:v>
                </c:pt>
                <c:pt idx="909">
                  <c:v>45.45</c:v>
                </c:pt>
                <c:pt idx="910">
                  <c:v>45.5</c:v>
                </c:pt>
                <c:pt idx="911">
                  <c:v>45.55</c:v>
                </c:pt>
                <c:pt idx="912">
                  <c:v>45.6</c:v>
                </c:pt>
                <c:pt idx="913">
                  <c:v>45.65</c:v>
                </c:pt>
                <c:pt idx="914">
                  <c:v>45.7</c:v>
                </c:pt>
                <c:pt idx="915">
                  <c:v>45.75</c:v>
                </c:pt>
                <c:pt idx="916">
                  <c:v>45.8</c:v>
                </c:pt>
                <c:pt idx="917">
                  <c:v>45.85</c:v>
                </c:pt>
                <c:pt idx="918">
                  <c:v>45.9</c:v>
                </c:pt>
                <c:pt idx="919">
                  <c:v>45.95</c:v>
                </c:pt>
                <c:pt idx="920">
                  <c:v>46</c:v>
                </c:pt>
                <c:pt idx="921">
                  <c:v>46.05</c:v>
                </c:pt>
                <c:pt idx="922">
                  <c:v>46.1</c:v>
                </c:pt>
                <c:pt idx="923">
                  <c:v>46.15</c:v>
                </c:pt>
                <c:pt idx="924">
                  <c:v>46.2</c:v>
                </c:pt>
                <c:pt idx="925">
                  <c:v>46.25</c:v>
                </c:pt>
                <c:pt idx="926">
                  <c:v>46.3</c:v>
                </c:pt>
                <c:pt idx="927">
                  <c:v>46.35</c:v>
                </c:pt>
                <c:pt idx="928">
                  <c:v>46.4</c:v>
                </c:pt>
                <c:pt idx="929">
                  <c:v>46.45</c:v>
                </c:pt>
                <c:pt idx="930">
                  <c:v>46.5</c:v>
                </c:pt>
                <c:pt idx="931">
                  <c:v>46.55</c:v>
                </c:pt>
                <c:pt idx="932">
                  <c:v>46.6</c:v>
                </c:pt>
                <c:pt idx="933">
                  <c:v>46.65</c:v>
                </c:pt>
                <c:pt idx="934">
                  <c:v>46.7</c:v>
                </c:pt>
                <c:pt idx="935">
                  <c:v>46.75</c:v>
                </c:pt>
                <c:pt idx="936">
                  <c:v>46.8</c:v>
                </c:pt>
                <c:pt idx="937">
                  <c:v>46.85</c:v>
                </c:pt>
                <c:pt idx="938">
                  <c:v>46.9</c:v>
                </c:pt>
                <c:pt idx="939">
                  <c:v>46.95</c:v>
                </c:pt>
                <c:pt idx="940">
                  <c:v>47</c:v>
                </c:pt>
                <c:pt idx="941">
                  <c:v>47.05</c:v>
                </c:pt>
                <c:pt idx="942">
                  <c:v>47.1</c:v>
                </c:pt>
                <c:pt idx="943">
                  <c:v>47.15</c:v>
                </c:pt>
                <c:pt idx="944">
                  <c:v>47.2</c:v>
                </c:pt>
                <c:pt idx="945">
                  <c:v>47.25</c:v>
                </c:pt>
                <c:pt idx="946">
                  <c:v>47.3</c:v>
                </c:pt>
                <c:pt idx="947">
                  <c:v>47.35</c:v>
                </c:pt>
                <c:pt idx="948">
                  <c:v>47.4</c:v>
                </c:pt>
                <c:pt idx="949">
                  <c:v>47.45</c:v>
                </c:pt>
                <c:pt idx="950">
                  <c:v>47.5</c:v>
                </c:pt>
                <c:pt idx="951">
                  <c:v>47.55</c:v>
                </c:pt>
                <c:pt idx="952">
                  <c:v>47.6</c:v>
                </c:pt>
                <c:pt idx="953">
                  <c:v>47.65</c:v>
                </c:pt>
                <c:pt idx="954">
                  <c:v>47.7</c:v>
                </c:pt>
                <c:pt idx="955">
                  <c:v>47.75</c:v>
                </c:pt>
                <c:pt idx="956">
                  <c:v>47.8</c:v>
                </c:pt>
                <c:pt idx="957">
                  <c:v>47.85</c:v>
                </c:pt>
                <c:pt idx="958">
                  <c:v>47.9</c:v>
                </c:pt>
                <c:pt idx="959">
                  <c:v>47.95</c:v>
                </c:pt>
                <c:pt idx="960">
                  <c:v>48</c:v>
                </c:pt>
                <c:pt idx="961">
                  <c:v>48.05</c:v>
                </c:pt>
                <c:pt idx="962">
                  <c:v>48.1</c:v>
                </c:pt>
                <c:pt idx="963">
                  <c:v>48.15</c:v>
                </c:pt>
                <c:pt idx="964">
                  <c:v>48.2</c:v>
                </c:pt>
                <c:pt idx="965">
                  <c:v>48.25</c:v>
                </c:pt>
                <c:pt idx="966">
                  <c:v>48.3</c:v>
                </c:pt>
                <c:pt idx="967">
                  <c:v>48.35</c:v>
                </c:pt>
                <c:pt idx="968">
                  <c:v>48.4</c:v>
                </c:pt>
                <c:pt idx="969">
                  <c:v>48.45</c:v>
                </c:pt>
                <c:pt idx="970">
                  <c:v>48.5</c:v>
                </c:pt>
                <c:pt idx="971">
                  <c:v>48.55</c:v>
                </c:pt>
                <c:pt idx="972">
                  <c:v>48.6</c:v>
                </c:pt>
                <c:pt idx="973">
                  <c:v>48.65</c:v>
                </c:pt>
                <c:pt idx="974">
                  <c:v>48.7</c:v>
                </c:pt>
                <c:pt idx="975">
                  <c:v>48.75</c:v>
                </c:pt>
                <c:pt idx="976">
                  <c:v>48.8</c:v>
                </c:pt>
                <c:pt idx="977">
                  <c:v>48.85</c:v>
                </c:pt>
                <c:pt idx="978">
                  <c:v>48.9</c:v>
                </c:pt>
                <c:pt idx="979">
                  <c:v>48.95</c:v>
                </c:pt>
                <c:pt idx="980">
                  <c:v>49</c:v>
                </c:pt>
                <c:pt idx="981">
                  <c:v>49.05</c:v>
                </c:pt>
                <c:pt idx="982">
                  <c:v>49.1</c:v>
                </c:pt>
                <c:pt idx="983">
                  <c:v>49.15</c:v>
                </c:pt>
                <c:pt idx="984">
                  <c:v>49.2</c:v>
                </c:pt>
                <c:pt idx="985">
                  <c:v>49.25</c:v>
                </c:pt>
                <c:pt idx="986">
                  <c:v>49.3</c:v>
                </c:pt>
                <c:pt idx="987">
                  <c:v>49.35</c:v>
                </c:pt>
                <c:pt idx="988">
                  <c:v>49.4</c:v>
                </c:pt>
                <c:pt idx="989">
                  <c:v>49.45</c:v>
                </c:pt>
                <c:pt idx="990">
                  <c:v>49.5</c:v>
                </c:pt>
                <c:pt idx="991">
                  <c:v>49.55</c:v>
                </c:pt>
                <c:pt idx="992">
                  <c:v>49.6</c:v>
                </c:pt>
                <c:pt idx="993">
                  <c:v>49.65</c:v>
                </c:pt>
                <c:pt idx="994">
                  <c:v>49.7</c:v>
                </c:pt>
                <c:pt idx="995">
                  <c:v>49.75</c:v>
                </c:pt>
                <c:pt idx="996">
                  <c:v>49.8</c:v>
                </c:pt>
                <c:pt idx="997">
                  <c:v>49.85</c:v>
                </c:pt>
                <c:pt idx="998">
                  <c:v>49.9</c:v>
                </c:pt>
                <c:pt idx="999">
                  <c:v>49.95</c:v>
                </c:pt>
                <c:pt idx="1000">
                  <c:v>50</c:v>
                </c:pt>
                <c:pt idx="1001">
                  <c:v>50.05</c:v>
                </c:pt>
                <c:pt idx="1002">
                  <c:v>50.1</c:v>
                </c:pt>
                <c:pt idx="1003">
                  <c:v>50.15</c:v>
                </c:pt>
                <c:pt idx="1004">
                  <c:v>50.2</c:v>
                </c:pt>
                <c:pt idx="1005">
                  <c:v>50.25</c:v>
                </c:pt>
                <c:pt idx="1006">
                  <c:v>50.3</c:v>
                </c:pt>
                <c:pt idx="1007">
                  <c:v>50.35</c:v>
                </c:pt>
                <c:pt idx="1008">
                  <c:v>50.4</c:v>
                </c:pt>
                <c:pt idx="1009">
                  <c:v>50.45</c:v>
                </c:pt>
                <c:pt idx="1010">
                  <c:v>50.5</c:v>
                </c:pt>
                <c:pt idx="1011">
                  <c:v>50.55</c:v>
                </c:pt>
                <c:pt idx="1012">
                  <c:v>50.6</c:v>
                </c:pt>
                <c:pt idx="1013">
                  <c:v>50.65</c:v>
                </c:pt>
                <c:pt idx="1014">
                  <c:v>50.7</c:v>
                </c:pt>
                <c:pt idx="1015">
                  <c:v>50.75</c:v>
                </c:pt>
                <c:pt idx="1016">
                  <c:v>50.8</c:v>
                </c:pt>
                <c:pt idx="1017">
                  <c:v>50.85</c:v>
                </c:pt>
                <c:pt idx="1018">
                  <c:v>50.9</c:v>
                </c:pt>
                <c:pt idx="1019">
                  <c:v>50.95</c:v>
                </c:pt>
                <c:pt idx="1020">
                  <c:v>51</c:v>
                </c:pt>
                <c:pt idx="1021">
                  <c:v>51.05</c:v>
                </c:pt>
                <c:pt idx="1022">
                  <c:v>51.1</c:v>
                </c:pt>
                <c:pt idx="1023">
                  <c:v>51.15</c:v>
                </c:pt>
                <c:pt idx="1024">
                  <c:v>51.2</c:v>
                </c:pt>
                <c:pt idx="1025">
                  <c:v>51.25</c:v>
                </c:pt>
                <c:pt idx="1026">
                  <c:v>51.3</c:v>
                </c:pt>
                <c:pt idx="1027">
                  <c:v>51.35</c:v>
                </c:pt>
                <c:pt idx="1028">
                  <c:v>51.4</c:v>
                </c:pt>
                <c:pt idx="1029">
                  <c:v>51.45</c:v>
                </c:pt>
                <c:pt idx="1030">
                  <c:v>51.5</c:v>
                </c:pt>
                <c:pt idx="1031">
                  <c:v>51.55</c:v>
                </c:pt>
                <c:pt idx="1032">
                  <c:v>51.6</c:v>
                </c:pt>
                <c:pt idx="1033">
                  <c:v>51.65</c:v>
                </c:pt>
                <c:pt idx="1034">
                  <c:v>51.7</c:v>
                </c:pt>
                <c:pt idx="1035">
                  <c:v>51.75</c:v>
                </c:pt>
                <c:pt idx="1036">
                  <c:v>51.8</c:v>
                </c:pt>
                <c:pt idx="1037">
                  <c:v>51.85</c:v>
                </c:pt>
                <c:pt idx="1038">
                  <c:v>51.9</c:v>
                </c:pt>
                <c:pt idx="1039">
                  <c:v>51.95</c:v>
                </c:pt>
                <c:pt idx="1040">
                  <c:v>52</c:v>
                </c:pt>
                <c:pt idx="1041">
                  <c:v>52.05</c:v>
                </c:pt>
                <c:pt idx="1042">
                  <c:v>52.1</c:v>
                </c:pt>
                <c:pt idx="1043">
                  <c:v>52.15</c:v>
                </c:pt>
                <c:pt idx="1044">
                  <c:v>52.2</c:v>
                </c:pt>
                <c:pt idx="1045">
                  <c:v>52.25</c:v>
                </c:pt>
                <c:pt idx="1046">
                  <c:v>52.3</c:v>
                </c:pt>
                <c:pt idx="1047">
                  <c:v>52.35</c:v>
                </c:pt>
                <c:pt idx="1048">
                  <c:v>52.4</c:v>
                </c:pt>
                <c:pt idx="1049">
                  <c:v>52.45</c:v>
                </c:pt>
                <c:pt idx="1050">
                  <c:v>52.5</c:v>
                </c:pt>
                <c:pt idx="1051">
                  <c:v>52.55</c:v>
                </c:pt>
                <c:pt idx="1052">
                  <c:v>52.6</c:v>
                </c:pt>
                <c:pt idx="1053">
                  <c:v>52.65</c:v>
                </c:pt>
                <c:pt idx="1054">
                  <c:v>52.7</c:v>
                </c:pt>
                <c:pt idx="1055">
                  <c:v>52.75</c:v>
                </c:pt>
                <c:pt idx="1056">
                  <c:v>52.8</c:v>
                </c:pt>
                <c:pt idx="1057">
                  <c:v>52.85</c:v>
                </c:pt>
                <c:pt idx="1058">
                  <c:v>52.9</c:v>
                </c:pt>
                <c:pt idx="1059">
                  <c:v>52.95</c:v>
                </c:pt>
                <c:pt idx="1060">
                  <c:v>53</c:v>
                </c:pt>
                <c:pt idx="1061">
                  <c:v>53.05</c:v>
                </c:pt>
                <c:pt idx="1062">
                  <c:v>53.1</c:v>
                </c:pt>
                <c:pt idx="1063">
                  <c:v>53.15</c:v>
                </c:pt>
                <c:pt idx="1064">
                  <c:v>53.2</c:v>
                </c:pt>
                <c:pt idx="1065">
                  <c:v>53.25</c:v>
                </c:pt>
                <c:pt idx="1066">
                  <c:v>53.3</c:v>
                </c:pt>
                <c:pt idx="1067">
                  <c:v>53.35</c:v>
                </c:pt>
                <c:pt idx="1068">
                  <c:v>53.4</c:v>
                </c:pt>
                <c:pt idx="1069">
                  <c:v>53.45</c:v>
                </c:pt>
                <c:pt idx="1070">
                  <c:v>53.5</c:v>
                </c:pt>
                <c:pt idx="1071">
                  <c:v>53.55</c:v>
                </c:pt>
                <c:pt idx="1072">
                  <c:v>53.6</c:v>
                </c:pt>
                <c:pt idx="1073">
                  <c:v>53.65</c:v>
                </c:pt>
                <c:pt idx="1074">
                  <c:v>53.7</c:v>
                </c:pt>
                <c:pt idx="1075">
                  <c:v>53.75</c:v>
                </c:pt>
                <c:pt idx="1076">
                  <c:v>53.8</c:v>
                </c:pt>
                <c:pt idx="1077">
                  <c:v>53.85</c:v>
                </c:pt>
                <c:pt idx="1078">
                  <c:v>53.9</c:v>
                </c:pt>
                <c:pt idx="1079">
                  <c:v>53.95</c:v>
                </c:pt>
                <c:pt idx="1080">
                  <c:v>54</c:v>
                </c:pt>
                <c:pt idx="1081">
                  <c:v>54.05</c:v>
                </c:pt>
                <c:pt idx="1082">
                  <c:v>54.1</c:v>
                </c:pt>
                <c:pt idx="1083">
                  <c:v>54.15</c:v>
                </c:pt>
                <c:pt idx="1084">
                  <c:v>54.2</c:v>
                </c:pt>
                <c:pt idx="1085">
                  <c:v>54.25</c:v>
                </c:pt>
                <c:pt idx="1086">
                  <c:v>54.3</c:v>
                </c:pt>
                <c:pt idx="1087">
                  <c:v>54.35</c:v>
                </c:pt>
                <c:pt idx="1088">
                  <c:v>54.4</c:v>
                </c:pt>
                <c:pt idx="1089">
                  <c:v>54.45</c:v>
                </c:pt>
                <c:pt idx="1090">
                  <c:v>54.5</c:v>
                </c:pt>
                <c:pt idx="1091">
                  <c:v>54.55</c:v>
                </c:pt>
                <c:pt idx="1092">
                  <c:v>54.6</c:v>
                </c:pt>
                <c:pt idx="1093">
                  <c:v>54.65</c:v>
                </c:pt>
                <c:pt idx="1094">
                  <c:v>54.7</c:v>
                </c:pt>
                <c:pt idx="1095">
                  <c:v>54.75</c:v>
                </c:pt>
                <c:pt idx="1096">
                  <c:v>54.8</c:v>
                </c:pt>
                <c:pt idx="1097">
                  <c:v>54.85</c:v>
                </c:pt>
                <c:pt idx="1098">
                  <c:v>54.9</c:v>
                </c:pt>
                <c:pt idx="1099">
                  <c:v>54.95</c:v>
                </c:pt>
                <c:pt idx="1100">
                  <c:v>55</c:v>
                </c:pt>
                <c:pt idx="1101">
                  <c:v>55.05</c:v>
                </c:pt>
                <c:pt idx="1102">
                  <c:v>55.1</c:v>
                </c:pt>
                <c:pt idx="1103">
                  <c:v>55.15</c:v>
                </c:pt>
                <c:pt idx="1104">
                  <c:v>55.2</c:v>
                </c:pt>
                <c:pt idx="1105">
                  <c:v>55.25</c:v>
                </c:pt>
                <c:pt idx="1106">
                  <c:v>55.3</c:v>
                </c:pt>
                <c:pt idx="1107">
                  <c:v>55.35</c:v>
                </c:pt>
                <c:pt idx="1108">
                  <c:v>55.4</c:v>
                </c:pt>
                <c:pt idx="1109">
                  <c:v>55.45</c:v>
                </c:pt>
                <c:pt idx="1110">
                  <c:v>55.5</c:v>
                </c:pt>
                <c:pt idx="1111">
                  <c:v>55.55</c:v>
                </c:pt>
                <c:pt idx="1112">
                  <c:v>55.6</c:v>
                </c:pt>
                <c:pt idx="1113">
                  <c:v>55.65</c:v>
                </c:pt>
                <c:pt idx="1114">
                  <c:v>55.7</c:v>
                </c:pt>
                <c:pt idx="1115">
                  <c:v>55.75</c:v>
                </c:pt>
                <c:pt idx="1116">
                  <c:v>55.8</c:v>
                </c:pt>
                <c:pt idx="1117">
                  <c:v>55.85</c:v>
                </c:pt>
                <c:pt idx="1118">
                  <c:v>55.9</c:v>
                </c:pt>
                <c:pt idx="1119">
                  <c:v>55.95</c:v>
                </c:pt>
                <c:pt idx="1120">
                  <c:v>56</c:v>
                </c:pt>
                <c:pt idx="1121">
                  <c:v>56.05</c:v>
                </c:pt>
                <c:pt idx="1122">
                  <c:v>56.1</c:v>
                </c:pt>
                <c:pt idx="1123">
                  <c:v>56.15</c:v>
                </c:pt>
                <c:pt idx="1124">
                  <c:v>56.2</c:v>
                </c:pt>
                <c:pt idx="1125">
                  <c:v>56.25</c:v>
                </c:pt>
                <c:pt idx="1126">
                  <c:v>56.3</c:v>
                </c:pt>
                <c:pt idx="1127">
                  <c:v>56.35</c:v>
                </c:pt>
                <c:pt idx="1128">
                  <c:v>56.4</c:v>
                </c:pt>
                <c:pt idx="1129">
                  <c:v>56.45</c:v>
                </c:pt>
                <c:pt idx="1130">
                  <c:v>56.5</c:v>
                </c:pt>
                <c:pt idx="1131">
                  <c:v>56.55</c:v>
                </c:pt>
                <c:pt idx="1132">
                  <c:v>56.6</c:v>
                </c:pt>
                <c:pt idx="1133">
                  <c:v>56.65</c:v>
                </c:pt>
                <c:pt idx="1134">
                  <c:v>56.7</c:v>
                </c:pt>
                <c:pt idx="1135">
                  <c:v>56.75</c:v>
                </c:pt>
                <c:pt idx="1136">
                  <c:v>56.8</c:v>
                </c:pt>
                <c:pt idx="1137">
                  <c:v>56.85</c:v>
                </c:pt>
                <c:pt idx="1138">
                  <c:v>56.9</c:v>
                </c:pt>
                <c:pt idx="1139">
                  <c:v>56.95</c:v>
                </c:pt>
                <c:pt idx="1140">
                  <c:v>57</c:v>
                </c:pt>
                <c:pt idx="1141">
                  <c:v>57.05</c:v>
                </c:pt>
                <c:pt idx="1142">
                  <c:v>57.1</c:v>
                </c:pt>
                <c:pt idx="1143">
                  <c:v>57.15</c:v>
                </c:pt>
                <c:pt idx="1144">
                  <c:v>57.2</c:v>
                </c:pt>
                <c:pt idx="1145">
                  <c:v>57.25</c:v>
                </c:pt>
                <c:pt idx="1146">
                  <c:v>57.3</c:v>
                </c:pt>
                <c:pt idx="1147">
                  <c:v>57.35</c:v>
                </c:pt>
                <c:pt idx="1148">
                  <c:v>57.4</c:v>
                </c:pt>
                <c:pt idx="1149">
                  <c:v>57.45</c:v>
                </c:pt>
                <c:pt idx="1150">
                  <c:v>57.5</c:v>
                </c:pt>
                <c:pt idx="1151">
                  <c:v>57.55</c:v>
                </c:pt>
                <c:pt idx="1152">
                  <c:v>57.6</c:v>
                </c:pt>
                <c:pt idx="1153">
                  <c:v>57.65</c:v>
                </c:pt>
                <c:pt idx="1154">
                  <c:v>57.7</c:v>
                </c:pt>
                <c:pt idx="1155">
                  <c:v>57.75</c:v>
                </c:pt>
                <c:pt idx="1156">
                  <c:v>57.8</c:v>
                </c:pt>
                <c:pt idx="1157">
                  <c:v>57.85</c:v>
                </c:pt>
                <c:pt idx="1158">
                  <c:v>57.9</c:v>
                </c:pt>
                <c:pt idx="1159">
                  <c:v>57.95</c:v>
                </c:pt>
                <c:pt idx="1160">
                  <c:v>58</c:v>
                </c:pt>
                <c:pt idx="1161">
                  <c:v>58.05</c:v>
                </c:pt>
                <c:pt idx="1162">
                  <c:v>58.1</c:v>
                </c:pt>
                <c:pt idx="1163">
                  <c:v>58.15</c:v>
                </c:pt>
                <c:pt idx="1164">
                  <c:v>58.2</c:v>
                </c:pt>
                <c:pt idx="1165">
                  <c:v>58.25</c:v>
                </c:pt>
                <c:pt idx="1166">
                  <c:v>58.3</c:v>
                </c:pt>
                <c:pt idx="1167">
                  <c:v>58.35</c:v>
                </c:pt>
                <c:pt idx="1168">
                  <c:v>58.4</c:v>
                </c:pt>
                <c:pt idx="1169">
                  <c:v>58.45</c:v>
                </c:pt>
                <c:pt idx="1170">
                  <c:v>58.5</c:v>
                </c:pt>
                <c:pt idx="1171">
                  <c:v>58.55</c:v>
                </c:pt>
                <c:pt idx="1172">
                  <c:v>58.6</c:v>
                </c:pt>
                <c:pt idx="1173">
                  <c:v>58.65</c:v>
                </c:pt>
                <c:pt idx="1174">
                  <c:v>58.7</c:v>
                </c:pt>
                <c:pt idx="1175">
                  <c:v>58.75</c:v>
                </c:pt>
                <c:pt idx="1176">
                  <c:v>58.8</c:v>
                </c:pt>
                <c:pt idx="1177">
                  <c:v>58.85</c:v>
                </c:pt>
                <c:pt idx="1178">
                  <c:v>58.9</c:v>
                </c:pt>
                <c:pt idx="1179">
                  <c:v>58.95</c:v>
                </c:pt>
                <c:pt idx="1180">
                  <c:v>59</c:v>
                </c:pt>
                <c:pt idx="1181">
                  <c:v>59.05</c:v>
                </c:pt>
                <c:pt idx="1182">
                  <c:v>59.1</c:v>
                </c:pt>
                <c:pt idx="1183">
                  <c:v>59.15</c:v>
                </c:pt>
                <c:pt idx="1184">
                  <c:v>59.2</c:v>
                </c:pt>
                <c:pt idx="1185">
                  <c:v>59.25</c:v>
                </c:pt>
                <c:pt idx="1186">
                  <c:v>59.3</c:v>
                </c:pt>
                <c:pt idx="1187">
                  <c:v>59.35</c:v>
                </c:pt>
                <c:pt idx="1188">
                  <c:v>59.4</c:v>
                </c:pt>
                <c:pt idx="1189">
                  <c:v>59.45</c:v>
                </c:pt>
                <c:pt idx="1190">
                  <c:v>59.5</c:v>
                </c:pt>
                <c:pt idx="1191">
                  <c:v>59.55</c:v>
                </c:pt>
                <c:pt idx="1192">
                  <c:v>59.6</c:v>
                </c:pt>
                <c:pt idx="1193">
                  <c:v>59.65</c:v>
                </c:pt>
                <c:pt idx="1194">
                  <c:v>59.7</c:v>
                </c:pt>
                <c:pt idx="1195">
                  <c:v>59.75</c:v>
                </c:pt>
                <c:pt idx="1196">
                  <c:v>59.8</c:v>
                </c:pt>
                <c:pt idx="1197">
                  <c:v>59.85</c:v>
                </c:pt>
                <c:pt idx="1198">
                  <c:v>59.9</c:v>
                </c:pt>
                <c:pt idx="1199">
                  <c:v>59.95</c:v>
                </c:pt>
                <c:pt idx="1200">
                  <c:v>60</c:v>
                </c:pt>
                <c:pt idx="1201">
                  <c:v>60.05</c:v>
                </c:pt>
                <c:pt idx="1202">
                  <c:v>60.1</c:v>
                </c:pt>
                <c:pt idx="1203">
                  <c:v>60.15</c:v>
                </c:pt>
                <c:pt idx="1204">
                  <c:v>60.2</c:v>
                </c:pt>
                <c:pt idx="1205">
                  <c:v>60.25</c:v>
                </c:pt>
                <c:pt idx="1206">
                  <c:v>60.3</c:v>
                </c:pt>
                <c:pt idx="1207">
                  <c:v>60.35</c:v>
                </c:pt>
                <c:pt idx="1208">
                  <c:v>60.4</c:v>
                </c:pt>
                <c:pt idx="1209">
                  <c:v>60.45</c:v>
                </c:pt>
                <c:pt idx="1210">
                  <c:v>60.5</c:v>
                </c:pt>
                <c:pt idx="1211">
                  <c:v>60.55</c:v>
                </c:pt>
                <c:pt idx="1212">
                  <c:v>60.6</c:v>
                </c:pt>
                <c:pt idx="1213">
                  <c:v>60.65</c:v>
                </c:pt>
                <c:pt idx="1214">
                  <c:v>60.7</c:v>
                </c:pt>
                <c:pt idx="1215">
                  <c:v>60.75</c:v>
                </c:pt>
                <c:pt idx="1216">
                  <c:v>60.8</c:v>
                </c:pt>
                <c:pt idx="1217">
                  <c:v>60.85</c:v>
                </c:pt>
                <c:pt idx="1218">
                  <c:v>60.9</c:v>
                </c:pt>
                <c:pt idx="1219">
                  <c:v>60.95</c:v>
                </c:pt>
                <c:pt idx="1220">
                  <c:v>61</c:v>
                </c:pt>
                <c:pt idx="1221">
                  <c:v>61.05</c:v>
                </c:pt>
                <c:pt idx="1222">
                  <c:v>61.1</c:v>
                </c:pt>
                <c:pt idx="1223">
                  <c:v>61.15</c:v>
                </c:pt>
                <c:pt idx="1224">
                  <c:v>61.2</c:v>
                </c:pt>
                <c:pt idx="1225">
                  <c:v>61.25</c:v>
                </c:pt>
                <c:pt idx="1226">
                  <c:v>61.3</c:v>
                </c:pt>
                <c:pt idx="1227">
                  <c:v>61.35</c:v>
                </c:pt>
                <c:pt idx="1228">
                  <c:v>61.4</c:v>
                </c:pt>
                <c:pt idx="1229">
                  <c:v>61.45</c:v>
                </c:pt>
                <c:pt idx="1230">
                  <c:v>61.5</c:v>
                </c:pt>
                <c:pt idx="1231">
                  <c:v>61.55</c:v>
                </c:pt>
                <c:pt idx="1232">
                  <c:v>61.6</c:v>
                </c:pt>
                <c:pt idx="1233">
                  <c:v>61.65</c:v>
                </c:pt>
                <c:pt idx="1234">
                  <c:v>61.7</c:v>
                </c:pt>
                <c:pt idx="1235">
                  <c:v>61.75</c:v>
                </c:pt>
                <c:pt idx="1236">
                  <c:v>61.8</c:v>
                </c:pt>
                <c:pt idx="1237">
                  <c:v>61.85</c:v>
                </c:pt>
                <c:pt idx="1238">
                  <c:v>61.9</c:v>
                </c:pt>
                <c:pt idx="1239">
                  <c:v>61.95</c:v>
                </c:pt>
                <c:pt idx="1240">
                  <c:v>62</c:v>
                </c:pt>
                <c:pt idx="1241">
                  <c:v>62.05</c:v>
                </c:pt>
                <c:pt idx="1242">
                  <c:v>62.1</c:v>
                </c:pt>
                <c:pt idx="1243">
                  <c:v>62.15</c:v>
                </c:pt>
                <c:pt idx="1244">
                  <c:v>62.2</c:v>
                </c:pt>
                <c:pt idx="1245">
                  <c:v>62.25</c:v>
                </c:pt>
                <c:pt idx="1246">
                  <c:v>62.3</c:v>
                </c:pt>
                <c:pt idx="1247">
                  <c:v>62.35</c:v>
                </c:pt>
                <c:pt idx="1248">
                  <c:v>62.4</c:v>
                </c:pt>
                <c:pt idx="1249">
                  <c:v>62.45</c:v>
                </c:pt>
                <c:pt idx="1250">
                  <c:v>62.5</c:v>
                </c:pt>
                <c:pt idx="1251">
                  <c:v>62.55</c:v>
                </c:pt>
                <c:pt idx="1252">
                  <c:v>62.6</c:v>
                </c:pt>
                <c:pt idx="1253">
                  <c:v>62.65</c:v>
                </c:pt>
                <c:pt idx="1254">
                  <c:v>62.7</c:v>
                </c:pt>
                <c:pt idx="1255">
                  <c:v>62.75</c:v>
                </c:pt>
                <c:pt idx="1256">
                  <c:v>62.8</c:v>
                </c:pt>
                <c:pt idx="1257">
                  <c:v>62.85</c:v>
                </c:pt>
                <c:pt idx="1258">
                  <c:v>62.9</c:v>
                </c:pt>
                <c:pt idx="1259">
                  <c:v>62.95</c:v>
                </c:pt>
                <c:pt idx="1260">
                  <c:v>63</c:v>
                </c:pt>
                <c:pt idx="1261">
                  <c:v>63.05</c:v>
                </c:pt>
                <c:pt idx="1262">
                  <c:v>63.1</c:v>
                </c:pt>
                <c:pt idx="1263">
                  <c:v>63.15</c:v>
                </c:pt>
                <c:pt idx="1264">
                  <c:v>63.2</c:v>
                </c:pt>
                <c:pt idx="1265">
                  <c:v>63.25</c:v>
                </c:pt>
                <c:pt idx="1266">
                  <c:v>63.3</c:v>
                </c:pt>
                <c:pt idx="1267">
                  <c:v>63.35</c:v>
                </c:pt>
                <c:pt idx="1268">
                  <c:v>63.4</c:v>
                </c:pt>
                <c:pt idx="1269">
                  <c:v>63.45</c:v>
                </c:pt>
                <c:pt idx="1270">
                  <c:v>63.5</c:v>
                </c:pt>
                <c:pt idx="1271">
                  <c:v>63.55</c:v>
                </c:pt>
                <c:pt idx="1272">
                  <c:v>63.6</c:v>
                </c:pt>
                <c:pt idx="1273">
                  <c:v>63.65</c:v>
                </c:pt>
                <c:pt idx="1274">
                  <c:v>63.7</c:v>
                </c:pt>
                <c:pt idx="1275">
                  <c:v>63.75</c:v>
                </c:pt>
                <c:pt idx="1276">
                  <c:v>63.8</c:v>
                </c:pt>
                <c:pt idx="1277">
                  <c:v>63.85</c:v>
                </c:pt>
                <c:pt idx="1278">
                  <c:v>63.9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64.099999999999994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64.349999999999994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64.599999999999994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64.849999999999994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65.099999999999994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65.349999999999994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65.599999999999994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65.849999999999994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66.099999999999994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66.349999999999994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66.599999999999994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66.849999999999994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67.099999999999994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67.349999999999994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67.599999999999994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67.849999999999994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68.099999999999994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68.349999999999994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68.599999999999994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68.849999999999994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69.099999999999994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69.349999999999994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69.599999999999994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69.849999999999994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70.099999999999994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70.349999999999994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70.599999999999994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70.849999999999994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71.099999999999994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71.349999999999994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71.599999999999994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71.849999999999994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72.099999999999994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72.349999999999994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72.599999999999994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72.849999999999994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73.099999999999994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73.349999999999994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73.599999999999994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73.849999999999994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74.099999999999994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74.349999999999994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74.599999999999994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74.849999999999994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75.099999999999994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75.349999999999994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75.599999999999994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75.849999999999994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76.099999999999994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76.349999999999994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76.599999999999994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</c:v>
                </c:pt>
                <c:pt idx="1537">
                  <c:v>76.849999999999994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</c:v>
                </c:pt>
                <c:pt idx="1542">
                  <c:v>77.099999999999994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</c:v>
                </c:pt>
                <c:pt idx="1547">
                  <c:v>77.349999999999994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</c:v>
                </c:pt>
                <c:pt idx="1552">
                  <c:v>77.599999999999994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</c:v>
                </c:pt>
                <c:pt idx="1557">
                  <c:v>77.849999999999994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</c:v>
                </c:pt>
                <c:pt idx="1562">
                  <c:v>78.099999999999994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</c:v>
                </c:pt>
                <c:pt idx="1567">
                  <c:v>78.349999999999994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</c:v>
                </c:pt>
                <c:pt idx="1572">
                  <c:v>78.599999999999994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</c:v>
                </c:pt>
                <c:pt idx="1577">
                  <c:v>78.849999999999994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</c:v>
                </c:pt>
                <c:pt idx="1582">
                  <c:v>79.099999999999994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</c:v>
                </c:pt>
                <c:pt idx="1587">
                  <c:v>79.349999999999994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</c:v>
                </c:pt>
                <c:pt idx="1592">
                  <c:v>79.599999999999994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</c:v>
                </c:pt>
                <c:pt idx="1597">
                  <c:v>79.849999999999994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</c:v>
                </c:pt>
                <c:pt idx="1602">
                  <c:v>80.099999999999994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</c:v>
                </c:pt>
                <c:pt idx="1607">
                  <c:v>80.349999999999994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</c:v>
                </c:pt>
                <c:pt idx="1612">
                  <c:v>80.599999999999994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</c:v>
                </c:pt>
                <c:pt idx="1617">
                  <c:v>80.849999999999994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</c:v>
                </c:pt>
                <c:pt idx="1622">
                  <c:v>81.099999999999994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</c:v>
                </c:pt>
                <c:pt idx="1627">
                  <c:v>81.349999999999994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</c:v>
                </c:pt>
                <c:pt idx="1632">
                  <c:v>81.599999999999994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</c:v>
                </c:pt>
                <c:pt idx="1637">
                  <c:v>81.849999999999994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</c:v>
                </c:pt>
                <c:pt idx="1642">
                  <c:v>82.1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</c:v>
                </c:pt>
                <c:pt idx="1647">
                  <c:v>82.35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</c:v>
                </c:pt>
                <c:pt idx="1652">
                  <c:v>82.6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</c:v>
                </c:pt>
                <c:pt idx="1657">
                  <c:v>82.85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</c:v>
                </c:pt>
                <c:pt idx="1662">
                  <c:v>83.1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</c:v>
                </c:pt>
                <c:pt idx="1667">
                  <c:v>83.35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</c:v>
                </c:pt>
                <c:pt idx="1672">
                  <c:v>83.6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</c:v>
                </c:pt>
                <c:pt idx="1677">
                  <c:v>83.85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</c:v>
                </c:pt>
                <c:pt idx="1682">
                  <c:v>84.1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</c:v>
                </c:pt>
                <c:pt idx="1687">
                  <c:v>84.35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</c:v>
                </c:pt>
                <c:pt idx="1692">
                  <c:v>84.6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</c:v>
                </c:pt>
                <c:pt idx="1697">
                  <c:v>84.85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</c:v>
                </c:pt>
                <c:pt idx="1702">
                  <c:v>85.1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</c:v>
                </c:pt>
                <c:pt idx="1707">
                  <c:v>85.35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</c:v>
                </c:pt>
                <c:pt idx="1712">
                  <c:v>85.6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</c:v>
                </c:pt>
                <c:pt idx="1717">
                  <c:v>85.85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</c:v>
                </c:pt>
                <c:pt idx="1722">
                  <c:v>86.1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</c:v>
                </c:pt>
                <c:pt idx="1727">
                  <c:v>86.35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</c:v>
                </c:pt>
                <c:pt idx="1732">
                  <c:v>86.6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</c:v>
                </c:pt>
                <c:pt idx="1737">
                  <c:v>86.85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</c:v>
                </c:pt>
                <c:pt idx="1742">
                  <c:v>87.1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</c:v>
                </c:pt>
                <c:pt idx="1747">
                  <c:v>87.35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</c:v>
                </c:pt>
                <c:pt idx="1752">
                  <c:v>87.6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</c:v>
                </c:pt>
                <c:pt idx="1757">
                  <c:v>87.85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</c:v>
                </c:pt>
                <c:pt idx="1762">
                  <c:v>88.1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</c:v>
                </c:pt>
                <c:pt idx="1767">
                  <c:v>88.35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</c:v>
                </c:pt>
                <c:pt idx="1772">
                  <c:v>88.6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</c:v>
                </c:pt>
                <c:pt idx="1777">
                  <c:v>88.85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</c:v>
                </c:pt>
                <c:pt idx="1782">
                  <c:v>89.1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</c:v>
                </c:pt>
                <c:pt idx="1787">
                  <c:v>89.35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</c:v>
                </c:pt>
                <c:pt idx="1792">
                  <c:v>89.6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</c:v>
                </c:pt>
                <c:pt idx="1797">
                  <c:v>89.85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</c:v>
                </c:pt>
                <c:pt idx="1802">
                  <c:v>90.1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</c:v>
                </c:pt>
                <c:pt idx="1807">
                  <c:v>90.35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</c:v>
                </c:pt>
                <c:pt idx="1812">
                  <c:v>90.6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</c:v>
                </c:pt>
                <c:pt idx="1817">
                  <c:v>90.85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</c:v>
                </c:pt>
                <c:pt idx="1822">
                  <c:v>91.1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</c:v>
                </c:pt>
                <c:pt idx="1827">
                  <c:v>91.35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</c:v>
                </c:pt>
                <c:pt idx="1832">
                  <c:v>91.6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</c:v>
                </c:pt>
                <c:pt idx="1837">
                  <c:v>91.85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</c:v>
                </c:pt>
                <c:pt idx="1842">
                  <c:v>92.1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</c:v>
                </c:pt>
                <c:pt idx="1847">
                  <c:v>92.35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</c:v>
                </c:pt>
                <c:pt idx="1852">
                  <c:v>92.6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</c:v>
                </c:pt>
                <c:pt idx="1857">
                  <c:v>92.85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</c:v>
                </c:pt>
                <c:pt idx="1862">
                  <c:v>93.1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</c:v>
                </c:pt>
                <c:pt idx="1867">
                  <c:v>93.35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</c:v>
                </c:pt>
                <c:pt idx="1872">
                  <c:v>93.6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</c:v>
                </c:pt>
                <c:pt idx="1877">
                  <c:v>93.85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</c:v>
                </c:pt>
                <c:pt idx="1882">
                  <c:v>94.1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</c:v>
                </c:pt>
                <c:pt idx="1887">
                  <c:v>94.35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</c:v>
                </c:pt>
                <c:pt idx="1892">
                  <c:v>94.6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</c:v>
                </c:pt>
                <c:pt idx="1897">
                  <c:v>94.85</c:v>
                </c:pt>
                <c:pt idx="1898">
                  <c:v>94.9</c:v>
                </c:pt>
              </c:numCache>
            </c:numRef>
          </c:xVal>
          <c:yVal>
            <c:numRef>
              <c:f>MODEL!$B$2:$B$1900</c:f>
              <c:numCache>
                <c:formatCode>0.00E+00</c:formatCode>
                <c:ptCount val="1899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7.0000000000000007E-2</c:v>
                </c:pt>
                <c:pt idx="58">
                  <c:v>7.0000000000000007E-2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6.9903999999999994E-2</c:v>
                </c:pt>
                <c:pt idx="63">
                  <c:v>6.9807999999999995E-2</c:v>
                </c:pt>
                <c:pt idx="64">
                  <c:v>6.9711999999999996E-2</c:v>
                </c:pt>
                <c:pt idx="65">
                  <c:v>6.9615999999999997E-2</c:v>
                </c:pt>
                <c:pt idx="66">
                  <c:v>6.9520999999999999E-2</c:v>
                </c:pt>
                <c:pt idx="67">
                  <c:v>6.9425000000000001E-2</c:v>
                </c:pt>
                <c:pt idx="68">
                  <c:v>6.9329000000000002E-2</c:v>
                </c:pt>
                <c:pt idx="69">
                  <c:v>6.9234000000000004E-2</c:v>
                </c:pt>
                <c:pt idx="70">
                  <c:v>6.9138000000000005E-2</c:v>
                </c:pt>
                <c:pt idx="71">
                  <c:v>6.9042999999999993E-2</c:v>
                </c:pt>
                <c:pt idx="72">
                  <c:v>6.8947999999999995E-2</c:v>
                </c:pt>
                <c:pt idx="73">
                  <c:v>6.8851999999999997E-2</c:v>
                </c:pt>
                <c:pt idx="74">
                  <c:v>6.8756999999999999E-2</c:v>
                </c:pt>
                <c:pt idx="75">
                  <c:v>6.8662000000000001E-2</c:v>
                </c:pt>
                <c:pt idx="76">
                  <c:v>6.8567000000000003E-2</c:v>
                </c:pt>
                <c:pt idx="77">
                  <c:v>6.8472000000000005E-2</c:v>
                </c:pt>
                <c:pt idx="78">
                  <c:v>6.8376999999999993E-2</c:v>
                </c:pt>
                <c:pt idx="79">
                  <c:v>6.8281999999999995E-2</c:v>
                </c:pt>
                <c:pt idx="80">
                  <c:v>6.8186999999999998E-2</c:v>
                </c:pt>
                <c:pt idx="81">
                  <c:v>6.8092E-2</c:v>
                </c:pt>
                <c:pt idx="82">
                  <c:v>6.7998000000000003E-2</c:v>
                </c:pt>
                <c:pt idx="83">
                  <c:v>6.7903000000000005E-2</c:v>
                </c:pt>
                <c:pt idx="84">
                  <c:v>6.7807999999999993E-2</c:v>
                </c:pt>
                <c:pt idx="85">
                  <c:v>6.7713999999999996E-2</c:v>
                </c:pt>
                <c:pt idx="86">
                  <c:v>6.7618999999999999E-2</c:v>
                </c:pt>
                <c:pt idx="87">
                  <c:v>6.7525000000000002E-2</c:v>
                </c:pt>
                <c:pt idx="88">
                  <c:v>6.7431000000000005E-2</c:v>
                </c:pt>
                <c:pt idx="89">
                  <c:v>6.7335999999999993E-2</c:v>
                </c:pt>
                <c:pt idx="90">
                  <c:v>6.7241999999999996E-2</c:v>
                </c:pt>
                <c:pt idx="91">
                  <c:v>6.7147999999999999E-2</c:v>
                </c:pt>
                <c:pt idx="92">
                  <c:v>6.7054000000000002E-2</c:v>
                </c:pt>
                <c:pt idx="93">
                  <c:v>6.6960000000000006E-2</c:v>
                </c:pt>
                <c:pt idx="94">
                  <c:v>6.6865999999999995E-2</c:v>
                </c:pt>
                <c:pt idx="95">
                  <c:v>6.6771999999999998E-2</c:v>
                </c:pt>
                <c:pt idx="96">
                  <c:v>6.6679000000000002E-2</c:v>
                </c:pt>
                <c:pt idx="97">
                  <c:v>6.6585000000000005E-2</c:v>
                </c:pt>
                <c:pt idx="98">
                  <c:v>6.6490999999999995E-2</c:v>
                </c:pt>
                <c:pt idx="99">
                  <c:v>6.6397999999999999E-2</c:v>
                </c:pt>
                <c:pt idx="100">
                  <c:v>6.6304000000000002E-2</c:v>
                </c:pt>
                <c:pt idx="101">
                  <c:v>6.6211000000000006E-2</c:v>
                </c:pt>
                <c:pt idx="102">
                  <c:v>6.6116999999999995E-2</c:v>
                </c:pt>
                <c:pt idx="103">
                  <c:v>6.6023999999999999E-2</c:v>
                </c:pt>
                <c:pt idx="104">
                  <c:v>6.5931000000000003E-2</c:v>
                </c:pt>
                <c:pt idx="105">
                  <c:v>6.5837999999999994E-2</c:v>
                </c:pt>
                <c:pt idx="106">
                  <c:v>6.5743999999999997E-2</c:v>
                </c:pt>
                <c:pt idx="107">
                  <c:v>6.5651000000000001E-2</c:v>
                </c:pt>
                <c:pt idx="108">
                  <c:v>6.5558000000000005E-2</c:v>
                </c:pt>
                <c:pt idx="109">
                  <c:v>6.5464999999999995E-2</c:v>
                </c:pt>
                <c:pt idx="110">
                  <c:v>6.5373000000000001E-2</c:v>
                </c:pt>
                <c:pt idx="111">
                  <c:v>6.5280000000000005E-2</c:v>
                </c:pt>
                <c:pt idx="112">
                  <c:v>6.5186999999999995E-2</c:v>
                </c:pt>
                <c:pt idx="113">
                  <c:v>6.5093999999999999E-2</c:v>
                </c:pt>
                <c:pt idx="114">
                  <c:v>6.5002000000000004E-2</c:v>
                </c:pt>
                <c:pt idx="115">
                  <c:v>6.4908999999999994E-2</c:v>
                </c:pt>
                <c:pt idx="116">
                  <c:v>6.4817E-2</c:v>
                </c:pt>
                <c:pt idx="117">
                  <c:v>6.4725000000000005E-2</c:v>
                </c:pt>
                <c:pt idx="118">
                  <c:v>6.4631999999999995E-2</c:v>
                </c:pt>
                <c:pt idx="119">
                  <c:v>6.454E-2</c:v>
                </c:pt>
                <c:pt idx="120">
                  <c:v>6.4448000000000005E-2</c:v>
                </c:pt>
                <c:pt idx="121">
                  <c:v>6.4355999999999997E-2</c:v>
                </c:pt>
                <c:pt idx="122">
                  <c:v>6.4264000000000002E-2</c:v>
                </c:pt>
                <c:pt idx="123">
                  <c:v>6.4172000000000007E-2</c:v>
                </c:pt>
                <c:pt idx="124">
                  <c:v>6.4079999999999998E-2</c:v>
                </c:pt>
                <c:pt idx="125">
                  <c:v>6.3988000000000003E-2</c:v>
                </c:pt>
                <c:pt idx="126">
                  <c:v>6.3895999999999994E-2</c:v>
                </c:pt>
                <c:pt idx="127">
                  <c:v>6.3805000000000001E-2</c:v>
                </c:pt>
                <c:pt idx="128">
                  <c:v>6.3713000000000006E-2</c:v>
                </c:pt>
                <c:pt idx="129">
                  <c:v>6.3620999999999997E-2</c:v>
                </c:pt>
                <c:pt idx="130">
                  <c:v>6.3530000000000003E-2</c:v>
                </c:pt>
                <c:pt idx="131">
                  <c:v>6.3438999999999995E-2</c:v>
                </c:pt>
                <c:pt idx="132">
                  <c:v>6.3347000000000001E-2</c:v>
                </c:pt>
                <c:pt idx="133">
                  <c:v>6.3256000000000007E-2</c:v>
                </c:pt>
                <c:pt idx="134">
                  <c:v>6.3164999999999999E-2</c:v>
                </c:pt>
                <c:pt idx="135">
                  <c:v>6.3074000000000005E-2</c:v>
                </c:pt>
                <c:pt idx="136">
                  <c:v>6.2981999999999996E-2</c:v>
                </c:pt>
                <c:pt idx="137">
                  <c:v>6.2891000000000002E-2</c:v>
                </c:pt>
                <c:pt idx="138">
                  <c:v>6.2800999999999996E-2</c:v>
                </c:pt>
                <c:pt idx="139">
                  <c:v>6.2710000000000002E-2</c:v>
                </c:pt>
                <c:pt idx="140">
                  <c:v>6.2618999999999994E-2</c:v>
                </c:pt>
                <c:pt idx="141">
                  <c:v>6.2528E-2</c:v>
                </c:pt>
                <c:pt idx="142">
                  <c:v>6.2438E-2</c:v>
                </c:pt>
                <c:pt idx="143">
                  <c:v>6.2347E-2</c:v>
                </c:pt>
                <c:pt idx="144">
                  <c:v>6.2255999999999999E-2</c:v>
                </c:pt>
                <c:pt idx="145">
                  <c:v>6.2165999999999999E-2</c:v>
                </c:pt>
                <c:pt idx="146">
                  <c:v>6.2075999999999999E-2</c:v>
                </c:pt>
                <c:pt idx="147">
                  <c:v>6.1984999999999998E-2</c:v>
                </c:pt>
                <c:pt idx="148">
                  <c:v>6.1894999999999999E-2</c:v>
                </c:pt>
                <c:pt idx="149">
                  <c:v>6.1804999999999999E-2</c:v>
                </c:pt>
                <c:pt idx="150">
                  <c:v>6.1714999999999999E-2</c:v>
                </c:pt>
                <c:pt idx="151">
                  <c:v>6.1624999999999999E-2</c:v>
                </c:pt>
                <c:pt idx="152">
                  <c:v>6.1534999999999999E-2</c:v>
                </c:pt>
                <c:pt idx="153">
                  <c:v>6.1445E-2</c:v>
                </c:pt>
                <c:pt idx="154">
                  <c:v>6.1355E-2</c:v>
                </c:pt>
                <c:pt idx="155">
                  <c:v>6.1266000000000001E-2</c:v>
                </c:pt>
                <c:pt idx="156">
                  <c:v>6.1176000000000001E-2</c:v>
                </c:pt>
                <c:pt idx="157">
                  <c:v>6.1086000000000001E-2</c:v>
                </c:pt>
                <c:pt idx="158">
                  <c:v>6.0997000000000003E-2</c:v>
                </c:pt>
                <c:pt idx="159">
                  <c:v>6.0907000000000003E-2</c:v>
                </c:pt>
                <c:pt idx="160">
                  <c:v>6.0817999999999997E-2</c:v>
                </c:pt>
                <c:pt idx="161">
                  <c:v>6.0728999999999998E-2</c:v>
                </c:pt>
                <c:pt idx="162">
                  <c:v>6.0638999999999998E-2</c:v>
                </c:pt>
                <c:pt idx="163">
                  <c:v>6.055E-2</c:v>
                </c:pt>
                <c:pt idx="164">
                  <c:v>6.0461000000000001E-2</c:v>
                </c:pt>
                <c:pt idx="165">
                  <c:v>6.0372000000000002E-2</c:v>
                </c:pt>
                <c:pt idx="166">
                  <c:v>6.0283000000000003E-2</c:v>
                </c:pt>
                <c:pt idx="167">
                  <c:v>6.0193999999999998E-2</c:v>
                </c:pt>
                <c:pt idx="168">
                  <c:v>6.0106E-2</c:v>
                </c:pt>
                <c:pt idx="169">
                  <c:v>6.0017000000000001E-2</c:v>
                </c:pt>
                <c:pt idx="170">
                  <c:v>5.9928000000000002E-2</c:v>
                </c:pt>
                <c:pt idx="171">
                  <c:v>5.9839999999999997E-2</c:v>
                </c:pt>
                <c:pt idx="172">
                  <c:v>5.9750999999999999E-2</c:v>
                </c:pt>
                <c:pt idx="173">
                  <c:v>5.9663000000000001E-2</c:v>
                </c:pt>
                <c:pt idx="174">
                  <c:v>5.9574000000000002E-2</c:v>
                </c:pt>
                <c:pt idx="175">
                  <c:v>5.9485999999999997E-2</c:v>
                </c:pt>
                <c:pt idx="176">
                  <c:v>5.9397999999999999E-2</c:v>
                </c:pt>
                <c:pt idx="177">
                  <c:v>5.9309000000000001E-2</c:v>
                </c:pt>
                <c:pt idx="178">
                  <c:v>5.9221000000000003E-2</c:v>
                </c:pt>
                <c:pt idx="179">
                  <c:v>5.9132999999999998E-2</c:v>
                </c:pt>
                <c:pt idx="180">
                  <c:v>5.9045E-2</c:v>
                </c:pt>
                <c:pt idx="181">
                  <c:v>5.8957000000000002E-2</c:v>
                </c:pt>
                <c:pt idx="182">
                  <c:v>5.8869999999999999E-2</c:v>
                </c:pt>
                <c:pt idx="183">
                  <c:v>5.8782000000000001E-2</c:v>
                </c:pt>
                <c:pt idx="184">
                  <c:v>5.8694000000000003E-2</c:v>
                </c:pt>
                <c:pt idx="185">
                  <c:v>5.8606999999999999E-2</c:v>
                </c:pt>
                <c:pt idx="186">
                  <c:v>5.8519000000000002E-2</c:v>
                </c:pt>
                <c:pt idx="187">
                  <c:v>5.8431999999999998E-2</c:v>
                </c:pt>
                <c:pt idx="188">
                  <c:v>5.8344E-2</c:v>
                </c:pt>
                <c:pt idx="189">
                  <c:v>5.8257000000000003E-2</c:v>
                </c:pt>
                <c:pt idx="190">
                  <c:v>5.8169999999999999E-2</c:v>
                </c:pt>
                <c:pt idx="191">
                  <c:v>5.8083000000000003E-2</c:v>
                </c:pt>
                <c:pt idx="192">
                  <c:v>5.7995999999999999E-2</c:v>
                </c:pt>
                <c:pt idx="193">
                  <c:v>5.7909000000000002E-2</c:v>
                </c:pt>
                <c:pt idx="194">
                  <c:v>5.7821999999999998E-2</c:v>
                </c:pt>
                <c:pt idx="195">
                  <c:v>5.7735000000000002E-2</c:v>
                </c:pt>
                <c:pt idx="196">
                  <c:v>5.7647999999999998E-2</c:v>
                </c:pt>
                <c:pt idx="197">
                  <c:v>5.7561000000000001E-2</c:v>
                </c:pt>
                <c:pt idx="198">
                  <c:v>5.7474999999999998E-2</c:v>
                </c:pt>
                <c:pt idx="199">
                  <c:v>5.7388000000000002E-2</c:v>
                </c:pt>
                <c:pt idx="200">
                  <c:v>5.7300999999999998E-2</c:v>
                </c:pt>
                <c:pt idx="201">
                  <c:v>5.7215000000000002E-2</c:v>
                </c:pt>
                <c:pt idx="202">
                  <c:v>5.7128999999999999E-2</c:v>
                </c:pt>
                <c:pt idx="203">
                  <c:v>5.7042000000000002E-2</c:v>
                </c:pt>
                <c:pt idx="204">
                  <c:v>5.6956E-2</c:v>
                </c:pt>
                <c:pt idx="205">
                  <c:v>5.6869999999999997E-2</c:v>
                </c:pt>
                <c:pt idx="206">
                  <c:v>5.6784000000000001E-2</c:v>
                </c:pt>
                <c:pt idx="207">
                  <c:v>5.6697999999999998E-2</c:v>
                </c:pt>
                <c:pt idx="208">
                  <c:v>5.6612000000000003E-2</c:v>
                </c:pt>
                <c:pt idx="209">
                  <c:v>5.6526E-2</c:v>
                </c:pt>
                <c:pt idx="210">
                  <c:v>5.6439999999999997E-2</c:v>
                </c:pt>
                <c:pt idx="211">
                  <c:v>5.6355000000000002E-2</c:v>
                </c:pt>
                <c:pt idx="212">
                  <c:v>5.6269E-2</c:v>
                </c:pt>
                <c:pt idx="213">
                  <c:v>5.6183999999999998E-2</c:v>
                </c:pt>
                <c:pt idx="214">
                  <c:v>5.6098000000000002E-2</c:v>
                </c:pt>
                <c:pt idx="215">
                  <c:v>5.6013E-2</c:v>
                </c:pt>
                <c:pt idx="216">
                  <c:v>5.5926999999999998E-2</c:v>
                </c:pt>
                <c:pt idx="217">
                  <c:v>5.5842000000000003E-2</c:v>
                </c:pt>
                <c:pt idx="218">
                  <c:v>5.5757000000000001E-2</c:v>
                </c:pt>
                <c:pt idx="219">
                  <c:v>5.5671999999999999E-2</c:v>
                </c:pt>
                <c:pt idx="220">
                  <c:v>5.5586999999999998E-2</c:v>
                </c:pt>
                <c:pt idx="221">
                  <c:v>5.5502000000000003E-2</c:v>
                </c:pt>
                <c:pt idx="222">
                  <c:v>5.5417000000000001E-2</c:v>
                </c:pt>
                <c:pt idx="223">
                  <c:v>5.5331999999999999E-2</c:v>
                </c:pt>
                <c:pt idx="224">
                  <c:v>5.5246999999999997E-2</c:v>
                </c:pt>
                <c:pt idx="225">
                  <c:v>5.5162999999999997E-2</c:v>
                </c:pt>
                <c:pt idx="226">
                  <c:v>5.5078000000000002E-2</c:v>
                </c:pt>
                <c:pt idx="227">
                  <c:v>5.4994000000000001E-2</c:v>
                </c:pt>
                <c:pt idx="228">
                  <c:v>5.4908999999999999E-2</c:v>
                </c:pt>
                <c:pt idx="229">
                  <c:v>5.4824999999999999E-2</c:v>
                </c:pt>
                <c:pt idx="230">
                  <c:v>5.4739999999999997E-2</c:v>
                </c:pt>
                <c:pt idx="231">
                  <c:v>5.4656000000000003E-2</c:v>
                </c:pt>
                <c:pt idx="232">
                  <c:v>5.4572000000000002E-2</c:v>
                </c:pt>
                <c:pt idx="233">
                  <c:v>5.4488000000000002E-2</c:v>
                </c:pt>
                <c:pt idx="234">
                  <c:v>5.4404000000000001E-2</c:v>
                </c:pt>
                <c:pt idx="235">
                  <c:v>5.432E-2</c:v>
                </c:pt>
                <c:pt idx="236">
                  <c:v>5.4235999999999999E-2</c:v>
                </c:pt>
                <c:pt idx="237">
                  <c:v>5.4153E-2</c:v>
                </c:pt>
                <c:pt idx="238">
                  <c:v>5.4068999999999999E-2</c:v>
                </c:pt>
                <c:pt idx="239">
                  <c:v>5.3984999999999998E-2</c:v>
                </c:pt>
                <c:pt idx="240">
                  <c:v>5.3901999999999999E-2</c:v>
                </c:pt>
                <c:pt idx="241">
                  <c:v>5.3817999999999998E-2</c:v>
                </c:pt>
                <c:pt idx="242">
                  <c:v>5.3734999999999998E-2</c:v>
                </c:pt>
                <c:pt idx="243">
                  <c:v>5.3650999999999997E-2</c:v>
                </c:pt>
                <c:pt idx="244">
                  <c:v>5.3567999999999998E-2</c:v>
                </c:pt>
                <c:pt idx="245">
                  <c:v>5.3484999999999998E-2</c:v>
                </c:pt>
                <c:pt idx="246">
                  <c:v>5.3401999999999998E-2</c:v>
                </c:pt>
                <c:pt idx="247">
                  <c:v>5.3318999999999998E-2</c:v>
                </c:pt>
                <c:pt idx="248">
                  <c:v>5.3235999999999999E-2</c:v>
                </c:pt>
                <c:pt idx="249">
                  <c:v>5.3152999999999999E-2</c:v>
                </c:pt>
                <c:pt idx="250">
                  <c:v>5.3069999999999999E-2</c:v>
                </c:pt>
                <c:pt idx="251">
                  <c:v>5.2988E-2</c:v>
                </c:pt>
                <c:pt idx="252">
                  <c:v>5.2905000000000001E-2</c:v>
                </c:pt>
                <c:pt idx="253">
                  <c:v>5.2822000000000001E-2</c:v>
                </c:pt>
                <c:pt idx="254">
                  <c:v>5.2740000000000002E-2</c:v>
                </c:pt>
                <c:pt idx="255">
                  <c:v>5.2657000000000002E-2</c:v>
                </c:pt>
                <c:pt idx="256">
                  <c:v>5.2574999999999997E-2</c:v>
                </c:pt>
                <c:pt idx="257">
                  <c:v>5.2492999999999998E-2</c:v>
                </c:pt>
                <c:pt idx="258">
                  <c:v>5.2410999999999999E-2</c:v>
                </c:pt>
                <c:pt idx="259">
                  <c:v>5.2328E-2</c:v>
                </c:pt>
                <c:pt idx="260">
                  <c:v>5.2246000000000001E-2</c:v>
                </c:pt>
                <c:pt idx="261">
                  <c:v>5.2164000000000002E-2</c:v>
                </c:pt>
                <c:pt idx="262">
                  <c:v>5.2082000000000003E-2</c:v>
                </c:pt>
                <c:pt idx="263">
                  <c:v>5.2000999999999999E-2</c:v>
                </c:pt>
                <c:pt idx="264">
                  <c:v>5.1919E-2</c:v>
                </c:pt>
                <c:pt idx="265">
                  <c:v>5.1837000000000001E-2</c:v>
                </c:pt>
                <c:pt idx="266">
                  <c:v>5.1756000000000003E-2</c:v>
                </c:pt>
                <c:pt idx="267">
                  <c:v>5.1673999999999998E-2</c:v>
                </c:pt>
                <c:pt idx="268">
                  <c:v>5.1593E-2</c:v>
                </c:pt>
                <c:pt idx="269">
                  <c:v>5.1511000000000001E-2</c:v>
                </c:pt>
                <c:pt idx="270">
                  <c:v>5.1429999999999997E-2</c:v>
                </c:pt>
                <c:pt idx="271">
                  <c:v>5.1348999999999999E-2</c:v>
                </c:pt>
                <c:pt idx="272">
                  <c:v>5.1268000000000001E-2</c:v>
                </c:pt>
                <c:pt idx="273">
                  <c:v>5.1186000000000002E-2</c:v>
                </c:pt>
                <c:pt idx="274">
                  <c:v>5.1104999999999998E-2</c:v>
                </c:pt>
                <c:pt idx="275">
                  <c:v>5.1025000000000001E-2</c:v>
                </c:pt>
                <c:pt idx="276">
                  <c:v>5.0944000000000003E-2</c:v>
                </c:pt>
                <c:pt idx="277">
                  <c:v>5.0862999999999998E-2</c:v>
                </c:pt>
                <c:pt idx="278">
                  <c:v>5.0782000000000001E-2</c:v>
                </c:pt>
                <c:pt idx="279">
                  <c:v>5.0701999999999997E-2</c:v>
                </c:pt>
                <c:pt idx="280">
                  <c:v>5.0620999999999999E-2</c:v>
                </c:pt>
                <c:pt idx="281">
                  <c:v>5.0541000000000003E-2</c:v>
                </c:pt>
                <c:pt idx="282">
                  <c:v>5.0459999999999998E-2</c:v>
                </c:pt>
                <c:pt idx="283">
                  <c:v>5.0380000000000001E-2</c:v>
                </c:pt>
                <c:pt idx="284">
                  <c:v>5.0299999999999997E-2</c:v>
                </c:pt>
                <c:pt idx="285">
                  <c:v>5.0219E-2</c:v>
                </c:pt>
                <c:pt idx="286">
                  <c:v>5.0139000000000003E-2</c:v>
                </c:pt>
                <c:pt idx="287">
                  <c:v>5.0058999999999999E-2</c:v>
                </c:pt>
                <c:pt idx="288">
                  <c:v>4.9979000000000003E-2</c:v>
                </c:pt>
                <c:pt idx="289">
                  <c:v>4.99E-2</c:v>
                </c:pt>
                <c:pt idx="290">
                  <c:v>4.9820000000000003E-2</c:v>
                </c:pt>
                <c:pt idx="291">
                  <c:v>4.9739999999999999E-2</c:v>
                </c:pt>
                <c:pt idx="292">
                  <c:v>4.9660000000000003E-2</c:v>
                </c:pt>
                <c:pt idx="293">
                  <c:v>4.9581E-2</c:v>
                </c:pt>
                <c:pt idx="294">
                  <c:v>4.9501000000000003E-2</c:v>
                </c:pt>
                <c:pt idx="295">
                  <c:v>4.9422000000000001E-2</c:v>
                </c:pt>
                <c:pt idx="296">
                  <c:v>4.9342999999999998E-2</c:v>
                </c:pt>
                <c:pt idx="297">
                  <c:v>4.9263000000000001E-2</c:v>
                </c:pt>
                <c:pt idx="298">
                  <c:v>4.9183999999999999E-2</c:v>
                </c:pt>
                <c:pt idx="299">
                  <c:v>4.9105000000000003E-2</c:v>
                </c:pt>
                <c:pt idx="300">
                  <c:v>4.9026E-2</c:v>
                </c:pt>
                <c:pt idx="301">
                  <c:v>4.8946999999999997E-2</c:v>
                </c:pt>
                <c:pt idx="302">
                  <c:v>4.8868000000000002E-2</c:v>
                </c:pt>
                <c:pt idx="303">
                  <c:v>4.879E-2</c:v>
                </c:pt>
                <c:pt idx="304">
                  <c:v>4.8710999999999997E-2</c:v>
                </c:pt>
                <c:pt idx="305">
                  <c:v>4.8632000000000002E-2</c:v>
                </c:pt>
                <c:pt idx="306">
                  <c:v>4.8554E-2</c:v>
                </c:pt>
                <c:pt idx="307">
                  <c:v>4.8474999999999997E-2</c:v>
                </c:pt>
                <c:pt idx="308">
                  <c:v>4.8397000000000003E-2</c:v>
                </c:pt>
                <c:pt idx="309">
                  <c:v>4.8318E-2</c:v>
                </c:pt>
                <c:pt idx="310">
                  <c:v>4.8239999999999998E-2</c:v>
                </c:pt>
                <c:pt idx="311">
                  <c:v>4.8162000000000003E-2</c:v>
                </c:pt>
                <c:pt idx="312">
                  <c:v>4.8084000000000002E-2</c:v>
                </c:pt>
                <c:pt idx="313">
                  <c:v>4.8006E-2</c:v>
                </c:pt>
                <c:pt idx="314">
                  <c:v>4.7927999999999998E-2</c:v>
                </c:pt>
                <c:pt idx="315">
                  <c:v>4.7849999999999997E-2</c:v>
                </c:pt>
                <c:pt idx="316">
                  <c:v>4.7772000000000002E-2</c:v>
                </c:pt>
                <c:pt idx="317">
                  <c:v>4.7695000000000001E-2</c:v>
                </c:pt>
                <c:pt idx="318">
                  <c:v>4.7617E-2</c:v>
                </c:pt>
                <c:pt idx="319">
                  <c:v>4.7538999999999998E-2</c:v>
                </c:pt>
                <c:pt idx="320">
                  <c:v>4.7461999999999997E-2</c:v>
                </c:pt>
                <c:pt idx="321">
                  <c:v>4.7384000000000003E-2</c:v>
                </c:pt>
                <c:pt idx="322">
                  <c:v>4.7307000000000002E-2</c:v>
                </c:pt>
                <c:pt idx="323">
                  <c:v>4.7230000000000001E-2</c:v>
                </c:pt>
                <c:pt idx="324">
                  <c:v>4.7153E-2</c:v>
                </c:pt>
                <c:pt idx="325">
                  <c:v>4.7076E-2</c:v>
                </c:pt>
                <c:pt idx="326">
                  <c:v>4.6998999999999999E-2</c:v>
                </c:pt>
                <c:pt idx="327">
                  <c:v>4.6921999999999998E-2</c:v>
                </c:pt>
                <c:pt idx="328">
                  <c:v>4.6844999999999998E-2</c:v>
                </c:pt>
                <c:pt idx="329">
                  <c:v>4.6767999999999997E-2</c:v>
                </c:pt>
                <c:pt idx="330">
                  <c:v>4.6691000000000003E-2</c:v>
                </c:pt>
                <c:pt idx="331">
                  <c:v>4.6614999999999997E-2</c:v>
                </c:pt>
                <c:pt idx="332">
                  <c:v>4.6538000000000003E-2</c:v>
                </c:pt>
                <c:pt idx="333">
                  <c:v>4.6462000000000003E-2</c:v>
                </c:pt>
                <c:pt idx="334">
                  <c:v>4.6385000000000003E-2</c:v>
                </c:pt>
                <c:pt idx="335">
                  <c:v>4.6309000000000003E-2</c:v>
                </c:pt>
                <c:pt idx="336">
                  <c:v>4.6233000000000003E-2</c:v>
                </c:pt>
                <c:pt idx="337">
                  <c:v>4.6156000000000003E-2</c:v>
                </c:pt>
                <c:pt idx="338">
                  <c:v>4.6080000000000003E-2</c:v>
                </c:pt>
                <c:pt idx="339">
                  <c:v>4.6004000000000003E-2</c:v>
                </c:pt>
                <c:pt idx="340">
                  <c:v>4.5927999999999997E-2</c:v>
                </c:pt>
                <c:pt idx="341">
                  <c:v>4.5852999999999998E-2</c:v>
                </c:pt>
                <c:pt idx="342">
                  <c:v>4.5776999999999998E-2</c:v>
                </c:pt>
                <c:pt idx="343">
                  <c:v>4.5700999999999999E-2</c:v>
                </c:pt>
                <c:pt idx="344">
                  <c:v>4.5624999999999999E-2</c:v>
                </c:pt>
                <c:pt idx="345">
                  <c:v>4.555E-2</c:v>
                </c:pt>
                <c:pt idx="346">
                  <c:v>4.5474000000000001E-2</c:v>
                </c:pt>
                <c:pt idx="347">
                  <c:v>4.5399000000000002E-2</c:v>
                </c:pt>
                <c:pt idx="348">
                  <c:v>4.5324000000000003E-2</c:v>
                </c:pt>
                <c:pt idx="349">
                  <c:v>4.5248999999999998E-2</c:v>
                </c:pt>
                <c:pt idx="350">
                  <c:v>4.5172999999999998E-2</c:v>
                </c:pt>
                <c:pt idx="351">
                  <c:v>4.5097999999999999E-2</c:v>
                </c:pt>
                <c:pt idx="352">
                  <c:v>4.5023000000000001E-2</c:v>
                </c:pt>
                <c:pt idx="353">
                  <c:v>4.4948000000000002E-2</c:v>
                </c:pt>
                <c:pt idx="354">
                  <c:v>4.4873999999999997E-2</c:v>
                </c:pt>
                <c:pt idx="355">
                  <c:v>4.4798999999999999E-2</c:v>
                </c:pt>
                <c:pt idx="356">
                  <c:v>4.4724E-2</c:v>
                </c:pt>
                <c:pt idx="357">
                  <c:v>4.4649000000000001E-2</c:v>
                </c:pt>
                <c:pt idx="358">
                  <c:v>4.4574999999999997E-2</c:v>
                </c:pt>
                <c:pt idx="359">
                  <c:v>4.4500999999999999E-2</c:v>
                </c:pt>
                <c:pt idx="360">
                  <c:v>4.4426E-2</c:v>
                </c:pt>
                <c:pt idx="361">
                  <c:v>4.4352000000000003E-2</c:v>
                </c:pt>
                <c:pt idx="362">
                  <c:v>4.4277999999999998E-2</c:v>
                </c:pt>
                <c:pt idx="363">
                  <c:v>4.4202999999999999E-2</c:v>
                </c:pt>
                <c:pt idx="364">
                  <c:v>4.4129000000000002E-2</c:v>
                </c:pt>
                <c:pt idx="365">
                  <c:v>4.4054999999999997E-2</c:v>
                </c:pt>
                <c:pt idx="366">
                  <c:v>4.3982E-2</c:v>
                </c:pt>
                <c:pt idx="367">
                  <c:v>4.3908000000000003E-2</c:v>
                </c:pt>
                <c:pt idx="368">
                  <c:v>4.3833999999999998E-2</c:v>
                </c:pt>
                <c:pt idx="369">
                  <c:v>4.376E-2</c:v>
                </c:pt>
                <c:pt idx="370">
                  <c:v>4.3686999999999997E-2</c:v>
                </c:pt>
                <c:pt idx="371">
                  <c:v>4.3612999999999999E-2</c:v>
                </c:pt>
                <c:pt idx="372">
                  <c:v>4.3540000000000002E-2</c:v>
                </c:pt>
                <c:pt idx="373">
                  <c:v>4.3465999999999998E-2</c:v>
                </c:pt>
                <c:pt idx="374">
                  <c:v>4.3393000000000001E-2</c:v>
                </c:pt>
                <c:pt idx="375">
                  <c:v>4.3319999999999997E-2</c:v>
                </c:pt>
                <c:pt idx="376">
                  <c:v>4.3247000000000001E-2</c:v>
                </c:pt>
                <c:pt idx="377">
                  <c:v>4.3173999999999997E-2</c:v>
                </c:pt>
                <c:pt idx="378">
                  <c:v>4.3101E-2</c:v>
                </c:pt>
                <c:pt idx="379">
                  <c:v>4.3027999999999997E-2</c:v>
                </c:pt>
                <c:pt idx="380">
                  <c:v>4.2955E-2</c:v>
                </c:pt>
                <c:pt idx="381">
                  <c:v>4.2882000000000003E-2</c:v>
                </c:pt>
                <c:pt idx="382">
                  <c:v>4.2810000000000001E-2</c:v>
                </c:pt>
                <c:pt idx="383">
                  <c:v>4.2736999999999997E-2</c:v>
                </c:pt>
                <c:pt idx="384">
                  <c:v>4.2665000000000002E-2</c:v>
                </c:pt>
                <c:pt idx="385">
                  <c:v>4.2591999999999998E-2</c:v>
                </c:pt>
                <c:pt idx="386">
                  <c:v>4.2520000000000002E-2</c:v>
                </c:pt>
                <c:pt idx="387">
                  <c:v>4.2448E-2</c:v>
                </c:pt>
                <c:pt idx="388">
                  <c:v>4.2375999999999997E-2</c:v>
                </c:pt>
                <c:pt idx="389">
                  <c:v>4.2303E-2</c:v>
                </c:pt>
                <c:pt idx="390">
                  <c:v>4.2230999999999998E-2</c:v>
                </c:pt>
                <c:pt idx="391">
                  <c:v>4.2160000000000003E-2</c:v>
                </c:pt>
                <c:pt idx="392">
                  <c:v>4.2088E-2</c:v>
                </c:pt>
                <c:pt idx="393">
                  <c:v>4.2015999999999998E-2</c:v>
                </c:pt>
                <c:pt idx="394">
                  <c:v>4.1944000000000002E-2</c:v>
                </c:pt>
                <c:pt idx="395">
                  <c:v>4.1873E-2</c:v>
                </c:pt>
                <c:pt idx="396">
                  <c:v>4.1800999999999998E-2</c:v>
                </c:pt>
                <c:pt idx="397">
                  <c:v>4.1730000000000003E-2</c:v>
                </c:pt>
                <c:pt idx="398">
                  <c:v>4.1658000000000001E-2</c:v>
                </c:pt>
                <c:pt idx="399">
                  <c:v>4.1586999999999999E-2</c:v>
                </c:pt>
                <c:pt idx="400">
                  <c:v>4.1515999999999997E-2</c:v>
                </c:pt>
                <c:pt idx="401">
                  <c:v>4.1445000000000003E-2</c:v>
                </c:pt>
                <c:pt idx="402">
                  <c:v>4.1373E-2</c:v>
                </c:pt>
                <c:pt idx="403">
                  <c:v>4.1302999999999999E-2</c:v>
                </c:pt>
                <c:pt idx="404">
                  <c:v>4.1231999999999998E-2</c:v>
                </c:pt>
                <c:pt idx="405">
                  <c:v>4.1161000000000003E-2</c:v>
                </c:pt>
                <c:pt idx="406">
                  <c:v>4.1090000000000002E-2</c:v>
                </c:pt>
                <c:pt idx="407">
                  <c:v>4.1019E-2</c:v>
                </c:pt>
                <c:pt idx="408">
                  <c:v>4.0948999999999999E-2</c:v>
                </c:pt>
                <c:pt idx="409">
                  <c:v>4.0877999999999998E-2</c:v>
                </c:pt>
                <c:pt idx="410">
                  <c:v>4.0807999999999997E-2</c:v>
                </c:pt>
                <c:pt idx="411">
                  <c:v>4.0737000000000002E-2</c:v>
                </c:pt>
                <c:pt idx="412">
                  <c:v>4.0667000000000002E-2</c:v>
                </c:pt>
                <c:pt idx="413">
                  <c:v>4.0597000000000001E-2</c:v>
                </c:pt>
                <c:pt idx="414">
                  <c:v>4.0527000000000001E-2</c:v>
                </c:pt>
                <c:pt idx="415">
                  <c:v>4.0457E-2</c:v>
                </c:pt>
                <c:pt idx="416">
                  <c:v>4.0386999999999999E-2</c:v>
                </c:pt>
                <c:pt idx="417">
                  <c:v>4.0316999999999999E-2</c:v>
                </c:pt>
                <c:pt idx="418">
                  <c:v>4.0246999999999998E-2</c:v>
                </c:pt>
                <c:pt idx="419">
                  <c:v>4.0177999999999998E-2</c:v>
                </c:pt>
                <c:pt idx="420">
                  <c:v>4.0107999999999998E-2</c:v>
                </c:pt>
                <c:pt idx="421">
                  <c:v>4.0037999999999997E-2</c:v>
                </c:pt>
                <c:pt idx="422">
                  <c:v>3.9968999999999998E-2</c:v>
                </c:pt>
                <c:pt idx="423">
                  <c:v>3.9899999999999998E-2</c:v>
                </c:pt>
                <c:pt idx="424">
                  <c:v>3.9829999999999997E-2</c:v>
                </c:pt>
                <c:pt idx="425">
                  <c:v>3.9760999999999998E-2</c:v>
                </c:pt>
                <c:pt idx="426">
                  <c:v>3.9691999999999998E-2</c:v>
                </c:pt>
                <c:pt idx="427">
                  <c:v>3.9622999999999998E-2</c:v>
                </c:pt>
                <c:pt idx="428">
                  <c:v>3.9553999999999999E-2</c:v>
                </c:pt>
                <c:pt idx="429">
                  <c:v>3.9484999999999999E-2</c:v>
                </c:pt>
                <c:pt idx="430">
                  <c:v>3.9416E-2</c:v>
                </c:pt>
                <c:pt idx="431">
                  <c:v>3.9347E-2</c:v>
                </c:pt>
                <c:pt idx="432">
                  <c:v>3.9279000000000001E-2</c:v>
                </c:pt>
                <c:pt idx="433">
                  <c:v>3.9210000000000002E-2</c:v>
                </c:pt>
                <c:pt idx="434">
                  <c:v>3.9141000000000002E-2</c:v>
                </c:pt>
                <c:pt idx="435">
                  <c:v>3.9072999999999997E-2</c:v>
                </c:pt>
                <c:pt idx="436">
                  <c:v>3.9004999999999998E-2</c:v>
                </c:pt>
                <c:pt idx="437">
                  <c:v>3.8935999999999998E-2</c:v>
                </c:pt>
                <c:pt idx="438">
                  <c:v>3.8868E-2</c:v>
                </c:pt>
                <c:pt idx="439">
                  <c:v>3.8800000000000001E-2</c:v>
                </c:pt>
                <c:pt idx="440">
                  <c:v>3.8732000000000003E-2</c:v>
                </c:pt>
                <c:pt idx="441">
                  <c:v>3.8663999999999997E-2</c:v>
                </c:pt>
                <c:pt idx="442">
                  <c:v>3.8595999999999998E-2</c:v>
                </c:pt>
                <c:pt idx="443">
                  <c:v>3.8528E-2</c:v>
                </c:pt>
                <c:pt idx="444">
                  <c:v>3.8461000000000002E-2</c:v>
                </c:pt>
                <c:pt idx="445">
                  <c:v>3.8392999999999997E-2</c:v>
                </c:pt>
                <c:pt idx="446">
                  <c:v>3.8325999999999999E-2</c:v>
                </c:pt>
                <c:pt idx="447">
                  <c:v>3.8258E-2</c:v>
                </c:pt>
                <c:pt idx="448">
                  <c:v>3.8191000000000003E-2</c:v>
                </c:pt>
                <c:pt idx="449">
                  <c:v>3.8122999999999997E-2</c:v>
                </c:pt>
                <c:pt idx="450">
                  <c:v>3.8056E-2</c:v>
                </c:pt>
                <c:pt idx="451">
                  <c:v>3.7989000000000002E-2</c:v>
                </c:pt>
                <c:pt idx="452">
                  <c:v>3.7921999999999997E-2</c:v>
                </c:pt>
                <c:pt idx="453">
                  <c:v>3.7855E-2</c:v>
                </c:pt>
                <c:pt idx="454">
                  <c:v>3.7788000000000002E-2</c:v>
                </c:pt>
                <c:pt idx="455">
                  <c:v>3.7720999999999998E-2</c:v>
                </c:pt>
                <c:pt idx="456">
                  <c:v>3.7654E-2</c:v>
                </c:pt>
                <c:pt idx="457">
                  <c:v>3.7588000000000003E-2</c:v>
                </c:pt>
                <c:pt idx="458">
                  <c:v>3.7520999999999999E-2</c:v>
                </c:pt>
                <c:pt idx="459">
                  <c:v>3.7455000000000002E-2</c:v>
                </c:pt>
                <c:pt idx="460">
                  <c:v>3.7387999999999998E-2</c:v>
                </c:pt>
                <c:pt idx="461">
                  <c:v>3.7322000000000001E-2</c:v>
                </c:pt>
                <c:pt idx="462">
                  <c:v>3.7255999999999997E-2</c:v>
                </c:pt>
                <c:pt idx="463">
                  <c:v>3.7189E-2</c:v>
                </c:pt>
                <c:pt idx="464">
                  <c:v>3.7123000000000003E-2</c:v>
                </c:pt>
                <c:pt idx="465">
                  <c:v>3.7057E-2</c:v>
                </c:pt>
                <c:pt idx="466">
                  <c:v>3.6991000000000003E-2</c:v>
                </c:pt>
                <c:pt idx="467">
                  <c:v>3.6924999999999999E-2</c:v>
                </c:pt>
                <c:pt idx="468">
                  <c:v>3.6859999999999997E-2</c:v>
                </c:pt>
                <c:pt idx="469">
                  <c:v>3.6794E-2</c:v>
                </c:pt>
                <c:pt idx="470">
                  <c:v>3.6727999999999997E-2</c:v>
                </c:pt>
                <c:pt idx="471">
                  <c:v>3.6663000000000001E-2</c:v>
                </c:pt>
                <c:pt idx="472">
                  <c:v>3.6596999999999998E-2</c:v>
                </c:pt>
                <c:pt idx="473">
                  <c:v>3.6532000000000002E-2</c:v>
                </c:pt>
                <c:pt idx="474">
                  <c:v>3.6465999999999998E-2</c:v>
                </c:pt>
                <c:pt idx="475">
                  <c:v>3.6401000000000003E-2</c:v>
                </c:pt>
                <c:pt idx="476">
                  <c:v>3.6336E-2</c:v>
                </c:pt>
                <c:pt idx="477">
                  <c:v>3.6270999999999998E-2</c:v>
                </c:pt>
                <c:pt idx="478">
                  <c:v>3.6206000000000002E-2</c:v>
                </c:pt>
                <c:pt idx="479">
                  <c:v>3.6141E-2</c:v>
                </c:pt>
                <c:pt idx="480">
                  <c:v>3.6075999999999997E-2</c:v>
                </c:pt>
                <c:pt idx="481">
                  <c:v>3.6012000000000002E-2</c:v>
                </c:pt>
                <c:pt idx="482">
                  <c:v>3.5947E-2</c:v>
                </c:pt>
                <c:pt idx="483">
                  <c:v>3.5881999999999997E-2</c:v>
                </c:pt>
                <c:pt idx="484">
                  <c:v>3.5818000000000003E-2</c:v>
                </c:pt>
                <c:pt idx="485">
                  <c:v>3.5753E-2</c:v>
                </c:pt>
                <c:pt idx="486">
                  <c:v>3.5688999999999999E-2</c:v>
                </c:pt>
                <c:pt idx="487">
                  <c:v>3.5624999999999997E-2</c:v>
                </c:pt>
                <c:pt idx="488">
                  <c:v>3.5561000000000002E-2</c:v>
                </c:pt>
                <c:pt idx="489">
                  <c:v>3.5496E-2</c:v>
                </c:pt>
                <c:pt idx="490">
                  <c:v>3.5431999999999998E-2</c:v>
                </c:pt>
                <c:pt idx="491">
                  <c:v>3.5368999999999998E-2</c:v>
                </c:pt>
                <c:pt idx="492">
                  <c:v>3.5305000000000003E-2</c:v>
                </c:pt>
                <c:pt idx="493">
                  <c:v>3.5241000000000001E-2</c:v>
                </c:pt>
                <c:pt idx="494">
                  <c:v>3.5177E-2</c:v>
                </c:pt>
                <c:pt idx="495">
                  <c:v>3.5113999999999999E-2</c:v>
                </c:pt>
                <c:pt idx="496">
                  <c:v>3.5049999999999998E-2</c:v>
                </c:pt>
                <c:pt idx="497">
                  <c:v>3.4986999999999997E-2</c:v>
                </c:pt>
                <c:pt idx="498">
                  <c:v>3.4923000000000003E-2</c:v>
                </c:pt>
                <c:pt idx="499">
                  <c:v>3.4860000000000002E-2</c:v>
                </c:pt>
                <c:pt idx="500">
                  <c:v>3.4797000000000002E-2</c:v>
                </c:pt>
                <c:pt idx="501">
                  <c:v>3.4734000000000001E-2</c:v>
                </c:pt>
                <c:pt idx="502">
                  <c:v>3.4669999999999999E-2</c:v>
                </c:pt>
                <c:pt idx="503">
                  <c:v>3.4606999999999999E-2</c:v>
                </c:pt>
                <c:pt idx="504">
                  <c:v>3.4544999999999999E-2</c:v>
                </c:pt>
                <c:pt idx="505">
                  <c:v>3.4481999999999999E-2</c:v>
                </c:pt>
                <c:pt idx="506">
                  <c:v>3.4418999999999998E-2</c:v>
                </c:pt>
                <c:pt idx="507">
                  <c:v>3.4355999999999998E-2</c:v>
                </c:pt>
                <c:pt idx="508">
                  <c:v>3.4293999999999998E-2</c:v>
                </c:pt>
                <c:pt idx="509">
                  <c:v>3.4230999999999998E-2</c:v>
                </c:pt>
                <c:pt idx="510">
                  <c:v>3.4168999999999998E-2</c:v>
                </c:pt>
                <c:pt idx="511">
                  <c:v>3.4106999999999998E-2</c:v>
                </c:pt>
                <c:pt idx="512">
                  <c:v>3.4043999999999998E-2</c:v>
                </c:pt>
                <c:pt idx="513">
                  <c:v>3.3981999999999998E-2</c:v>
                </c:pt>
                <c:pt idx="514">
                  <c:v>3.3919999999999999E-2</c:v>
                </c:pt>
                <c:pt idx="515">
                  <c:v>3.3857999999999999E-2</c:v>
                </c:pt>
                <c:pt idx="516">
                  <c:v>3.3796E-2</c:v>
                </c:pt>
                <c:pt idx="517">
                  <c:v>3.3734E-2</c:v>
                </c:pt>
                <c:pt idx="518">
                  <c:v>3.3673000000000002E-2</c:v>
                </c:pt>
                <c:pt idx="519">
                  <c:v>3.3611000000000002E-2</c:v>
                </c:pt>
                <c:pt idx="520">
                  <c:v>3.3549000000000002E-2</c:v>
                </c:pt>
                <c:pt idx="521">
                  <c:v>3.3487999999999997E-2</c:v>
                </c:pt>
                <c:pt idx="522">
                  <c:v>3.3425999999999997E-2</c:v>
                </c:pt>
                <c:pt idx="523">
                  <c:v>3.3364999999999999E-2</c:v>
                </c:pt>
                <c:pt idx="524">
                  <c:v>3.3304E-2</c:v>
                </c:pt>
                <c:pt idx="525">
                  <c:v>3.3242000000000001E-2</c:v>
                </c:pt>
                <c:pt idx="526">
                  <c:v>3.3181000000000002E-2</c:v>
                </c:pt>
                <c:pt idx="527">
                  <c:v>3.3119999999999997E-2</c:v>
                </c:pt>
                <c:pt idx="528">
                  <c:v>3.3058999999999998E-2</c:v>
                </c:pt>
                <c:pt idx="529">
                  <c:v>3.2998E-2</c:v>
                </c:pt>
                <c:pt idx="530">
                  <c:v>3.2938000000000002E-2</c:v>
                </c:pt>
                <c:pt idx="531">
                  <c:v>3.2877000000000003E-2</c:v>
                </c:pt>
                <c:pt idx="532">
                  <c:v>3.2815999999999998E-2</c:v>
                </c:pt>
                <c:pt idx="533">
                  <c:v>3.2756E-2</c:v>
                </c:pt>
                <c:pt idx="534">
                  <c:v>3.2695000000000002E-2</c:v>
                </c:pt>
                <c:pt idx="535">
                  <c:v>3.2634999999999997E-2</c:v>
                </c:pt>
                <c:pt idx="536">
                  <c:v>3.2575E-2</c:v>
                </c:pt>
                <c:pt idx="537">
                  <c:v>3.2514000000000001E-2</c:v>
                </c:pt>
                <c:pt idx="538">
                  <c:v>3.2453999999999997E-2</c:v>
                </c:pt>
                <c:pt idx="539">
                  <c:v>3.2393999999999999E-2</c:v>
                </c:pt>
                <c:pt idx="540">
                  <c:v>3.2334000000000002E-2</c:v>
                </c:pt>
                <c:pt idx="541">
                  <c:v>3.2273999999999997E-2</c:v>
                </c:pt>
                <c:pt idx="542">
                  <c:v>3.2214E-2</c:v>
                </c:pt>
                <c:pt idx="543">
                  <c:v>3.2155000000000003E-2</c:v>
                </c:pt>
                <c:pt idx="544">
                  <c:v>3.2094999999999999E-2</c:v>
                </c:pt>
                <c:pt idx="545">
                  <c:v>3.2035000000000001E-2</c:v>
                </c:pt>
                <c:pt idx="546">
                  <c:v>3.1975999999999997E-2</c:v>
                </c:pt>
                <c:pt idx="547">
                  <c:v>3.1916E-2</c:v>
                </c:pt>
                <c:pt idx="548">
                  <c:v>3.1857000000000003E-2</c:v>
                </c:pt>
                <c:pt idx="549">
                  <c:v>3.1798E-2</c:v>
                </c:pt>
                <c:pt idx="550">
                  <c:v>3.1739000000000003E-2</c:v>
                </c:pt>
                <c:pt idx="551">
                  <c:v>3.1678999999999999E-2</c:v>
                </c:pt>
                <c:pt idx="552">
                  <c:v>3.1620000000000002E-2</c:v>
                </c:pt>
                <c:pt idx="553">
                  <c:v>3.1562E-2</c:v>
                </c:pt>
                <c:pt idx="554">
                  <c:v>3.1503000000000003E-2</c:v>
                </c:pt>
                <c:pt idx="555">
                  <c:v>3.1444E-2</c:v>
                </c:pt>
                <c:pt idx="556">
                  <c:v>3.1385000000000003E-2</c:v>
                </c:pt>
                <c:pt idx="557">
                  <c:v>3.1327000000000001E-2</c:v>
                </c:pt>
                <c:pt idx="558">
                  <c:v>3.1267999999999997E-2</c:v>
                </c:pt>
                <c:pt idx="559">
                  <c:v>3.1210000000000002E-2</c:v>
                </c:pt>
                <c:pt idx="560">
                  <c:v>3.1151000000000002E-2</c:v>
                </c:pt>
                <c:pt idx="561">
                  <c:v>3.1092999999999999E-2</c:v>
                </c:pt>
                <c:pt idx="562">
                  <c:v>3.1035E-2</c:v>
                </c:pt>
                <c:pt idx="563">
                  <c:v>3.0977000000000001E-2</c:v>
                </c:pt>
                <c:pt idx="564">
                  <c:v>3.0918000000000001E-2</c:v>
                </c:pt>
                <c:pt idx="565">
                  <c:v>3.0859999999999999E-2</c:v>
                </c:pt>
                <c:pt idx="566">
                  <c:v>3.0803000000000001E-2</c:v>
                </c:pt>
                <c:pt idx="567">
                  <c:v>3.0745000000000001E-2</c:v>
                </c:pt>
                <c:pt idx="568">
                  <c:v>3.0686999999999999E-2</c:v>
                </c:pt>
                <c:pt idx="569">
                  <c:v>3.0629E-2</c:v>
                </c:pt>
                <c:pt idx="570">
                  <c:v>3.0571999999999998E-2</c:v>
                </c:pt>
                <c:pt idx="571">
                  <c:v>3.0513999999999999E-2</c:v>
                </c:pt>
                <c:pt idx="572">
                  <c:v>3.0457000000000001E-2</c:v>
                </c:pt>
                <c:pt idx="573">
                  <c:v>3.04E-2</c:v>
                </c:pt>
                <c:pt idx="574">
                  <c:v>3.0342000000000001E-2</c:v>
                </c:pt>
                <c:pt idx="575">
                  <c:v>3.0284999999999999E-2</c:v>
                </c:pt>
                <c:pt idx="576">
                  <c:v>3.0228000000000001E-2</c:v>
                </c:pt>
                <c:pt idx="577">
                  <c:v>3.0171E-2</c:v>
                </c:pt>
                <c:pt idx="578">
                  <c:v>3.0113999999999998E-2</c:v>
                </c:pt>
                <c:pt idx="579">
                  <c:v>3.0057E-2</c:v>
                </c:pt>
                <c:pt idx="580">
                  <c:v>0.03</c:v>
                </c:pt>
                <c:pt idx="581">
                  <c:v>2.9943999999999998E-2</c:v>
                </c:pt>
                <c:pt idx="582">
                  <c:v>2.9887E-2</c:v>
                </c:pt>
                <c:pt idx="583">
                  <c:v>2.9831E-2</c:v>
                </c:pt>
                <c:pt idx="584">
                  <c:v>2.9773999999999998E-2</c:v>
                </c:pt>
                <c:pt idx="585">
                  <c:v>2.9718000000000001E-2</c:v>
                </c:pt>
                <c:pt idx="586">
                  <c:v>2.9662000000000001E-2</c:v>
                </c:pt>
                <c:pt idx="587">
                  <c:v>2.9604999999999999E-2</c:v>
                </c:pt>
                <c:pt idx="588">
                  <c:v>2.9548999999999999E-2</c:v>
                </c:pt>
                <c:pt idx="589">
                  <c:v>2.9492999999999998E-2</c:v>
                </c:pt>
                <c:pt idx="590">
                  <c:v>2.9437000000000001E-2</c:v>
                </c:pt>
                <c:pt idx="591">
                  <c:v>2.9381000000000001E-2</c:v>
                </c:pt>
                <c:pt idx="592">
                  <c:v>2.9325E-2</c:v>
                </c:pt>
                <c:pt idx="593">
                  <c:v>2.9270000000000001E-2</c:v>
                </c:pt>
                <c:pt idx="594">
                  <c:v>2.9214E-2</c:v>
                </c:pt>
                <c:pt idx="595">
                  <c:v>2.9159000000000001E-2</c:v>
                </c:pt>
                <c:pt idx="596">
                  <c:v>2.9103E-2</c:v>
                </c:pt>
                <c:pt idx="597">
                  <c:v>2.9048000000000001E-2</c:v>
                </c:pt>
                <c:pt idx="598">
                  <c:v>2.8992E-2</c:v>
                </c:pt>
                <c:pt idx="599">
                  <c:v>2.8937000000000001E-2</c:v>
                </c:pt>
                <c:pt idx="600">
                  <c:v>2.8882000000000001E-2</c:v>
                </c:pt>
                <c:pt idx="601">
                  <c:v>2.8826999999999998E-2</c:v>
                </c:pt>
                <c:pt idx="602">
                  <c:v>2.8771999999999999E-2</c:v>
                </c:pt>
                <c:pt idx="603">
                  <c:v>2.8716999999999999E-2</c:v>
                </c:pt>
                <c:pt idx="604">
                  <c:v>2.8662E-2</c:v>
                </c:pt>
                <c:pt idx="605">
                  <c:v>2.8607E-2</c:v>
                </c:pt>
                <c:pt idx="606">
                  <c:v>2.8552999999999999E-2</c:v>
                </c:pt>
                <c:pt idx="607">
                  <c:v>2.8497999999999999E-2</c:v>
                </c:pt>
                <c:pt idx="608">
                  <c:v>2.8443E-2</c:v>
                </c:pt>
                <c:pt idx="609">
                  <c:v>2.8389000000000001E-2</c:v>
                </c:pt>
                <c:pt idx="610">
                  <c:v>2.8334999999999999E-2</c:v>
                </c:pt>
                <c:pt idx="611">
                  <c:v>2.828E-2</c:v>
                </c:pt>
                <c:pt idx="612">
                  <c:v>2.8226000000000001E-2</c:v>
                </c:pt>
                <c:pt idx="613">
                  <c:v>2.8171999999999999E-2</c:v>
                </c:pt>
                <c:pt idx="614">
                  <c:v>2.8118000000000001E-2</c:v>
                </c:pt>
                <c:pt idx="615">
                  <c:v>2.8063999999999999E-2</c:v>
                </c:pt>
                <c:pt idx="616">
                  <c:v>2.801E-2</c:v>
                </c:pt>
                <c:pt idx="617">
                  <c:v>2.7956000000000002E-2</c:v>
                </c:pt>
                <c:pt idx="618">
                  <c:v>2.7903000000000001E-2</c:v>
                </c:pt>
                <c:pt idx="619">
                  <c:v>2.7848999999999999E-2</c:v>
                </c:pt>
                <c:pt idx="620">
                  <c:v>2.7795E-2</c:v>
                </c:pt>
                <c:pt idx="621">
                  <c:v>2.7741999999999999E-2</c:v>
                </c:pt>
                <c:pt idx="622">
                  <c:v>2.7688000000000001E-2</c:v>
                </c:pt>
                <c:pt idx="623">
                  <c:v>2.7635E-2</c:v>
                </c:pt>
                <c:pt idx="624">
                  <c:v>2.7581999999999999E-2</c:v>
                </c:pt>
                <c:pt idx="625">
                  <c:v>2.7529000000000001E-2</c:v>
                </c:pt>
                <c:pt idx="626">
                  <c:v>2.7476E-2</c:v>
                </c:pt>
                <c:pt idx="627">
                  <c:v>2.7422999999999999E-2</c:v>
                </c:pt>
                <c:pt idx="628">
                  <c:v>2.7369999999999998E-2</c:v>
                </c:pt>
                <c:pt idx="629">
                  <c:v>2.7317000000000001E-2</c:v>
                </c:pt>
                <c:pt idx="630">
                  <c:v>2.7264E-2</c:v>
                </c:pt>
                <c:pt idx="631">
                  <c:v>2.7210999999999999E-2</c:v>
                </c:pt>
                <c:pt idx="632">
                  <c:v>2.7158999999999999E-2</c:v>
                </c:pt>
                <c:pt idx="633">
                  <c:v>2.7106000000000002E-2</c:v>
                </c:pt>
                <c:pt idx="634">
                  <c:v>2.7054000000000002E-2</c:v>
                </c:pt>
                <c:pt idx="635">
                  <c:v>2.7001000000000001E-2</c:v>
                </c:pt>
                <c:pt idx="636">
                  <c:v>2.6949000000000001E-2</c:v>
                </c:pt>
                <c:pt idx="637">
                  <c:v>2.6897000000000001E-2</c:v>
                </c:pt>
                <c:pt idx="638">
                  <c:v>2.6845000000000001E-2</c:v>
                </c:pt>
                <c:pt idx="639">
                  <c:v>2.6793000000000001E-2</c:v>
                </c:pt>
                <c:pt idx="640">
                  <c:v>2.6741000000000001E-2</c:v>
                </c:pt>
                <c:pt idx="641">
                  <c:v>2.6689000000000001E-2</c:v>
                </c:pt>
                <c:pt idx="642">
                  <c:v>2.6637000000000001E-2</c:v>
                </c:pt>
                <c:pt idx="643">
                  <c:v>2.6585000000000001E-2</c:v>
                </c:pt>
                <c:pt idx="644">
                  <c:v>2.6533999999999999E-2</c:v>
                </c:pt>
                <c:pt idx="645">
                  <c:v>2.6481999999999999E-2</c:v>
                </c:pt>
                <c:pt idx="646">
                  <c:v>2.6431E-2</c:v>
                </c:pt>
                <c:pt idx="647">
                  <c:v>2.6379E-2</c:v>
                </c:pt>
                <c:pt idx="648">
                  <c:v>2.6328000000000001E-2</c:v>
                </c:pt>
                <c:pt idx="649">
                  <c:v>2.6276999999999998E-2</c:v>
                </c:pt>
                <c:pt idx="650">
                  <c:v>2.6224999999999998E-2</c:v>
                </c:pt>
                <c:pt idx="651">
                  <c:v>2.6173999999999999E-2</c:v>
                </c:pt>
                <c:pt idx="652">
                  <c:v>2.6123E-2</c:v>
                </c:pt>
                <c:pt idx="653">
                  <c:v>2.6072000000000001E-2</c:v>
                </c:pt>
                <c:pt idx="654">
                  <c:v>2.6020999999999999E-2</c:v>
                </c:pt>
                <c:pt idx="655">
                  <c:v>2.5971000000000001E-2</c:v>
                </c:pt>
                <c:pt idx="656">
                  <c:v>2.5919999999999999E-2</c:v>
                </c:pt>
                <c:pt idx="657">
                  <c:v>2.5869E-2</c:v>
                </c:pt>
                <c:pt idx="658">
                  <c:v>2.5819000000000002E-2</c:v>
                </c:pt>
                <c:pt idx="659">
                  <c:v>2.5767999999999999E-2</c:v>
                </c:pt>
                <c:pt idx="660">
                  <c:v>2.5718000000000001E-2</c:v>
                </c:pt>
                <c:pt idx="661">
                  <c:v>2.5668E-2</c:v>
                </c:pt>
                <c:pt idx="662">
                  <c:v>2.5617000000000001E-2</c:v>
                </c:pt>
                <c:pt idx="663">
                  <c:v>2.5566999999999999E-2</c:v>
                </c:pt>
                <c:pt idx="664">
                  <c:v>2.5517000000000001E-2</c:v>
                </c:pt>
                <c:pt idx="665">
                  <c:v>2.5467E-2</c:v>
                </c:pt>
                <c:pt idx="666">
                  <c:v>2.5416999999999999E-2</c:v>
                </c:pt>
                <c:pt idx="667">
                  <c:v>2.5367000000000001E-2</c:v>
                </c:pt>
                <c:pt idx="668">
                  <c:v>2.5318E-2</c:v>
                </c:pt>
                <c:pt idx="669">
                  <c:v>2.5267999999999999E-2</c:v>
                </c:pt>
                <c:pt idx="670">
                  <c:v>2.5218000000000001E-2</c:v>
                </c:pt>
                <c:pt idx="671">
                  <c:v>2.5169E-2</c:v>
                </c:pt>
                <c:pt idx="672">
                  <c:v>2.5118999999999999E-2</c:v>
                </c:pt>
                <c:pt idx="673">
                  <c:v>2.5069999999999999E-2</c:v>
                </c:pt>
                <c:pt idx="674">
                  <c:v>2.5021000000000002E-2</c:v>
                </c:pt>
                <c:pt idx="675">
                  <c:v>2.4972000000000001E-2</c:v>
                </c:pt>
                <c:pt idx="676">
                  <c:v>2.4922E-2</c:v>
                </c:pt>
                <c:pt idx="677">
                  <c:v>2.4872999999999999E-2</c:v>
                </c:pt>
                <c:pt idx="678">
                  <c:v>2.4823999999999999E-2</c:v>
                </c:pt>
                <c:pt idx="679">
                  <c:v>2.4774999999999998E-2</c:v>
                </c:pt>
                <c:pt idx="680">
                  <c:v>2.4726999999999999E-2</c:v>
                </c:pt>
                <c:pt idx="681">
                  <c:v>2.4677999999999999E-2</c:v>
                </c:pt>
                <c:pt idx="682">
                  <c:v>2.4629000000000002E-2</c:v>
                </c:pt>
                <c:pt idx="683">
                  <c:v>2.4580999999999999E-2</c:v>
                </c:pt>
                <c:pt idx="684">
                  <c:v>2.4532000000000002E-2</c:v>
                </c:pt>
                <c:pt idx="685">
                  <c:v>2.4483999999999999E-2</c:v>
                </c:pt>
                <c:pt idx="686">
                  <c:v>2.4434999999999998E-2</c:v>
                </c:pt>
                <c:pt idx="687">
                  <c:v>2.4386999999999999E-2</c:v>
                </c:pt>
                <c:pt idx="688">
                  <c:v>2.4339E-2</c:v>
                </c:pt>
                <c:pt idx="689">
                  <c:v>2.4291E-2</c:v>
                </c:pt>
                <c:pt idx="690">
                  <c:v>2.4243000000000001E-2</c:v>
                </c:pt>
                <c:pt idx="691">
                  <c:v>2.4195000000000001E-2</c:v>
                </c:pt>
                <c:pt idx="692">
                  <c:v>2.4146999999999998E-2</c:v>
                </c:pt>
                <c:pt idx="693">
                  <c:v>2.4098999999999999E-2</c:v>
                </c:pt>
                <c:pt idx="694">
                  <c:v>2.4050999999999999E-2</c:v>
                </c:pt>
                <c:pt idx="695">
                  <c:v>2.4004000000000001E-2</c:v>
                </c:pt>
                <c:pt idx="696">
                  <c:v>2.3956000000000002E-2</c:v>
                </c:pt>
                <c:pt idx="697">
                  <c:v>2.3909E-2</c:v>
                </c:pt>
                <c:pt idx="698">
                  <c:v>2.3861E-2</c:v>
                </c:pt>
                <c:pt idx="699">
                  <c:v>2.3813999999999998E-2</c:v>
                </c:pt>
                <c:pt idx="700">
                  <c:v>2.3767E-2</c:v>
                </c:pt>
                <c:pt idx="701">
                  <c:v>2.3720000000000001E-2</c:v>
                </c:pt>
                <c:pt idx="702">
                  <c:v>2.3671999999999999E-2</c:v>
                </c:pt>
                <c:pt idx="703">
                  <c:v>2.3625E-2</c:v>
                </c:pt>
                <c:pt idx="704">
                  <c:v>2.3578000000000002E-2</c:v>
                </c:pt>
                <c:pt idx="705">
                  <c:v>2.3532000000000001E-2</c:v>
                </c:pt>
                <c:pt idx="706">
                  <c:v>2.3484999999999999E-2</c:v>
                </c:pt>
                <c:pt idx="707">
                  <c:v>2.3438000000000001E-2</c:v>
                </c:pt>
                <c:pt idx="708">
                  <c:v>2.3390999999999999E-2</c:v>
                </c:pt>
                <c:pt idx="709">
                  <c:v>2.3345000000000001E-2</c:v>
                </c:pt>
                <c:pt idx="710">
                  <c:v>2.3297999999999999E-2</c:v>
                </c:pt>
                <c:pt idx="711">
                  <c:v>2.3251999999999998E-2</c:v>
                </c:pt>
                <c:pt idx="712">
                  <c:v>2.3206000000000001E-2</c:v>
                </c:pt>
                <c:pt idx="713">
                  <c:v>2.3158999999999999E-2</c:v>
                </c:pt>
                <c:pt idx="714">
                  <c:v>2.3113000000000002E-2</c:v>
                </c:pt>
                <c:pt idx="715">
                  <c:v>2.3067000000000001E-2</c:v>
                </c:pt>
                <c:pt idx="716">
                  <c:v>2.3021E-2</c:v>
                </c:pt>
                <c:pt idx="717">
                  <c:v>2.2974999999999999E-2</c:v>
                </c:pt>
                <c:pt idx="718">
                  <c:v>2.2929000000000001E-2</c:v>
                </c:pt>
                <c:pt idx="719">
                  <c:v>2.2884000000000002E-2</c:v>
                </c:pt>
                <c:pt idx="720">
                  <c:v>2.2838000000000001E-2</c:v>
                </c:pt>
                <c:pt idx="721">
                  <c:v>2.2792E-2</c:v>
                </c:pt>
                <c:pt idx="722">
                  <c:v>2.2747E-2</c:v>
                </c:pt>
                <c:pt idx="723">
                  <c:v>2.2700999999999999E-2</c:v>
                </c:pt>
                <c:pt idx="724">
                  <c:v>2.2655999999999999E-2</c:v>
                </c:pt>
                <c:pt idx="725">
                  <c:v>2.2610000000000002E-2</c:v>
                </c:pt>
                <c:pt idx="726">
                  <c:v>2.2565000000000002E-2</c:v>
                </c:pt>
                <c:pt idx="727">
                  <c:v>2.2519999999999998E-2</c:v>
                </c:pt>
                <c:pt idx="728">
                  <c:v>2.2474999999999998E-2</c:v>
                </c:pt>
                <c:pt idx="729">
                  <c:v>2.2429999999999999E-2</c:v>
                </c:pt>
                <c:pt idx="730">
                  <c:v>2.2384999999999999E-2</c:v>
                </c:pt>
                <c:pt idx="731">
                  <c:v>2.2339999999999999E-2</c:v>
                </c:pt>
                <c:pt idx="732">
                  <c:v>2.2294999999999999E-2</c:v>
                </c:pt>
                <c:pt idx="733">
                  <c:v>2.2251E-2</c:v>
                </c:pt>
                <c:pt idx="734">
                  <c:v>2.2206E-2</c:v>
                </c:pt>
                <c:pt idx="735">
                  <c:v>2.2161E-2</c:v>
                </c:pt>
                <c:pt idx="736">
                  <c:v>2.2117000000000001E-2</c:v>
                </c:pt>
                <c:pt idx="737">
                  <c:v>2.2072000000000001E-2</c:v>
                </c:pt>
                <c:pt idx="738">
                  <c:v>2.2027999999999999E-2</c:v>
                </c:pt>
                <c:pt idx="739">
                  <c:v>2.1984E-2</c:v>
                </c:pt>
                <c:pt idx="740">
                  <c:v>2.1940000000000001E-2</c:v>
                </c:pt>
                <c:pt idx="741">
                  <c:v>2.1895999999999999E-2</c:v>
                </c:pt>
                <c:pt idx="742">
                  <c:v>2.1852E-2</c:v>
                </c:pt>
                <c:pt idx="743">
                  <c:v>2.1808000000000001E-2</c:v>
                </c:pt>
                <c:pt idx="744">
                  <c:v>2.1763999999999999E-2</c:v>
                </c:pt>
                <c:pt idx="745">
                  <c:v>2.172E-2</c:v>
                </c:pt>
                <c:pt idx="746">
                  <c:v>2.1676000000000001E-2</c:v>
                </c:pt>
                <c:pt idx="747">
                  <c:v>2.1632999999999999E-2</c:v>
                </c:pt>
                <c:pt idx="748">
                  <c:v>2.1589000000000001E-2</c:v>
                </c:pt>
                <c:pt idx="749">
                  <c:v>2.1545999999999999E-2</c:v>
                </c:pt>
                <c:pt idx="750">
                  <c:v>2.1502E-2</c:v>
                </c:pt>
                <c:pt idx="751">
                  <c:v>2.1458999999999999E-2</c:v>
                </c:pt>
                <c:pt idx="752">
                  <c:v>2.1415E-2</c:v>
                </c:pt>
                <c:pt idx="753">
                  <c:v>2.1371999999999999E-2</c:v>
                </c:pt>
                <c:pt idx="754">
                  <c:v>2.1329000000000001E-2</c:v>
                </c:pt>
                <c:pt idx="755">
                  <c:v>2.1285999999999999E-2</c:v>
                </c:pt>
                <c:pt idx="756">
                  <c:v>2.1243000000000001E-2</c:v>
                </c:pt>
                <c:pt idx="757">
                  <c:v>2.12E-2</c:v>
                </c:pt>
                <c:pt idx="758">
                  <c:v>2.1156999999999999E-2</c:v>
                </c:pt>
                <c:pt idx="759">
                  <c:v>2.1114999999999998E-2</c:v>
                </c:pt>
                <c:pt idx="760">
                  <c:v>2.1072E-2</c:v>
                </c:pt>
                <c:pt idx="761">
                  <c:v>2.1028999999999999E-2</c:v>
                </c:pt>
                <c:pt idx="762">
                  <c:v>2.0986999999999999E-2</c:v>
                </c:pt>
                <c:pt idx="763">
                  <c:v>2.0944000000000001E-2</c:v>
                </c:pt>
                <c:pt idx="764">
                  <c:v>2.0902E-2</c:v>
                </c:pt>
                <c:pt idx="765">
                  <c:v>2.086E-2</c:v>
                </c:pt>
                <c:pt idx="766">
                  <c:v>2.0818E-2</c:v>
                </c:pt>
                <c:pt idx="767">
                  <c:v>2.0774999999999998E-2</c:v>
                </c:pt>
                <c:pt idx="768">
                  <c:v>2.0733000000000001E-2</c:v>
                </c:pt>
                <c:pt idx="769">
                  <c:v>2.0691000000000001E-2</c:v>
                </c:pt>
                <c:pt idx="770">
                  <c:v>2.0650000000000002E-2</c:v>
                </c:pt>
                <c:pt idx="771">
                  <c:v>2.0608000000000001E-2</c:v>
                </c:pt>
                <c:pt idx="772">
                  <c:v>2.0566000000000001E-2</c:v>
                </c:pt>
                <c:pt idx="773">
                  <c:v>2.0524000000000001E-2</c:v>
                </c:pt>
                <c:pt idx="774">
                  <c:v>2.0483000000000001E-2</c:v>
                </c:pt>
                <c:pt idx="775">
                  <c:v>2.0441000000000001E-2</c:v>
                </c:pt>
                <c:pt idx="776">
                  <c:v>2.0400000000000001E-2</c:v>
                </c:pt>
                <c:pt idx="777">
                  <c:v>2.0358000000000001E-2</c:v>
                </c:pt>
                <c:pt idx="778">
                  <c:v>2.0317000000000002E-2</c:v>
                </c:pt>
                <c:pt idx="779">
                  <c:v>2.0275999999999999E-2</c:v>
                </c:pt>
                <c:pt idx="780">
                  <c:v>2.0233999999999999E-2</c:v>
                </c:pt>
                <c:pt idx="781">
                  <c:v>2.0192999999999999E-2</c:v>
                </c:pt>
                <c:pt idx="782">
                  <c:v>2.0152E-2</c:v>
                </c:pt>
                <c:pt idx="783">
                  <c:v>2.0111E-2</c:v>
                </c:pt>
                <c:pt idx="784">
                  <c:v>2.0070000000000001E-2</c:v>
                </c:pt>
                <c:pt idx="785">
                  <c:v>2.0029999999999999E-2</c:v>
                </c:pt>
                <c:pt idx="786">
                  <c:v>1.9989E-2</c:v>
                </c:pt>
                <c:pt idx="787">
                  <c:v>1.9948E-2</c:v>
                </c:pt>
                <c:pt idx="788">
                  <c:v>1.9907999999999999E-2</c:v>
                </c:pt>
                <c:pt idx="789">
                  <c:v>1.9866999999999999E-2</c:v>
                </c:pt>
                <c:pt idx="790">
                  <c:v>1.9827000000000001E-2</c:v>
                </c:pt>
                <c:pt idx="791">
                  <c:v>1.9786000000000002E-2</c:v>
                </c:pt>
                <c:pt idx="792">
                  <c:v>1.9746E-2</c:v>
                </c:pt>
                <c:pt idx="793">
                  <c:v>1.9706000000000001E-2</c:v>
                </c:pt>
                <c:pt idx="794">
                  <c:v>1.9665999999999999E-2</c:v>
                </c:pt>
                <c:pt idx="795">
                  <c:v>1.9626000000000001E-2</c:v>
                </c:pt>
                <c:pt idx="796">
                  <c:v>1.9585999999999999E-2</c:v>
                </c:pt>
                <c:pt idx="797">
                  <c:v>1.9546000000000001E-2</c:v>
                </c:pt>
                <c:pt idx="798">
                  <c:v>1.9505999999999999E-2</c:v>
                </c:pt>
                <c:pt idx="799">
                  <c:v>1.9466000000000001E-2</c:v>
                </c:pt>
                <c:pt idx="800">
                  <c:v>1.9425999999999999E-2</c:v>
                </c:pt>
                <c:pt idx="801">
                  <c:v>1.9387000000000001E-2</c:v>
                </c:pt>
                <c:pt idx="802">
                  <c:v>1.9347E-2</c:v>
                </c:pt>
                <c:pt idx="803">
                  <c:v>1.9307999999999999E-2</c:v>
                </c:pt>
                <c:pt idx="804">
                  <c:v>1.9268E-2</c:v>
                </c:pt>
                <c:pt idx="805">
                  <c:v>1.9229E-2</c:v>
                </c:pt>
                <c:pt idx="806">
                  <c:v>1.9189999999999999E-2</c:v>
                </c:pt>
                <c:pt idx="807">
                  <c:v>1.9151000000000001E-2</c:v>
                </c:pt>
                <c:pt idx="808">
                  <c:v>1.9112000000000001E-2</c:v>
                </c:pt>
                <c:pt idx="809">
                  <c:v>1.9071999999999999E-2</c:v>
                </c:pt>
                <c:pt idx="810">
                  <c:v>1.9033999999999999E-2</c:v>
                </c:pt>
                <c:pt idx="811">
                  <c:v>1.8995000000000001E-2</c:v>
                </c:pt>
                <c:pt idx="812">
                  <c:v>1.8956000000000001E-2</c:v>
                </c:pt>
                <c:pt idx="813">
                  <c:v>1.8917E-2</c:v>
                </c:pt>
                <c:pt idx="814">
                  <c:v>1.8877999999999999E-2</c:v>
                </c:pt>
                <c:pt idx="815">
                  <c:v>1.8839999999999999E-2</c:v>
                </c:pt>
                <c:pt idx="816">
                  <c:v>1.8800999999999998E-2</c:v>
                </c:pt>
                <c:pt idx="817">
                  <c:v>1.8762999999999998E-2</c:v>
                </c:pt>
                <c:pt idx="818">
                  <c:v>1.8724000000000001E-2</c:v>
                </c:pt>
                <c:pt idx="819">
                  <c:v>1.8686000000000001E-2</c:v>
                </c:pt>
                <c:pt idx="820">
                  <c:v>1.8648000000000001E-2</c:v>
                </c:pt>
                <c:pt idx="821">
                  <c:v>1.8610000000000002E-2</c:v>
                </c:pt>
                <c:pt idx="822">
                  <c:v>1.8572000000000002E-2</c:v>
                </c:pt>
                <c:pt idx="823">
                  <c:v>1.8533000000000001E-2</c:v>
                </c:pt>
                <c:pt idx="824">
                  <c:v>1.8495999999999999E-2</c:v>
                </c:pt>
                <c:pt idx="825">
                  <c:v>1.8457999999999999E-2</c:v>
                </c:pt>
                <c:pt idx="826">
                  <c:v>1.8419999999999999E-2</c:v>
                </c:pt>
                <c:pt idx="827">
                  <c:v>1.8381999999999999E-2</c:v>
                </c:pt>
                <c:pt idx="828">
                  <c:v>1.8343999999999999E-2</c:v>
                </c:pt>
                <c:pt idx="829">
                  <c:v>1.8307E-2</c:v>
                </c:pt>
                <c:pt idx="830">
                  <c:v>1.8269000000000001E-2</c:v>
                </c:pt>
                <c:pt idx="831">
                  <c:v>1.8232000000000002E-2</c:v>
                </c:pt>
                <c:pt idx="832">
                  <c:v>1.8193999999999998E-2</c:v>
                </c:pt>
                <c:pt idx="833">
                  <c:v>1.8157E-2</c:v>
                </c:pt>
                <c:pt idx="834">
                  <c:v>1.8120000000000001E-2</c:v>
                </c:pt>
                <c:pt idx="835">
                  <c:v>1.8082999999999998E-2</c:v>
                </c:pt>
                <c:pt idx="836">
                  <c:v>1.8046E-2</c:v>
                </c:pt>
                <c:pt idx="837">
                  <c:v>1.8009000000000001E-2</c:v>
                </c:pt>
                <c:pt idx="838">
                  <c:v>1.7971999999999998E-2</c:v>
                </c:pt>
                <c:pt idx="839">
                  <c:v>1.7935E-2</c:v>
                </c:pt>
                <c:pt idx="840">
                  <c:v>1.7898000000000001E-2</c:v>
                </c:pt>
                <c:pt idx="841">
                  <c:v>1.7860999999999998E-2</c:v>
                </c:pt>
                <c:pt idx="842">
                  <c:v>1.7824E-2</c:v>
                </c:pt>
                <c:pt idx="843">
                  <c:v>1.7788000000000002E-2</c:v>
                </c:pt>
                <c:pt idx="844">
                  <c:v>1.7750999999999999E-2</c:v>
                </c:pt>
                <c:pt idx="845">
                  <c:v>1.7715000000000002E-2</c:v>
                </c:pt>
                <c:pt idx="846">
                  <c:v>1.7677999999999999E-2</c:v>
                </c:pt>
                <c:pt idx="847">
                  <c:v>1.7642000000000001E-2</c:v>
                </c:pt>
                <c:pt idx="848">
                  <c:v>1.7606E-2</c:v>
                </c:pt>
                <c:pt idx="849">
                  <c:v>1.7569999999999999E-2</c:v>
                </c:pt>
                <c:pt idx="850">
                  <c:v>1.7534000000000001E-2</c:v>
                </c:pt>
                <c:pt idx="851">
                  <c:v>1.7498E-2</c:v>
                </c:pt>
                <c:pt idx="852">
                  <c:v>1.7461999999999998E-2</c:v>
                </c:pt>
                <c:pt idx="853">
                  <c:v>1.7426000000000001E-2</c:v>
                </c:pt>
                <c:pt idx="854">
                  <c:v>1.7389999999999999E-2</c:v>
                </c:pt>
                <c:pt idx="855">
                  <c:v>1.7354000000000001E-2</c:v>
                </c:pt>
                <c:pt idx="856">
                  <c:v>1.7318E-2</c:v>
                </c:pt>
                <c:pt idx="857">
                  <c:v>1.7283E-2</c:v>
                </c:pt>
                <c:pt idx="858">
                  <c:v>1.7246999999999998E-2</c:v>
                </c:pt>
                <c:pt idx="859">
                  <c:v>1.7212000000000002E-2</c:v>
                </c:pt>
                <c:pt idx="860">
                  <c:v>1.7176E-2</c:v>
                </c:pt>
                <c:pt idx="861">
                  <c:v>1.7141E-2</c:v>
                </c:pt>
                <c:pt idx="862">
                  <c:v>1.7106E-2</c:v>
                </c:pt>
                <c:pt idx="863">
                  <c:v>1.7069999999999998E-2</c:v>
                </c:pt>
                <c:pt idx="864">
                  <c:v>1.7035000000000002E-2</c:v>
                </c:pt>
                <c:pt idx="865">
                  <c:v>1.7000000000000001E-2</c:v>
                </c:pt>
                <c:pt idx="866">
                  <c:v>1.6965000000000001E-2</c:v>
                </c:pt>
                <c:pt idx="867">
                  <c:v>1.6930000000000001E-2</c:v>
                </c:pt>
                <c:pt idx="868">
                  <c:v>1.6895E-2</c:v>
                </c:pt>
                <c:pt idx="869">
                  <c:v>1.6861000000000001E-2</c:v>
                </c:pt>
                <c:pt idx="870">
                  <c:v>1.6826000000000001E-2</c:v>
                </c:pt>
                <c:pt idx="871">
                  <c:v>1.6791E-2</c:v>
                </c:pt>
                <c:pt idx="872">
                  <c:v>1.6757000000000001E-2</c:v>
                </c:pt>
                <c:pt idx="873">
                  <c:v>1.6722000000000001E-2</c:v>
                </c:pt>
                <c:pt idx="874">
                  <c:v>1.6688000000000001E-2</c:v>
                </c:pt>
                <c:pt idx="875">
                  <c:v>1.6653000000000001E-2</c:v>
                </c:pt>
                <c:pt idx="876">
                  <c:v>1.6618999999999998E-2</c:v>
                </c:pt>
                <c:pt idx="877">
                  <c:v>1.6584999999999999E-2</c:v>
                </c:pt>
                <c:pt idx="878">
                  <c:v>1.6551E-2</c:v>
                </c:pt>
                <c:pt idx="879">
                  <c:v>1.6515999999999999E-2</c:v>
                </c:pt>
                <c:pt idx="880">
                  <c:v>1.6482E-2</c:v>
                </c:pt>
                <c:pt idx="881">
                  <c:v>1.6448000000000001E-2</c:v>
                </c:pt>
                <c:pt idx="882">
                  <c:v>1.6414999999999999E-2</c:v>
                </c:pt>
                <c:pt idx="883">
                  <c:v>1.6381E-2</c:v>
                </c:pt>
                <c:pt idx="884">
                  <c:v>1.6347E-2</c:v>
                </c:pt>
                <c:pt idx="885">
                  <c:v>1.6313000000000001E-2</c:v>
                </c:pt>
                <c:pt idx="886">
                  <c:v>1.6279999999999999E-2</c:v>
                </c:pt>
                <c:pt idx="887">
                  <c:v>1.6246E-2</c:v>
                </c:pt>
                <c:pt idx="888">
                  <c:v>1.6213000000000002E-2</c:v>
                </c:pt>
                <c:pt idx="889">
                  <c:v>1.6178999999999999E-2</c:v>
                </c:pt>
                <c:pt idx="890">
                  <c:v>1.6146000000000001E-2</c:v>
                </c:pt>
                <c:pt idx="891">
                  <c:v>1.6112000000000001E-2</c:v>
                </c:pt>
                <c:pt idx="892">
                  <c:v>1.6079E-2</c:v>
                </c:pt>
                <c:pt idx="893">
                  <c:v>1.6046000000000001E-2</c:v>
                </c:pt>
                <c:pt idx="894">
                  <c:v>1.6012999999999999E-2</c:v>
                </c:pt>
                <c:pt idx="895">
                  <c:v>1.5980000000000001E-2</c:v>
                </c:pt>
                <c:pt idx="896">
                  <c:v>1.5946999999999999E-2</c:v>
                </c:pt>
                <c:pt idx="897">
                  <c:v>1.5914000000000001E-2</c:v>
                </c:pt>
                <c:pt idx="898">
                  <c:v>1.5880999999999999E-2</c:v>
                </c:pt>
                <c:pt idx="899">
                  <c:v>1.5848999999999999E-2</c:v>
                </c:pt>
                <c:pt idx="900">
                  <c:v>1.5816E-2</c:v>
                </c:pt>
                <c:pt idx="901">
                  <c:v>1.5782999999999998E-2</c:v>
                </c:pt>
                <c:pt idx="902">
                  <c:v>1.5751000000000001E-2</c:v>
                </c:pt>
                <c:pt idx="903">
                  <c:v>1.5717999999999999E-2</c:v>
                </c:pt>
                <c:pt idx="904">
                  <c:v>1.5685999999999999E-2</c:v>
                </c:pt>
                <c:pt idx="905">
                  <c:v>1.5653E-2</c:v>
                </c:pt>
                <c:pt idx="906">
                  <c:v>1.5620999999999999E-2</c:v>
                </c:pt>
                <c:pt idx="907">
                  <c:v>1.5589E-2</c:v>
                </c:pt>
                <c:pt idx="908">
                  <c:v>1.5557E-2</c:v>
                </c:pt>
                <c:pt idx="909">
                  <c:v>1.5525000000000001E-2</c:v>
                </c:pt>
                <c:pt idx="910">
                  <c:v>1.5493E-2</c:v>
                </c:pt>
                <c:pt idx="911">
                  <c:v>1.5461000000000001E-2</c:v>
                </c:pt>
                <c:pt idx="912">
                  <c:v>1.5429E-2</c:v>
                </c:pt>
                <c:pt idx="913">
                  <c:v>1.5396999999999999E-2</c:v>
                </c:pt>
                <c:pt idx="914">
                  <c:v>1.5365E-2</c:v>
                </c:pt>
                <c:pt idx="915">
                  <c:v>1.5332999999999999E-2</c:v>
                </c:pt>
                <c:pt idx="916">
                  <c:v>1.5302E-2</c:v>
                </c:pt>
                <c:pt idx="917">
                  <c:v>1.5270000000000001E-2</c:v>
                </c:pt>
                <c:pt idx="918">
                  <c:v>1.5239000000000001E-2</c:v>
                </c:pt>
                <c:pt idx="919">
                  <c:v>1.5207E-2</c:v>
                </c:pt>
                <c:pt idx="920">
                  <c:v>1.5176E-2</c:v>
                </c:pt>
                <c:pt idx="921">
                  <c:v>1.5145E-2</c:v>
                </c:pt>
                <c:pt idx="922">
                  <c:v>1.5113E-2</c:v>
                </c:pt>
                <c:pt idx="923">
                  <c:v>1.5082E-2</c:v>
                </c:pt>
                <c:pt idx="924">
                  <c:v>1.5051E-2</c:v>
                </c:pt>
                <c:pt idx="925">
                  <c:v>1.502E-2</c:v>
                </c:pt>
                <c:pt idx="926">
                  <c:v>1.4989000000000001E-2</c:v>
                </c:pt>
                <c:pt idx="927">
                  <c:v>1.4958000000000001E-2</c:v>
                </c:pt>
                <c:pt idx="928">
                  <c:v>1.4926999999999999E-2</c:v>
                </c:pt>
                <c:pt idx="929">
                  <c:v>1.4897000000000001E-2</c:v>
                </c:pt>
                <c:pt idx="930">
                  <c:v>1.4866000000000001E-2</c:v>
                </c:pt>
                <c:pt idx="931">
                  <c:v>1.4834999999999999E-2</c:v>
                </c:pt>
                <c:pt idx="932">
                  <c:v>1.4805E-2</c:v>
                </c:pt>
                <c:pt idx="933">
                  <c:v>1.4774000000000001E-2</c:v>
                </c:pt>
                <c:pt idx="934">
                  <c:v>1.4744E-2</c:v>
                </c:pt>
                <c:pt idx="935">
                  <c:v>1.4713E-2</c:v>
                </c:pt>
                <c:pt idx="936">
                  <c:v>1.4683E-2</c:v>
                </c:pt>
                <c:pt idx="937">
                  <c:v>1.4652999999999999E-2</c:v>
                </c:pt>
                <c:pt idx="938">
                  <c:v>1.4622E-2</c:v>
                </c:pt>
                <c:pt idx="939">
                  <c:v>1.4592000000000001E-2</c:v>
                </c:pt>
                <c:pt idx="940">
                  <c:v>1.4562E-2</c:v>
                </c:pt>
                <c:pt idx="941">
                  <c:v>1.4532E-2</c:v>
                </c:pt>
                <c:pt idx="942">
                  <c:v>1.4501999999999999E-2</c:v>
                </c:pt>
                <c:pt idx="943">
                  <c:v>1.4472E-2</c:v>
                </c:pt>
                <c:pt idx="944">
                  <c:v>1.4442E-2</c:v>
                </c:pt>
                <c:pt idx="945">
                  <c:v>1.4413E-2</c:v>
                </c:pt>
                <c:pt idx="946">
                  <c:v>1.4383E-2</c:v>
                </c:pt>
                <c:pt idx="947">
                  <c:v>1.4352999999999999E-2</c:v>
                </c:pt>
                <c:pt idx="948">
                  <c:v>1.4324E-2</c:v>
                </c:pt>
                <c:pt idx="949">
                  <c:v>1.4293999999999999E-2</c:v>
                </c:pt>
                <c:pt idx="950">
                  <c:v>1.4265E-2</c:v>
                </c:pt>
                <c:pt idx="951">
                  <c:v>1.4234999999999999E-2</c:v>
                </c:pt>
                <c:pt idx="952">
                  <c:v>1.4206E-2</c:v>
                </c:pt>
                <c:pt idx="953">
                  <c:v>1.4177E-2</c:v>
                </c:pt>
                <c:pt idx="954">
                  <c:v>1.4148000000000001E-2</c:v>
                </c:pt>
                <c:pt idx="955">
                  <c:v>1.4118E-2</c:v>
                </c:pt>
                <c:pt idx="956">
                  <c:v>1.4089000000000001E-2</c:v>
                </c:pt>
                <c:pt idx="957">
                  <c:v>1.406E-2</c:v>
                </c:pt>
                <c:pt idx="958">
                  <c:v>1.4031E-2</c:v>
                </c:pt>
                <c:pt idx="959">
                  <c:v>1.4003E-2</c:v>
                </c:pt>
                <c:pt idx="960">
                  <c:v>1.3974E-2</c:v>
                </c:pt>
                <c:pt idx="961">
                  <c:v>1.3945000000000001E-2</c:v>
                </c:pt>
                <c:pt idx="962">
                  <c:v>1.3916E-2</c:v>
                </c:pt>
                <c:pt idx="963">
                  <c:v>1.3887999999999999E-2</c:v>
                </c:pt>
                <c:pt idx="964">
                  <c:v>1.3859E-2</c:v>
                </c:pt>
                <c:pt idx="965">
                  <c:v>1.383E-2</c:v>
                </c:pt>
                <c:pt idx="966">
                  <c:v>1.3802E-2</c:v>
                </c:pt>
                <c:pt idx="967">
                  <c:v>1.3774E-2</c:v>
                </c:pt>
                <c:pt idx="968">
                  <c:v>1.3745E-2</c:v>
                </c:pt>
                <c:pt idx="969">
                  <c:v>1.3717E-2</c:v>
                </c:pt>
                <c:pt idx="970">
                  <c:v>1.3689E-2</c:v>
                </c:pt>
                <c:pt idx="971">
                  <c:v>1.3661E-2</c:v>
                </c:pt>
                <c:pt idx="972">
                  <c:v>1.3632999999999999E-2</c:v>
                </c:pt>
                <c:pt idx="973">
                  <c:v>1.3605000000000001E-2</c:v>
                </c:pt>
                <c:pt idx="974">
                  <c:v>1.3577000000000001E-2</c:v>
                </c:pt>
                <c:pt idx="975">
                  <c:v>1.3549E-2</c:v>
                </c:pt>
                <c:pt idx="976">
                  <c:v>1.3521E-2</c:v>
                </c:pt>
                <c:pt idx="977">
                  <c:v>1.3493E-2</c:v>
                </c:pt>
                <c:pt idx="978">
                  <c:v>1.3465E-2</c:v>
                </c:pt>
                <c:pt idx="979">
                  <c:v>1.3438E-2</c:v>
                </c:pt>
                <c:pt idx="980">
                  <c:v>1.341E-2</c:v>
                </c:pt>
                <c:pt idx="981">
                  <c:v>1.3383000000000001E-2</c:v>
                </c:pt>
                <c:pt idx="982">
                  <c:v>1.3355000000000001E-2</c:v>
                </c:pt>
                <c:pt idx="983">
                  <c:v>1.3328E-2</c:v>
                </c:pt>
                <c:pt idx="984">
                  <c:v>1.3299999999999999E-2</c:v>
                </c:pt>
                <c:pt idx="985">
                  <c:v>1.3273E-2</c:v>
                </c:pt>
                <c:pt idx="986">
                  <c:v>1.3246000000000001E-2</c:v>
                </c:pt>
                <c:pt idx="987">
                  <c:v>1.3219E-2</c:v>
                </c:pt>
                <c:pt idx="988">
                  <c:v>1.3192000000000001E-2</c:v>
                </c:pt>
                <c:pt idx="989">
                  <c:v>1.3164E-2</c:v>
                </c:pt>
                <c:pt idx="990">
                  <c:v>1.3136999999999999E-2</c:v>
                </c:pt>
                <c:pt idx="991">
                  <c:v>1.3110999999999999E-2</c:v>
                </c:pt>
                <c:pt idx="992">
                  <c:v>1.3084E-2</c:v>
                </c:pt>
                <c:pt idx="993">
                  <c:v>1.3056999999999999E-2</c:v>
                </c:pt>
                <c:pt idx="994">
                  <c:v>1.303E-2</c:v>
                </c:pt>
                <c:pt idx="995">
                  <c:v>1.3003000000000001E-2</c:v>
                </c:pt>
                <c:pt idx="996">
                  <c:v>1.2977000000000001E-2</c:v>
                </c:pt>
                <c:pt idx="997">
                  <c:v>1.295E-2</c:v>
                </c:pt>
                <c:pt idx="998">
                  <c:v>1.2924E-2</c:v>
                </c:pt>
                <c:pt idx="999">
                  <c:v>1.2897E-2</c:v>
                </c:pt>
                <c:pt idx="1000">
                  <c:v>1.2871E-2</c:v>
                </c:pt>
                <c:pt idx="1001">
                  <c:v>1.2844E-2</c:v>
                </c:pt>
                <c:pt idx="1002">
                  <c:v>1.2818E-2</c:v>
                </c:pt>
                <c:pt idx="1003">
                  <c:v>1.2792E-2</c:v>
                </c:pt>
                <c:pt idx="1004">
                  <c:v>1.2766E-2</c:v>
                </c:pt>
                <c:pt idx="1005">
                  <c:v>1.274E-2</c:v>
                </c:pt>
                <c:pt idx="1006">
                  <c:v>1.2714E-2</c:v>
                </c:pt>
                <c:pt idx="1007">
                  <c:v>1.2688E-2</c:v>
                </c:pt>
                <c:pt idx="1008">
                  <c:v>1.2662E-2</c:v>
                </c:pt>
                <c:pt idx="1009">
                  <c:v>1.2636E-2</c:v>
                </c:pt>
                <c:pt idx="1010">
                  <c:v>1.261E-2</c:v>
                </c:pt>
                <c:pt idx="1011">
                  <c:v>1.2584E-2</c:v>
                </c:pt>
                <c:pt idx="1012">
                  <c:v>1.2558E-2</c:v>
                </c:pt>
                <c:pt idx="1013">
                  <c:v>1.2533000000000001E-2</c:v>
                </c:pt>
                <c:pt idx="1014">
                  <c:v>1.2507000000000001E-2</c:v>
                </c:pt>
                <c:pt idx="1015">
                  <c:v>1.2482E-2</c:v>
                </c:pt>
                <c:pt idx="1016">
                  <c:v>1.2456E-2</c:v>
                </c:pt>
                <c:pt idx="1017">
                  <c:v>1.2430999999999999E-2</c:v>
                </c:pt>
                <c:pt idx="1018">
                  <c:v>1.2404999999999999E-2</c:v>
                </c:pt>
                <c:pt idx="1019">
                  <c:v>1.238E-2</c:v>
                </c:pt>
                <c:pt idx="1020">
                  <c:v>1.2355E-2</c:v>
                </c:pt>
                <c:pt idx="1021">
                  <c:v>1.2330000000000001E-2</c:v>
                </c:pt>
                <c:pt idx="1022">
                  <c:v>1.2305E-2</c:v>
                </c:pt>
                <c:pt idx="1023">
                  <c:v>1.2279E-2</c:v>
                </c:pt>
                <c:pt idx="1024">
                  <c:v>1.2253999999999999E-2</c:v>
                </c:pt>
                <c:pt idx="1025">
                  <c:v>1.223E-2</c:v>
                </c:pt>
                <c:pt idx="1026">
                  <c:v>1.2205000000000001E-2</c:v>
                </c:pt>
                <c:pt idx="1027">
                  <c:v>1.218E-2</c:v>
                </c:pt>
                <c:pt idx="1028">
                  <c:v>1.2154999999999999E-2</c:v>
                </c:pt>
                <c:pt idx="1029">
                  <c:v>1.213E-2</c:v>
                </c:pt>
                <c:pt idx="1030">
                  <c:v>1.2106E-2</c:v>
                </c:pt>
                <c:pt idx="1031">
                  <c:v>1.2081E-2</c:v>
                </c:pt>
                <c:pt idx="1032">
                  <c:v>1.2056000000000001E-2</c:v>
                </c:pt>
                <c:pt idx="1033">
                  <c:v>1.2031999999999999E-2</c:v>
                </c:pt>
                <c:pt idx="1034">
                  <c:v>1.2007E-2</c:v>
                </c:pt>
                <c:pt idx="1035">
                  <c:v>1.1983000000000001E-2</c:v>
                </c:pt>
                <c:pt idx="1036">
                  <c:v>1.1958999999999999E-2</c:v>
                </c:pt>
                <c:pt idx="1037">
                  <c:v>1.1934E-2</c:v>
                </c:pt>
                <c:pt idx="1038">
                  <c:v>1.191E-2</c:v>
                </c:pt>
                <c:pt idx="1039">
                  <c:v>1.1886000000000001E-2</c:v>
                </c:pt>
                <c:pt idx="1040">
                  <c:v>1.1861999999999999E-2</c:v>
                </c:pt>
                <c:pt idx="1041">
                  <c:v>1.1838E-2</c:v>
                </c:pt>
                <c:pt idx="1042">
                  <c:v>1.1814E-2</c:v>
                </c:pt>
                <c:pt idx="1043">
                  <c:v>1.179E-2</c:v>
                </c:pt>
                <c:pt idx="1044">
                  <c:v>1.1766E-2</c:v>
                </c:pt>
                <c:pt idx="1045">
                  <c:v>1.1742000000000001E-2</c:v>
                </c:pt>
                <c:pt idx="1046">
                  <c:v>1.1717999999999999E-2</c:v>
                </c:pt>
                <c:pt idx="1047">
                  <c:v>1.1695000000000001E-2</c:v>
                </c:pt>
                <c:pt idx="1048">
                  <c:v>1.1671000000000001E-2</c:v>
                </c:pt>
                <c:pt idx="1049">
                  <c:v>1.1646999999999999E-2</c:v>
                </c:pt>
                <c:pt idx="1050">
                  <c:v>1.1624000000000001E-2</c:v>
                </c:pt>
                <c:pt idx="1051">
                  <c:v>1.1599999999999999E-2</c:v>
                </c:pt>
                <c:pt idx="1052">
                  <c:v>1.1577E-2</c:v>
                </c:pt>
                <c:pt idx="1053">
                  <c:v>1.1553000000000001E-2</c:v>
                </c:pt>
                <c:pt idx="1054">
                  <c:v>1.153E-2</c:v>
                </c:pt>
                <c:pt idx="1055">
                  <c:v>1.1507E-2</c:v>
                </c:pt>
                <c:pt idx="1056">
                  <c:v>1.1483E-2</c:v>
                </c:pt>
                <c:pt idx="1057">
                  <c:v>1.146E-2</c:v>
                </c:pt>
                <c:pt idx="1058">
                  <c:v>1.1436999999999999E-2</c:v>
                </c:pt>
                <c:pt idx="1059">
                  <c:v>1.1414000000000001E-2</c:v>
                </c:pt>
                <c:pt idx="1060">
                  <c:v>1.1391E-2</c:v>
                </c:pt>
                <c:pt idx="1061">
                  <c:v>1.1368E-2</c:v>
                </c:pt>
                <c:pt idx="1062">
                  <c:v>1.1344999999999999E-2</c:v>
                </c:pt>
                <c:pt idx="1063">
                  <c:v>1.1322E-2</c:v>
                </c:pt>
                <c:pt idx="1064">
                  <c:v>1.1299E-2</c:v>
                </c:pt>
                <c:pt idx="1065">
                  <c:v>1.1277000000000001E-2</c:v>
                </c:pt>
                <c:pt idx="1066">
                  <c:v>1.1254E-2</c:v>
                </c:pt>
                <c:pt idx="1067">
                  <c:v>1.1231E-2</c:v>
                </c:pt>
                <c:pt idx="1068">
                  <c:v>1.1209E-2</c:v>
                </c:pt>
                <c:pt idx="1069">
                  <c:v>1.1186E-2</c:v>
                </c:pt>
                <c:pt idx="1070">
                  <c:v>1.1164E-2</c:v>
                </c:pt>
                <c:pt idx="1071">
                  <c:v>1.1141E-2</c:v>
                </c:pt>
                <c:pt idx="1072">
                  <c:v>1.1119E-2</c:v>
                </c:pt>
                <c:pt idx="1073">
                  <c:v>1.1096E-2</c:v>
                </c:pt>
                <c:pt idx="1074">
                  <c:v>1.1074000000000001E-2</c:v>
                </c:pt>
                <c:pt idx="1075">
                  <c:v>1.1051999999999999E-2</c:v>
                </c:pt>
                <c:pt idx="1076">
                  <c:v>1.103E-2</c:v>
                </c:pt>
                <c:pt idx="1077">
                  <c:v>1.1008E-2</c:v>
                </c:pt>
                <c:pt idx="1078">
                  <c:v>1.0985999999999999E-2</c:v>
                </c:pt>
                <c:pt idx="1079">
                  <c:v>1.0964E-2</c:v>
                </c:pt>
                <c:pt idx="1080">
                  <c:v>1.0942E-2</c:v>
                </c:pt>
                <c:pt idx="1081">
                  <c:v>1.0919999999999999E-2</c:v>
                </c:pt>
                <c:pt idx="1082">
                  <c:v>1.0898E-2</c:v>
                </c:pt>
                <c:pt idx="1083">
                  <c:v>1.0876E-2</c:v>
                </c:pt>
                <c:pt idx="1084">
                  <c:v>1.0854000000000001E-2</c:v>
                </c:pt>
                <c:pt idx="1085">
                  <c:v>1.0832E-2</c:v>
                </c:pt>
                <c:pt idx="1086">
                  <c:v>1.0810999999999999E-2</c:v>
                </c:pt>
                <c:pt idx="1087">
                  <c:v>1.0789E-2</c:v>
                </c:pt>
                <c:pt idx="1088">
                  <c:v>1.0768E-2</c:v>
                </c:pt>
                <c:pt idx="1089">
                  <c:v>1.0746E-2</c:v>
                </c:pt>
                <c:pt idx="1090">
                  <c:v>1.0725E-2</c:v>
                </c:pt>
                <c:pt idx="1091">
                  <c:v>1.0703000000000001E-2</c:v>
                </c:pt>
                <c:pt idx="1092">
                  <c:v>1.0682000000000001E-2</c:v>
                </c:pt>
                <c:pt idx="1093">
                  <c:v>1.0661E-2</c:v>
                </c:pt>
                <c:pt idx="1094">
                  <c:v>1.0638999999999999E-2</c:v>
                </c:pt>
                <c:pt idx="1095">
                  <c:v>1.0618000000000001E-2</c:v>
                </c:pt>
                <c:pt idx="1096">
                  <c:v>1.0597000000000001E-2</c:v>
                </c:pt>
                <c:pt idx="1097">
                  <c:v>1.0576E-2</c:v>
                </c:pt>
                <c:pt idx="1098">
                  <c:v>1.0555E-2</c:v>
                </c:pt>
                <c:pt idx="1099">
                  <c:v>1.0534E-2</c:v>
                </c:pt>
                <c:pt idx="1100">
                  <c:v>1.0513E-2</c:v>
                </c:pt>
                <c:pt idx="1101">
                  <c:v>1.0492E-2</c:v>
                </c:pt>
                <c:pt idx="1102">
                  <c:v>1.0470999999999999E-2</c:v>
                </c:pt>
                <c:pt idx="1103">
                  <c:v>1.0449999999999999E-2</c:v>
                </c:pt>
                <c:pt idx="1104">
                  <c:v>1.043E-2</c:v>
                </c:pt>
                <c:pt idx="1105">
                  <c:v>1.0409E-2</c:v>
                </c:pt>
                <c:pt idx="1106">
                  <c:v>1.0388E-2</c:v>
                </c:pt>
                <c:pt idx="1107">
                  <c:v>1.0368E-2</c:v>
                </c:pt>
                <c:pt idx="1108">
                  <c:v>1.0347E-2</c:v>
                </c:pt>
                <c:pt idx="1109">
                  <c:v>1.0326999999999999E-2</c:v>
                </c:pt>
                <c:pt idx="1110">
                  <c:v>1.0305999999999999E-2</c:v>
                </c:pt>
                <c:pt idx="1111">
                  <c:v>1.0286E-2</c:v>
                </c:pt>
                <c:pt idx="1112">
                  <c:v>1.0265E-2</c:v>
                </c:pt>
                <c:pt idx="1113">
                  <c:v>1.0245000000000001E-2</c:v>
                </c:pt>
                <c:pt idx="1114">
                  <c:v>1.0225E-2</c:v>
                </c:pt>
                <c:pt idx="1115">
                  <c:v>1.0205000000000001E-2</c:v>
                </c:pt>
                <c:pt idx="1116">
                  <c:v>1.0184E-2</c:v>
                </c:pt>
                <c:pt idx="1117">
                  <c:v>1.0163999999999999E-2</c:v>
                </c:pt>
                <c:pt idx="1118">
                  <c:v>1.0144E-2</c:v>
                </c:pt>
                <c:pt idx="1119">
                  <c:v>1.0123999999999999E-2</c:v>
                </c:pt>
                <c:pt idx="1120">
                  <c:v>1.0104E-2</c:v>
                </c:pt>
                <c:pt idx="1121">
                  <c:v>1.0083999999999999E-2</c:v>
                </c:pt>
                <c:pt idx="1122">
                  <c:v>1.0064E-2</c:v>
                </c:pt>
                <c:pt idx="1123">
                  <c:v>1.0045E-2</c:v>
                </c:pt>
                <c:pt idx="1124">
                  <c:v>1.0024999999999999E-2</c:v>
                </c:pt>
                <c:pt idx="1125">
                  <c:v>1.0005E-2</c:v>
                </c:pt>
                <c:pt idx="1126">
                  <c:v>9.9854999999999996E-3</c:v>
                </c:pt>
                <c:pt idx="1127">
                  <c:v>9.9658999999999998E-3</c:v>
                </c:pt>
                <c:pt idx="1128">
                  <c:v>9.9462999999999999E-3</c:v>
                </c:pt>
                <c:pt idx="1129">
                  <c:v>9.9267999999999995E-3</c:v>
                </c:pt>
                <c:pt idx="1130">
                  <c:v>9.9073000000000008E-3</c:v>
                </c:pt>
                <c:pt idx="1131">
                  <c:v>9.8878000000000004E-3</c:v>
                </c:pt>
                <c:pt idx="1132">
                  <c:v>9.8683999999999994E-3</c:v>
                </c:pt>
                <c:pt idx="1133">
                  <c:v>9.8490999999999995E-3</c:v>
                </c:pt>
                <c:pt idx="1134">
                  <c:v>9.8297999999999996E-3</c:v>
                </c:pt>
                <c:pt idx="1135">
                  <c:v>9.8105999999999992E-3</c:v>
                </c:pt>
                <c:pt idx="1136">
                  <c:v>9.7912999999999993E-3</c:v>
                </c:pt>
                <c:pt idx="1137">
                  <c:v>9.7722E-3</c:v>
                </c:pt>
                <c:pt idx="1138">
                  <c:v>9.7531000000000007E-3</c:v>
                </c:pt>
                <c:pt idx="1139">
                  <c:v>9.7339999999999996E-3</c:v>
                </c:pt>
                <c:pt idx="1140">
                  <c:v>9.7149999999999997E-3</c:v>
                </c:pt>
                <c:pt idx="1141">
                  <c:v>9.6959999999999998E-3</c:v>
                </c:pt>
                <c:pt idx="1142">
                  <c:v>9.6770999999999992E-3</c:v>
                </c:pt>
                <c:pt idx="1143">
                  <c:v>9.6582000000000005E-3</c:v>
                </c:pt>
                <c:pt idx="1144">
                  <c:v>9.6393999999999994E-3</c:v>
                </c:pt>
                <c:pt idx="1145">
                  <c:v>9.6206E-3</c:v>
                </c:pt>
                <c:pt idx="1146">
                  <c:v>9.6019E-3</c:v>
                </c:pt>
                <c:pt idx="1147">
                  <c:v>9.5832000000000001E-3</c:v>
                </c:pt>
                <c:pt idx="1148">
                  <c:v>9.5645999999999995E-3</c:v>
                </c:pt>
                <c:pt idx="1149">
                  <c:v>9.5460000000000007E-3</c:v>
                </c:pt>
                <c:pt idx="1150">
                  <c:v>9.5274000000000001E-3</c:v>
                </c:pt>
                <c:pt idx="1151">
                  <c:v>9.5089000000000007E-3</c:v>
                </c:pt>
                <c:pt idx="1152">
                  <c:v>9.4903999999999995E-3</c:v>
                </c:pt>
                <c:pt idx="1153">
                  <c:v>9.4719999999999995E-3</c:v>
                </c:pt>
                <c:pt idx="1154">
                  <c:v>9.4535999999999995E-3</c:v>
                </c:pt>
                <c:pt idx="1155">
                  <c:v>9.4353000000000006E-3</c:v>
                </c:pt>
                <c:pt idx="1156">
                  <c:v>9.417E-3</c:v>
                </c:pt>
                <c:pt idx="1157">
                  <c:v>9.3988000000000006E-3</c:v>
                </c:pt>
                <c:pt idx="1158">
                  <c:v>9.3805999999999994E-3</c:v>
                </c:pt>
                <c:pt idx="1159">
                  <c:v>9.3624999999999993E-3</c:v>
                </c:pt>
                <c:pt idx="1160">
                  <c:v>9.3443999999999992E-3</c:v>
                </c:pt>
                <c:pt idx="1161">
                  <c:v>9.3262999999999992E-3</c:v>
                </c:pt>
                <c:pt idx="1162">
                  <c:v>9.3083000000000003E-3</c:v>
                </c:pt>
                <c:pt idx="1163">
                  <c:v>9.2902999999999996E-3</c:v>
                </c:pt>
                <c:pt idx="1164">
                  <c:v>9.2724000000000001E-3</c:v>
                </c:pt>
                <c:pt idx="1165">
                  <c:v>9.2545000000000006E-3</c:v>
                </c:pt>
                <c:pt idx="1166">
                  <c:v>9.2367000000000005E-3</c:v>
                </c:pt>
                <c:pt idx="1167">
                  <c:v>9.2189000000000004E-3</c:v>
                </c:pt>
                <c:pt idx="1168">
                  <c:v>9.2011999999999997E-3</c:v>
                </c:pt>
                <c:pt idx="1169">
                  <c:v>9.1835000000000007E-3</c:v>
                </c:pt>
                <c:pt idx="1170">
                  <c:v>9.1658E-3</c:v>
                </c:pt>
                <c:pt idx="1171">
                  <c:v>9.1482000000000004E-3</c:v>
                </c:pt>
                <c:pt idx="1172">
                  <c:v>9.1305999999999991E-3</c:v>
                </c:pt>
                <c:pt idx="1173">
                  <c:v>9.1131000000000007E-3</c:v>
                </c:pt>
                <c:pt idx="1174">
                  <c:v>9.0956000000000006E-3</c:v>
                </c:pt>
                <c:pt idx="1175">
                  <c:v>9.0781999999999998E-3</c:v>
                </c:pt>
                <c:pt idx="1176">
                  <c:v>9.0608000000000008E-3</c:v>
                </c:pt>
                <c:pt idx="1177">
                  <c:v>9.0434999999999995E-3</c:v>
                </c:pt>
                <c:pt idx="1178">
                  <c:v>9.0261000000000004E-3</c:v>
                </c:pt>
                <c:pt idx="1179">
                  <c:v>9.0089000000000002E-3</c:v>
                </c:pt>
                <c:pt idx="1180">
                  <c:v>8.9917E-3</c:v>
                </c:pt>
                <c:pt idx="1181">
                  <c:v>8.9744999999999998E-3</c:v>
                </c:pt>
                <c:pt idx="1182">
                  <c:v>8.9574000000000008E-3</c:v>
                </c:pt>
                <c:pt idx="1183">
                  <c:v>8.9403E-3</c:v>
                </c:pt>
                <c:pt idx="1184">
                  <c:v>8.9231999999999992E-3</c:v>
                </c:pt>
                <c:pt idx="1185">
                  <c:v>8.9061999999999995E-3</c:v>
                </c:pt>
                <c:pt idx="1186">
                  <c:v>8.8891999999999999E-3</c:v>
                </c:pt>
                <c:pt idx="1187">
                  <c:v>8.8722999999999996E-3</c:v>
                </c:pt>
                <c:pt idx="1188">
                  <c:v>8.8553999999999994E-3</c:v>
                </c:pt>
                <c:pt idx="1189">
                  <c:v>8.8386000000000003E-3</c:v>
                </c:pt>
                <c:pt idx="1190">
                  <c:v>8.8217999999999994E-3</c:v>
                </c:pt>
                <c:pt idx="1191">
                  <c:v>8.8050999999999997E-3</c:v>
                </c:pt>
                <c:pt idx="1192">
                  <c:v>8.7884E-3</c:v>
                </c:pt>
                <c:pt idx="1193">
                  <c:v>8.7717000000000003E-3</c:v>
                </c:pt>
                <c:pt idx="1194">
                  <c:v>8.7551E-3</c:v>
                </c:pt>
                <c:pt idx="1195">
                  <c:v>8.7384999999999997E-3</c:v>
                </c:pt>
                <c:pt idx="1196">
                  <c:v>8.7218999999999994E-3</c:v>
                </c:pt>
                <c:pt idx="1197">
                  <c:v>8.7054000000000003E-3</c:v>
                </c:pt>
                <c:pt idx="1198">
                  <c:v>8.6890000000000005E-3</c:v>
                </c:pt>
                <c:pt idx="1199">
                  <c:v>8.6726000000000008E-3</c:v>
                </c:pt>
                <c:pt idx="1200">
                  <c:v>8.6561999999999993E-3</c:v>
                </c:pt>
                <c:pt idx="1201">
                  <c:v>8.6399000000000007E-3</c:v>
                </c:pt>
                <c:pt idx="1202">
                  <c:v>8.6236000000000004E-3</c:v>
                </c:pt>
                <c:pt idx="1203">
                  <c:v>8.6073E-3</c:v>
                </c:pt>
                <c:pt idx="1204">
                  <c:v>8.5911000000000008E-3</c:v>
                </c:pt>
                <c:pt idx="1205">
                  <c:v>8.5748999999999999E-3</c:v>
                </c:pt>
                <c:pt idx="1206">
                  <c:v>8.5588000000000001E-3</c:v>
                </c:pt>
                <c:pt idx="1207">
                  <c:v>8.5427000000000003E-3</c:v>
                </c:pt>
                <c:pt idx="1208">
                  <c:v>8.5266999999999999E-3</c:v>
                </c:pt>
                <c:pt idx="1209">
                  <c:v>8.5106999999999995E-3</c:v>
                </c:pt>
                <c:pt idx="1210">
                  <c:v>8.4947000000000009E-3</c:v>
                </c:pt>
                <c:pt idx="1211">
                  <c:v>8.4787999999999999E-3</c:v>
                </c:pt>
                <c:pt idx="1212">
                  <c:v>8.4629000000000006E-3</c:v>
                </c:pt>
                <c:pt idx="1213">
                  <c:v>8.4469999999999996E-3</c:v>
                </c:pt>
                <c:pt idx="1214">
                  <c:v>8.4311999999999998E-3</c:v>
                </c:pt>
                <c:pt idx="1215">
                  <c:v>8.4154999999999994E-3</c:v>
                </c:pt>
                <c:pt idx="1216">
                  <c:v>8.3998000000000007E-3</c:v>
                </c:pt>
                <c:pt idx="1217">
                  <c:v>8.3841000000000002E-3</c:v>
                </c:pt>
                <c:pt idx="1218">
                  <c:v>8.3683999999999998E-3</c:v>
                </c:pt>
                <c:pt idx="1219">
                  <c:v>8.3528000000000005E-3</c:v>
                </c:pt>
                <c:pt idx="1220">
                  <c:v>8.3373000000000006E-3</c:v>
                </c:pt>
                <c:pt idx="1221">
                  <c:v>8.3216999999999996E-3</c:v>
                </c:pt>
                <c:pt idx="1222">
                  <c:v>8.3061999999999997E-3</c:v>
                </c:pt>
                <c:pt idx="1223">
                  <c:v>8.2907999999999992E-3</c:v>
                </c:pt>
                <c:pt idx="1224">
                  <c:v>8.2754000000000005E-3</c:v>
                </c:pt>
                <c:pt idx="1225">
                  <c:v>8.26E-3</c:v>
                </c:pt>
                <c:pt idx="1226">
                  <c:v>8.2447000000000006E-3</c:v>
                </c:pt>
                <c:pt idx="1227">
                  <c:v>8.2293999999999996E-3</c:v>
                </c:pt>
                <c:pt idx="1228">
                  <c:v>8.2141999999999996E-3</c:v>
                </c:pt>
                <c:pt idx="1229">
                  <c:v>8.1989999999999997E-3</c:v>
                </c:pt>
                <c:pt idx="1230">
                  <c:v>8.1837999999999998E-3</c:v>
                </c:pt>
                <c:pt idx="1231">
                  <c:v>8.1685999999999998E-3</c:v>
                </c:pt>
                <c:pt idx="1232">
                  <c:v>8.1536000000000004E-3</c:v>
                </c:pt>
                <c:pt idx="1233">
                  <c:v>8.1384999999999999E-3</c:v>
                </c:pt>
                <c:pt idx="1234">
                  <c:v>8.1235000000000005E-3</c:v>
                </c:pt>
                <c:pt idx="1235">
                  <c:v>8.1084999999999994E-3</c:v>
                </c:pt>
                <c:pt idx="1236">
                  <c:v>8.0935999999999994E-3</c:v>
                </c:pt>
                <c:pt idx="1237">
                  <c:v>8.0786999999999994E-3</c:v>
                </c:pt>
                <c:pt idx="1238">
                  <c:v>8.0637999999999994E-3</c:v>
                </c:pt>
                <c:pt idx="1239">
                  <c:v>8.0490000000000006E-3</c:v>
                </c:pt>
                <c:pt idx="1240">
                  <c:v>8.0342E-3</c:v>
                </c:pt>
                <c:pt idx="1241">
                  <c:v>8.0193999999999994E-3</c:v>
                </c:pt>
                <c:pt idx="1242">
                  <c:v>8.0047E-3</c:v>
                </c:pt>
                <c:pt idx="1243">
                  <c:v>7.9900000000000006E-3</c:v>
                </c:pt>
                <c:pt idx="1244">
                  <c:v>7.9754000000000005E-3</c:v>
                </c:pt>
                <c:pt idx="1245">
                  <c:v>7.9608000000000005E-3</c:v>
                </c:pt>
                <c:pt idx="1246">
                  <c:v>7.9462000000000005E-3</c:v>
                </c:pt>
                <c:pt idx="1247">
                  <c:v>7.9316999999999999E-3</c:v>
                </c:pt>
                <c:pt idx="1248">
                  <c:v>7.9171999999999992E-3</c:v>
                </c:pt>
                <c:pt idx="1249">
                  <c:v>7.9027999999999998E-3</c:v>
                </c:pt>
                <c:pt idx="1250">
                  <c:v>7.8884000000000003E-3</c:v>
                </c:pt>
                <c:pt idx="1251">
                  <c:v>7.8740000000000008E-3</c:v>
                </c:pt>
                <c:pt idx="1252">
                  <c:v>7.8595999999999996E-3</c:v>
                </c:pt>
                <c:pt idx="1253">
                  <c:v>7.8452999999999995E-3</c:v>
                </c:pt>
                <c:pt idx="1254">
                  <c:v>7.8309999999999994E-3</c:v>
                </c:pt>
                <c:pt idx="1255">
                  <c:v>7.8168000000000005E-3</c:v>
                </c:pt>
                <c:pt idx="1256">
                  <c:v>7.8025999999999998E-3</c:v>
                </c:pt>
                <c:pt idx="1257">
                  <c:v>7.7884E-3</c:v>
                </c:pt>
                <c:pt idx="1258">
                  <c:v>7.7742999999999996E-3</c:v>
                </c:pt>
                <c:pt idx="1259">
                  <c:v>7.7602000000000001E-3</c:v>
                </c:pt>
                <c:pt idx="1260">
                  <c:v>7.7462E-3</c:v>
                </c:pt>
                <c:pt idx="1261">
                  <c:v>7.7321999999999998E-3</c:v>
                </c:pt>
                <c:pt idx="1262">
                  <c:v>7.7181999999999997E-3</c:v>
                </c:pt>
                <c:pt idx="1263">
                  <c:v>7.7041999999999996E-3</c:v>
                </c:pt>
                <c:pt idx="1264">
                  <c:v>7.6902999999999997E-3</c:v>
                </c:pt>
                <c:pt idx="1265">
                  <c:v>7.6765000000000002E-3</c:v>
                </c:pt>
                <c:pt idx="1266">
                  <c:v>7.6626000000000003E-3</c:v>
                </c:pt>
                <c:pt idx="1267">
                  <c:v>7.6487999999999999E-3</c:v>
                </c:pt>
                <c:pt idx="1268">
                  <c:v>7.6350999999999997E-3</c:v>
                </c:pt>
                <c:pt idx="1269">
                  <c:v>7.6213000000000001E-3</c:v>
                </c:pt>
                <c:pt idx="1270">
                  <c:v>7.6076E-3</c:v>
                </c:pt>
                <c:pt idx="1271">
                  <c:v>7.5940000000000001E-3</c:v>
                </c:pt>
                <c:pt idx="1272">
                  <c:v>7.5804000000000002E-3</c:v>
                </c:pt>
                <c:pt idx="1273">
                  <c:v>7.5668000000000003E-3</c:v>
                </c:pt>
                <c:pt idx="1274">
                  <c:v>7.5532000000000004E-3</c:v>
                </c:pt>
                <c:pt idx="1275">
                  <c:v>7.5396999999999999E-3</c:v>
                </c:pt>
                <c:pt idx="1276">
                  <c:v>7.5262000000000003E-3</c:v>
                </c:pt>
                <c:pt idx="1277">
                  <c:v>7.5128E-3</c:v>
                </c:pt>
                <c:pt idx="1278">
                  <c:v>7.4993999999999998E-3</c:v>
                </c:pt>
                <c:pt idx="1279">
                  <c:v>7.4859999999999996E-3</c:v>
                </c:pt>
                <c:pt idx="1280">
                  <c:v>7.4726999999999997E-3</c:v>
                </c:pt>
                <c:pt idx="1281">
                  <c:v>7.4593999999999997E-3</c:v>
                </c:pt>
                <c:pt idx="1282">
                  <c:v>7.4460999999999998E-3</c:v>
                </c:pt>
                <c:pt idx="1283">
                  <c:v>7.4327999999999998E-3</c:v>
                </c:pt>
                <c:pt idx="1284">
                  <c:v>7.4196000000000002E-3</c:v>
                </c:pt>
                <c:pt idx="1285">
                  <c:v>7.4064999999999999E-3</c:v>
                </c:pt>
                <c:pt idx="1286">
                  <c:v>7.3933000000000002E-3</c:v>
                </c:pt>
                <c:pt idx="1287">
                  <c:v>7.3802E-3</c:v>
                </c:pt>
                <c:pt idx="1288">
                  <c:v>7.3672E-3</c:v>
                </c:pt>
                <c:pt idx="1289">
                  <c:v>7.3540999999999997E-3</c:v>
                </c:pt>
                <c:pt idx="1290">
                  <c:v>7.3410999999999997E-3</c:v>
                </c:pt>
                <c:pt idx="1291">
                  <c:v>7.3282E-3</c:v>
                </c:pt>
                <c:pt idx="1292">
                  <c:v>7.3152E-3</c:v>
                </c:pt>
                <c:pt idx="1293">
                  <c:v>7.3023000000000003E-3</c:v>
                </c:pt>
                <c:pt idx="1294">
                  <c:v>7.2895E-3</c:v>
                </c:pt>
                <c:pt idx="1295">
                  <c:v>7.2766999999999997E-3</c:v>
                </c:pt>
                <c:pt idx="1296">
                  <c:v>7.2639000000000002E-3</c:v>
                </c:pt>
                <c:pt idx="1297">
                  <c:v>7.2510999999999999E-3</c:v>
                </c:pt>
                <c:pt idx="1298">
                  <c:v>7.2383999999999999E-3</c:v>
                </c:pt>
                <c:pt idx="1299">
                  <c:v>7.2256999999999998E-3</c:v>
                </c:pt>
                <c:pt idx="1300">
                  <c:v>7.2129999999999998E-3</c:v>
                </c:pt>
                <c:pt idx="1301">
                  <c:v>7.2004E-3</c:v>
                </c:pt>
                <c:pt idx="1302">
                  <c:v>7.1878000000000003E-3</c:v>
                </c:pt>
                <c:pt idx="1303">
                  <c:v>7.1751999999999996E-3</c:v>
                </c:pt>
                <c:pt idx="1304">
                  <c:v>7.1627000000000001E-3</c:v>
                </c:pt>
                <c:pt idx="1305">
                  <c:v>7.1501999999999998E-3</c:v>
                </c:pt>
                <c:pt idx="1306">
                  <c:v>7.1377000000000003E-3</c:v>
                </c:pt>
                <c:pt idx="1307">
                  <c:v>7.1253000000000002E-3</c:v>
                </c:pt>
                <c:pt idx="1308">
                  <c:v>7.1129000000000001E-3</c:v>
                </c:pt>
                <c:pt idx="1309">
                  <c:v>7.1005E-3</c:v>
                </c:pt>
                <c:pt idx="1310">
                  <c:v>7.0882000000000002E-3</c:v>
                </c:pt>
                <c:pt idx="1311">
                  <c:v>7.0759000000000004E-3</c:v>
                </c:pt>
                <c:pt idx="1312">
                  <c:v>7.0635999999999997E-3</c:v>
                </c:pt>
                <c:pt idx="1313">
                  <c:v>7.0514000000000002E-3</c:v>
                </c:pt>
                <c:pt idx="1314">
                  <c:v>7.0391999999999998E-3</c:v>
                </c:pt>
                <c:pt idx="1315">
                  <c:v>7.0270000000000003E-3</c:v>
                </c:pt>
                <c:pt idx="1316">
                  <c:v>7.0147999999999999E-3</c:v>
                </c:pt>
                <c:pt idx="1317">
                  <c:v>7.0026999999999997E-3</c:v>
                </c:pt>
                <c:pt idx="1318">
                  <c:v>6.9906999999999999E-3</c:v>
                </c:pt>
                <c:pt idx="1319">
                  <c:v>6.9785999999999997E-3</c:v>
                </c:pt>
                <c:pt idx="1320">
                  <c:v>6.9665999999999999E-3</c:v>
                </c:pt>
                <c:pt idx="1321">
                  <c:v>6.9546E-3</c:v>
                </c:pt>
                <c:pt idx="1322">
                  <c:v>6.9426999999999996E-3</c:v>
                </c:pt>
                <c:pt idx="1323">
                  <c:v>6.9306999999999997E-3</c:v>
                </c:pt>
                <c:pt idx="1324">
                  <c:v>6.9188000000000001E-3</c:v>
                </c:pt>
                <c:pt idx="1325">
                  <c:v>6.9069999999999999E-3</c:v>
                </c:pt>
                <c:pt idx="1326">
                  <c:v>6.8951000000000004E-3</c:v>
                </c:pt>
                <c:pt idx="1327">
                  <c:v>6.8833999999999996E-3</c:v>
                </c:pt>
                <c:pt idx="1328">
                  <c:v>6.8716000000000003E-3</c:v>
                </c:pt>
                <c:pt idx="1329">
                  <c:v>6.8598000000000001E-3</c:v>
                </c:pt>
                <c:pt idx="1330">
                  <c:v>6.8481000000000002E-3</c:v>
                </c:pt>
                <c:pt idx="1331">
                  <c:v>6.8364999999999997E-3</c:v>
                </c:pt>
                <c:pt idx="1332">
                  <c:v>6.8247999999999998E-3</c:v>
                </c:pt>
                <c:pt idx="1333">
                  <c:v>6.8132000000000002E-3</c:v>
                </c:pt>
                <c:pt idx="1334">
                  <c:v>6.8015999999999997E-3</c:v>
                </c:pt>
                <c:pt idx="1335">
                  <c:v>6.7901000000000003E-3</c:v>
                </c:pt>
                <c:pt idx="1336">
                  <c:v>6.7786000000000001E-3</c:v>
                </c:pt>
                <c:pt idx="1337">
                  <c:v>6.7670999999999999E-3</c:v>
                </c:pt>
                <c:pt idx="1338">
                  <c:v>6.7555999999999996E-3</c:v>
                </c:pt>
                <c:pt idx="1339">
                  <c:v>6.7441999999999997E-3</c:v>
                </c:pt>
                <c:pt idx="1340">
                  <c:v>6.7327999999999997E-3</c:v>
                </c:pt>
                <c:pt idx="1341">
                  <c:v>6.7213999999999998E-3</c:v>
                </c:pt>
                <c:pt idx="1342">
                  <c:v>6.7101000000000001E-3</c:v>
                </c:pt>
                <c:pt idx="1343">
                  <c:v>6.6988000000000004E-3</c:v>
                </c:pt>
                <c:pt idx="1344">
                  <c:v>6.6874999999999999E-3</c:v>
                </c:pt>
                <c:pt idx="1345">
                  <c:v>6.6762000000000002E-3</c:v>
                </c:pt>
                <c:pt idx="1346">
                  <c:v>6.6649999999999999E-3</c:v>
                </c:pt>
                <c:pt idx="1347">
                  <c:v>6.6537999999999996E-3</c:v>
                </c:pt>
                <c:pt idx="1348">
                  <c:v>6.6426000000000002E-3</c:v>
                </c:pt>
                <c:pt idx="1349">
                  <c:v>6.6315000000000002E-3</c:v>
                </c:pt>
                <c:pt idx="1350">
                  <c:v>6.6204000000000002E-3</c:v>
                </c:pt>
                <c:pt idx="1351">
                  <c:v>6.6093000000000002E-3</c:v>
                </c:pt>
                <c:pt idx="1352">
                  <c:v>6.5982999999999997E-3</c:v>
                </c:pt>
                <c:pt idx="1353">
                  <c:v>6.5872999999999999E-3</c:v>
                </c:pt>
                <c:pt idx="1354">
                  <c:v>6.5763000000000002E-3</c:v>
                </c:pt>
                <c:pt idx="1355">
                  <c:v>6.5652999999999996E-3</c:v>
                </c:pt>
                <c:pt idx="1356">
                  <c:v>6.5544000000000002E-3</c:v>
                </c:pt>
                <c:pt idx="1357">
                  <c:v>6.5434999999999998E-3</c:v>
                </c:pt>
                <c:pt idx="1358">
                  <c:v>6.5326000000000004E-3</c:v>
                </c:pt>
                <c:pt idx="1359">
                  <c:v>6.5218000000000003E-3</c:v>
                </c:pt>
                <c:pt idx="1360">
                  <c:v>6.5110000000000003E-3</c:v>
                </c:pt>
                <c:pt idx="1361">
                  <c:v>6.5002000000000002E-3</c:v>
                </c:pt>
                <c:pt idx="1362">
                  <c:v>6.4894000000000002E-3</c:v>
                </c:pt>
                <c:pt idx="1363">
                  <c:v>6.4787000000000004E-3</c:v>
                </c:pt>
                <c:pt idx="1364">
                  <c:v>6.4679999999999998E-3</c:v>
                </c:pt>
                <c:pt idx="1365">
                  <c:v>6.4573E-3</c:v>
                </c:pt>
                <c:pt idx="1366">
                  <c:v>6.4466999999999997E-3</c:v>
                </c:pt>
                <c:pt idx="1367">
                  <c:v>6.4359999999999999E-3</c:v>
                </c:pt>
                <c:pt idx="1368">
                  <c:v>6.4254000000000004E-3</c:v>
                </c:pt>
                <c:pt idx="1369">
                  <c:v>6.4149000000000003E-3</c:v>
                </c:pt>
                <c:pt idx="1370">
                  <c:v>6.4044000000000002E-3</c:v>
                </c:pt>
                <c:pt idx="1371">
                  <c:v>6.3937999999999998E-3</c:v>
                </c:pt>
                <c:pt idx="1372">
                  <c:v>6.3834E-3</c:v>
                </c:pt>
                <c:pt idx="1373">
                  <c:v>6.3728999999999999E-3</c:v>
                </c:pt>
                <c:pt idx="1374">
                  <c:v>6.3625000000000001E-3</c:v>
                </c:pt>
                <c:pt idx="1375">
                  <c:v>6.3521000000000003E-3</c:v>
                </c:pt>
                <c:pt idx="1376">
                  <c:v>6.3416999999999996E-3</c:v>
                </c:pt>
                <c:pt idx="1377">
                  <c:v>6.3314E-3</c:v>
                </c:pt>
                <c:pt idx="1378">
                  <c:v>6.3210999999999996E-3</c:v>
                </c:pt>
                <c:pt idx="1379">
                  <c:v>6.3108000000000001E-3</c:v>
                </c:pt>
                <c:pt idx="1380">
                  <c:v>6.3004999999999997E-3</c:v>
                </c:pt>
                <c:pt idx="1381">
                  <c:v>6.2903000000000004E-3</c:v>
                </c:pt>
                <c:pt idx="1382">
                  <c:v>6.2801000000000003E-3</c:v>
                </c:pt>
                <c:pt idx="1383">
                  <c:v>6.2699000000000001E-3</c:v>
                </c:pt>
                <c:pt idx="1384">
                  <c:v>6.2598000000000003E-3</c:v>
                </c:pt>
                <c:pt idx="1385">
                  <c:v>6.2496000000000001E-3</c:v>
                </c:pt>
                <c:pt idx="1386">
                  <c:v>6.2395000000000003E-3</c:v>
                </c:pt>
                <c:pt idx="1387">
                  <c:v>6.2294999999999998E-3</c:v>
                </c:pt>
                <c:pt idx="1388">
                  <c:v>6.2193999999999999E-3</c:v>
                </c:pt>
                <c:pt idx="1389">
                  <c:v>6.2094000000000003E-3</c:v>
                </c:pt>
                <c:pt idx="1390">
                  <c:v>6.1993999999999999E-3</c:v>
                </c:pt>
                <c:pt idx="1391">
                  <c:v>6.1894000000000003E-3</c:v>
                </c:pt>
                <c:pt idx="1392">
                  <c:v>6.1795000000000001E-3</c:v>
                </c:pt>
                <c:pt idx="1393">
                  <c:v>6.1695999999999999E-3</c:v>
                </c:pt>
                <c:pt idx="1394">
                  <c:v>6.1596999999999997E-3</c:v>
                </c:pt>
                <c:pt idx="1395">
                  <c:v>6.1498000000000004E-3</c:v>
                </c:pt>
                <c:pt idx="1396">
                  <c:v>6.1399999999999996E-3</c:v>
                </c:pt>
                <c:pt idx="1397">
                  <c:v>6.1301999999999997E-3</c:v>
                </c:pt>
                <c:pt idx="1398">
                  <c:v>6.1203999999999998E-3</c:v>
                </c:pt>
                <c:pt idx="1399">
                  <c:v>6.1107000000000002E-3</c:v>
                </c:pt>
                <c:pt idx="1400">
                  <c:v>6.1009000000000002E-3</c:v>
                </c:pt>
                <c:pt idx="1401">
                  <c:v>6.0911999999999997E-3</c:v>
                </c:pt>
                <c:pt idx="1402">
                  <c:v>6.0815000000000001E-3</c:v>
                </c:pt>
                <c:pt idx="1403">
                  <c:v>6.0718999999999999E-3</c:v>
                </c:pt>
                <c:pt idx="1404">
                  <c:v>6.0622999999999996E-3</c:v>
                </c:pt>
                <c:pt idx="1405">
                  <c:v>6.0526E-3</c:v>
                </c:pt>
                <c:pt idx="1406">
                  <c:v>6.0431E-3</c:v>
                </c:pt>
                <c:pt idx="1407">
                  <c:v>6.0334999999999998E-3</c:v>
                </c:pt>
                <c:pt idx="1408">
                  <c:v>6.0239999999999998E-3</c:v>
                </c:pt>
                <c:pt idx="1409">
                  <c:v>6.0144999999999999E-3</c:v>
                </c:pt>
                <c:pt idx="1410">
                  <c:v>6.0049999999999999E-3</c:v>
                </c:pt>
                <c:pt idx="1411">
                  <c:v>5.9956000000000002E-3</c:v>
                </c:pt>
                <c:pt idx="1412">
                  <c:v>5.9861000000000003E-3</c:v>
                </c:pt>
                <c:pt idx="1413">
                  <c:v>5.9766999999999997E-3</c:v>
                </c:pt>
                <c:pt idx="1414">
                  <c:v>5.9673E-3</c:v>
                </c:pt>
                <c:pt idx="1415">
                  <c:v>5.9579999999999998E-3</c:v>
                </c:pt>
                <c:pt idx="1416">
                  <c:v>5.9487000000000003E-3</c:v>
                </c:pt>
                <c:pt idx="1417">
                  <c:v>5.9394000000000001E-3</c:v>
                </c:pt>
                <c:pt idx="1418">
                  <c:v>5.9300999999999998E-3</c:v>
                </c:pt>
                <c:pt idx="1419">
                  <c:v>5.9208000000000004E-3</c:v>
                </c:pt>
                <c:pt idx="1420">
                  <c:v>5.9116000000000004E-3</c:v>
                </c:pt>
                <c:pt idx="1421">
                  <c:v>5.9024000000000004E-3</c:v>
                </c:pt>
                <c:pt idx="1422">
                  <c:v>5.8932000000000003E-3</c:v>
                </c:pt>
                <c:pt idx="1423">
                  <c:v>5.8840000000000003E-3</c:v>
                </c:pt>
                <c:pt idx="1424">
                  <c:v>5.8748999999999997E-3</c:v>
                </c:pt>
                <c:pt idx="1425">
                  <c:v>5.8658E-3</c:v>
                </c:pt>
                <c:pt idx="1426">
                  <c:v>5.8567000000000003E-3</c:v>
                </c:pt>
                <c:pt idx="1427">
                  <c:v>5.8475999999999997E-3</c:v>
                </c:pt>
                <c:pt idx="1428">
                  <c:v>5.8386000000000002E-3</c:v>
                </c:pt>
                <c:pt idx="1429">
                  <c:v>5.8295999999999999E-3</c:v>
                </c:pt>
                <c:pt idx="1430">
                  <c:v>5.8206000000000004E-3</c:v>
                </c:pt>
                <c:pt idx="1431">
                  <c:v>5.8116000000000001E-3</c:v>
                </c:pt>
                <c:pt idx="1432">
                  <c:v>5.8027E-3</c:v>
                </c:pt>
                <c:pt idx="1433">
                  <c:v>5.7938E-3</c:v>
                </c:pt>
                <c:pt idx="1434">
                  <c:v>5.7848999999999999E-3</c:v>
                </c:pt>
                <c:pt idx="1435">
                  <c:v>5.7759999999999999E-3</c:v>
                </c:pt>
                <c:pt idx="1436">
                  <c:v>5.7670999999999998E-3</c:v>
                </c:pt>
                <c:pt idx="1437">
                  <c:v>5.7583000000000001E-3</c:v>
                </c:pt>
                <c:pt idx="1438">
                  <c:v>5.7495000000000003E-3</c:v>
                </c:pt>
                <c:pt idx="1439">
                  <c:v>5.7406999999999996E-3</c:v>
                </c:pt>
                <c:pt idx="1440">
                  <c:v>5.7320000000000001E-3</c:v>
                </c:pt>
                <c:pt idx="1441">
                  <c:v>5.7232000000000003E-3</c:v>
                </c:pt>
                <c:pt idx="1442">
                  <c:v>5.7145E-3</c:v>
                </c:pt>
                <c:pt idx="1443">
                  <c:v>5.7057999999999996E-3</c:v>
                </c:pt>
                <c:pt idx="1444">
                  <c:v>5.6972000000000004E-3</c:v>
                </c:pt>
                <c:pt idx="1445">
                  <c:v>5.6885E-3</c:v>
                </c:pt>
                <c:pt idx="1446">
                  <c:v>5.6798999999999999E-3</c:v>
                </c:pt>
                <c:pt idx="1447">
                  <c:v>5.6712999999999998E-3</c:v>
                </c:pt>
                <c:pt idx="1448">
                  <c:v>5.6626999999999997E-3</c:v>
                </c:pt>
                <c:pt idx="1449">
                  <c:v>5.6541999999999999E-3</c:v>
                </c:pt>
                <c:pt idx="1450">
                  <c:v>5.6455999999999998E-3</c:v>
                </c:pt>
                <c:pt idx="1451">
                  <c:v>5.6370999999999999E-3</c:v>
                </c:pt>
                <c:pt idx="1452">
                  <c:v>5.6286000000000001E-3</c:v>
                </c:pt>
                <c:pt idx="1453">
                  <c:v>5.6201999999999997E-3</c:v>
                </c:pt>
                <c:pt idx="1454">
                  <c:v>5.6116999999999998E-3</c:v>
                </c:pt>
                <c:pt idx="1455">
                  <c:v>5.6033000000000003E-3</c:v>
                </c:pt>
                <c:pt idx="1456">
                  <c:v>5.5948999999999999E-3</c:v>
                </c:pt>
                <c:pt idx="1457">
                  <c:v>5.5865000000000003E-3</c:v>
                </c:pt>
                <c:pt idx="1458">
                  <c:v>5.5782000000000002E-3</c:v>
                </c:pt>
                <c:pt idx="1459">
                  <c:v>5.5697999999999998E-3</c:v>
                </c:pt>
                <c:pt idx="1460">
                  <c:v>5.5614999999999996E-3</c:v>
                </c:pt>
                <c:pt idx="1461">
                  <c:v>5.5532000000000003E-3</c:v>
                </c:pt>
                <c:pt idx="1462">
                  <c:v>5.5449999999999996E-3</c:v>
                </c:pt>
                <c:pt idx="1463">
                  <c:v>5.5367000000000003E-3</c:v>
                </c:pt>
                <c:pt idx="1464">
                  <c:v>5.5285000000000004E-3</c:v>
                </c:pt>
                <c:pt idx="1465">
                  <c:v>5.5202999999999997E-3</c:v>
                </c:pt>
                <c:pt idx="1466">
                  <c:v>5.5120999999999998E-3</c:v>
                </c:pt>
                <c:pt idx="1467">
                  <c:v>5.5040000000000002E-3</c:v>
                </c:pt>
                <c:pt idx="1468">
                  <c:v>5.4958000000000003E-3</c:v>
                </c:pt>
                <c:pt idx="1469">
                  <c:v>5.4876999999999999E-3</c:v>
                </c:pt>
                <c:pt idx="1470">
                  <c:v>5.4796000000000003E-3</c:v>
                </c:pt>
                <c:pt idx="1471">
                  <c:v>5.4714999999999998E-3</c:v>
                </c:pt>
                <c:pt idx="1472">
                  <c:v>5.4634999999999996E-3</c:v>
                </c:pt>
                <c:pt idx="1473">
                  <c:v>5.4554E-3</c:v>
                </c:pt>
                <c:pt idx="1474">
                  <c:v>5.4473999999999998E-3</c:v>
                </c:pt>
                <c:pt idx="1475">
                  <c:v>5.4393999999999996E-3</c:v>
                </c:pt>
                <c:pt idx="1476">
                  <c:v>5.4314999999999997E-3</c:v>
                </c:pt>
                <c:pt idx="1477">
                  <c:v>5.4235000000000004E-3</c:v>
                </c:pt>
                <c:pt idx="1478">
                  <c:v>5.4155999999999996E-3</c:v>
                </c:pt>
                <c:pt idx="1479">
                  <c:v>5.4076999999999997E-3</c:v>
                </c:pt>
                <c:pt idx="1480">
                  <c:v>5.3997999999999997E-3</c:v>
                </c:pt>
                <c:pt idx="1481">
                  <c:v>5.3918999999999998E-3</c:v>
                </c:pt>
                <c:pt idx="1482">
                  <c:v>5.3841000000000002E-3</c:v>
                </c:pt>
                <c:pt idx="1483">
                  <c:v>5.3762999999999997E-3</c:v>
                </c:pt>
                <c:pt idx="1484">
                  <c:v>5.3685E-3</c:v>
                </c:pt>
                <c:pt idx="1485">
                  <c:v>5.3607000000000004E-3</c:v>
                </c:pt>
                <c:pt idx="1486">
                  <c:v>5.3528999999999998E-3</c:v>
                </c:pt>
                <c:pt idx="1487">
                  <c:v>5.3451999999999996E-3</c:v>
                </c:pt>
                <c:pt idx="1488">
                  <c:v>5.3374E-3</c:v>
                </c:pt>
                <c:pt idx="1489">
                  <c:v>5.3296999999999997E-3</c:v>
                </c:pt>
                <c:pt idx="1490">
                  <c:v>5.3220000000000003E-3</c:v>
                </c:pt>
                <c:pt idx="1491">
                  <c:v>5.3144000000000004E-3</c:v>
                </c:pt>
                <c:pt idx="1492">
                  <c:v>5.3067000000000001E-3</c:v>
                </c:pt>
                <c:pt idx="1493">
                  <c:v>5.2991000000000002E-3</c:v>
                </c:pt>
                <c:pt idx="1494">
                  <c:v>5.2915000000000002E-3</c:v>
                </c:pt>
                <c:pt idx="1495">
                  <c:v>5.2839000000000002E-3</c:v>
                </c:pt>
                <c:pt idx="1496">
                  <c:v>5.2763999999999997E-3</c:v>
                </c:pt>
                <c:pt idx="1497">
                  <c:v>5.2687999999999997E-3</c:v>
                </c:pt>
                <c:pt idx="1498">
                  <c:v>5.2613E-3</c:v>
                </c:pt>
                <c:pt idx="1499">
                  <c:v>5.2538000000000003E-3</c:v>
                </c:pt>
                <c:pt idx="1500">
                  <c:v>5.2462999999999997E-3</c:v>
                </c:pt>
                <c:pt idx="1501">
                  <c:v>5.2388000000000001E-3</c:v>
                </c:pt>
                <c:pt idx="1502">
                  <c:v>5.2313999999999998E-3</c:v>
                </c:pt>
                <c:pt idx="1503">
                  <c:v>5.2239000000000001E-3</c:v>
                </c:pt>
                <c:pt idx="1504">
                  <c:v>5.2164999999999998E-3</c:v>
                </c:pt>
                <c:pt idx="1505">
                  <c:v>5.2091000000000004E-3</c:v>
                </c:pt>
                <c:pt idx="1506">
                  <c:v>5.2018000000000003E-3</c:v>
                </c:pt>
                <c:pt idx="1507">
                  <c:v>5.1944000000000001E-3</c:v>
                </c:pt>
                <c:pt idx="1508">
                  <c:v>5.1871E-3</c:v>
                </c:pt>
                <c:pt idx="1509">
                  <c:v>5.1798E-3</c:v>
                </c:pt>
                <c:pt idx="1510">
                  <c:v>5.1725E-3</c:v>
                </c:pt>
                <c:pt idx="1511">
                  <c:v>5.1652E-3</c:v>
                </c:pt>
                <c:pt idx="1512">
                  <c:v>5.1579E-3</c:v>
                </c:pt>
                <c:pt idx="1513">
                  <c:v>5.1507000000000002E-3</c:v>
                </c:pt>
                <c:pt idx="1514">
                  <c:v>5.1434999999999996E-3</c:v>
                </c:pt>
                <c:pt idx="1515">
                  <c:v>5.1362999999999999E-3</c:v>
                </c:pt>
                <c:pt idx="1516">
                  <c:v>5.1291000000000002E-3</c:v>
                </c:pt>
                <c:pt idx="1517">
                  <c:v>5.1219000000000004E-3</c:v>
                </c:pt>
                <c:pt idx="1518">
                  <c:v>5.1148000000000001E-3</c:v>
                </c:pt>
                <c:pt idx="1519">
                  <c:v>5.1076000000000003E-3</c:v>
                </c:pt>
                <c:pt idx="1520">
                  <c:v>5.1005E-3</c:v>
                </c:pt>
                <c:pt idx="1521">
                  <c:v>5.0933999999999997E-3</c:v>
                </c:pt>
                <c:pt idx="1522">
                  <c:v>5.0863999999999996E-3</c:v>
                </c:pt>
                <c:pt idx="1523">
                  <c:v>5.0793000000000001E-3</c:v>
                </c:pt>
                <c:pt idx="1524">
                  <c:v>5.0723000000000001E-3</c:v>
                </c:pt>
                <c:pt idx="1525">
                  <c:v>5.0653E-3</c:v>
                </c:pt>
                <c:pt idx="1526">
                  <c:v>5.0582999999999999E-3</c:v>
                </c:pt>
                <c:pt idx="1527">
                  <c:v>5.0512999999999999E-3</c:v>
                </c:pt>
                <c:pt idx="1528">
                  <c:v>5.0442999999999998E-3</c:v>
                </c:pt>
                <c:pt idx="1529">
                  <c:v>5.0374E-3</c:v>
                </c:pt>
                <c:pt idx="1530">
                  <c:v>5.0304E-3</c:v>
                </c:pt>
                <c:pt idx="1531">
                  <c:v>5.0235000000000002E-3</c:v>
                </c:pt>
                <c:pt idx="1532">
                  <c:v>5.0166000000000004E-3</c:v>
                </c:pt>
                <c:pt idx="1533">
                  <c:v>5.0096999999999997E-3</c:v>
                </c:pt>
                <c:pt idx="1534">
                  <c:v>5.0029000000000002E-3</c:v>
                </c:pt>
                <c:pt idx="1535">
                  <c:v>4.9959999999999996E-3</c:v>
                </c:pt>
                <c:pt idx="1536">
                  <c:v>4.9892000000000001E-3</c:v>
                </c:pt>
                <c:pt idx="1537">
                  <c:v>4.9823999999999997E-3</c:v>
                </c:pt>
                <c:pt idx="1538">
                  <c:v>4.9756000000000002E-3</c:v>
                </c:pt>
                <c:pt idx="1539">
                  <c:v>4.9689000000000001E-3</c:v>
                </c:pt>
                <c:pt idx="1540">
                  <c:v>4.9620999999999997E-3</c:v>
                </c:pt>
                <c:pt idx="1541">
                  <c:v>4.9554000000000004E-3</c:v>
                </c:pt>
                <c:pt idx="1542">
                  <c:v>4.9486E-3</c:v>
                </c:pt>
                <c:pt idx="1543">
                  <c:v>4.9418999999999999E-3</c:v>
                </c:pt>
                <c:pt idx="1544">
                  <c:v>4.9353000000000001E-3</c:v>
                </c:pt>
                <c:pt idx="1545">
                  <c:v>4.9286E-3</c:v>
                </c:pt>
                <c:pt idx="1546">
                  <c:v>4.9218999999999999E-3</c:v>
                </c:pt>
                <c:pt idx="1547">
                  <c:v>4.9153000000000001E-3</c:v>
                </c:pt>
                <c:pt idx="1548">
                  <c:v>4.9087000000000002E-3</c:v>
                </c:pt>
                <c:pt idx="1549">
                  <c:v>4.9021000000000004E-3</c:v>
                </c:pt>
                <c:pt idx="1550">
                  <c:v>4.8954999999999997E-3</c:v>
                </c:pt>
                <c:pt idx="1551">
                  <c:v>4.8888999999999998E-3</c:v>
                </c:pt>
                <c:pt idx="1552">
                  <c:v>4.8824000000000003E-3</c:v>
                </c:pt>
                <c:pt idx="1553">
                  <c:v>4.8758999999999999E-3</c:v>
                </c:pt>
                <c:pt idx="1554">
                  <c:v>4.8693E-3</c:v>
                </c:pt>
                <c:pt idx="1555">
                  <c:v>4.8627999999999996E-3</c:v>
                </c:pt>
                <c:pt idx="1556">
                  <c:v>4.8564000000000003E-3</c:v>
                </c:pt>
                <c:pt idx="1557">
                  <c:v>4.8498999999999999E-3</c:v>
                </c:pt>
                <c:pt idx="1558">
                  <c:v>4.8434000000000003E-3</c:v>
                </c:pt>
                <c:pt idx="1559">
                  <c:v>4.8370000000000002E-3</c:v>
                </c:pt>
                <c:pt idx="1560">
                  <c:v>4.8306E-3</c:v>
                </c:pt>
                <c:pt idx="1561">
                  <c:v>4.8241999999999998E-3</c:v>
                </c:pt>
                <c:pt idx="1562">
                  <c:v>4.8177999999999997E-3</c:v>
                </c:pt>
                <c:pt idx="1563">
                  <c:v>4.8114000000000004E-3</c:v>
                </c:pt>
                <c:pt idx="1564">
                  <c:v>4.8050999999999996E-3</c:v>
                </c:pt>
                <c:pt idx="1565">
                  <c:v>4.7987999999999998E-3</c:v>
                </c:pt>
                <c:pt idx="1566">
                  <c:v>4.7923999999999996E-3</c:v>
                </c:pt>
                <c:pt idx="1567">
                  <c:v>4.7860999999999997E-3</c:v>
                </c:pt>
                <c:pt idx="1568">
                  <c:v>4.7797999999999998E-3</c:v>
                </c:pt>
                <c:pt idx="1569">
                  <c:v>4.7736000000000002E-3</c:v>
                </c:pt>
                <c:pt idx="1570">
                  <c:v>4.7673000000000004E-3</c:v>
                </c:pt>
                <c:pt idx="1571">
                  <c:v>4.7610999999999999E-3</c:v>
                </c:pt>
                <c:pt idx="1572">
                  <c:v>4.7549000000000003E-3</c:v>
                </c:pt>
                <c:pt idx="1573">
                  <c:v>4.7486000000000004E-3</c:v>
                </c:pt>
                <c:pt idx="1574">
                  <c:v>4.7425000000000002E-3</c:v>
                </c:pt>
                <c:pt idx="1575">
                  <c:v>4.7362999999999997E-3</c:v>
                </c:pt>
                <c:pt idx="1576">
                  <c:v>4.7301000000000001E-3</c:v>
                </c:pt>
                <c:pt idx="1577">
                  <c:v>4.7239999999999999E-3</c:v>
                </c:pt>
                <c:pt idx="1578">
                  <c:v>4.7178000000000003E-3</c:v>
                </c:pt>
                <c:pt idx="1579">
                  <c:v>4.7117000000000001E-3</c:v>
                </c:pt>
                <c:pt idx="1580">
                  <c:v>4.7055999999999999E-3</c:v>
                </c:pt>
                <c:pt idx="1581">
                  <c:v>4.6994999999999997E-3</c:v>
                </c:pt>
                <c:pt idx="1582">
                  <c:v>4.6934999999999998E-3</c:v>
                </c:pt>
                <c:pt idx="1583">
                  <c:v>4.6874000000000004E-3</c:v>
                </c:pt>
                <c:pt idx="1584">
                  <c:v>4.6813999999999996E-3</c:v>
                </c:pt>
                <c:pt idx="1585">
                  <c:v>4.6753999999999997E-3</c:v>
                </c:pt>
                <c:pt idx="1586">
                  <c:v>4.6693999999999998E-3</c:v>
                </c:pt>
                <c:pt idx="1587">
                  <c:v>4.6633999999999998E-3</c:v>
                </c:pt>
                <c:pt idx="1588">
                  <c:v>4.6573999999999999E-3</c:v>
                </c:pt>
                <c:pt idx="1589">
                  <c:v>4.6514E-3</c:v>
                </c:pt>
                <c:pt idx="1590">
                  <c:v>4.6455000000000003E-3</c:v>
                </c:pt>
                <c:pt idx="1591">
                  <c:v>4.6395000000000004E-3</c:v>
                </c:pt>
                <c:pt idx="1592">
                  <c:v>4.6335999999999999E-3</c:v>
                </c:pt>
                <c:pt idx="1593">
                  <c:v>4.6277000000000002E-3</c:v>
                </c:pt>
                <c:pt idx="1594">
                  <c:v>4.6217999999999997E-3</c:v>
                </c:pt>
                <c:pt idx="1595">
                  <c:v>4.6160000000000003E-3</c:v>
                </c:pt>
                <c:pt idx="1596">
                  <c:v>4.6100999999999998E-3</c:v>
                </c:pt>
                <c:pt idx="1597">
                  <c:v>4.6043000000000004E-3</c:v>
                </c:pt>
                <c:pt idx="1598">
                  <c:v>4.5983999999999999E-3</c:v>
                </c:pt>
                <c:pt idx="1599">
                  <c:v>4.5925999999999996E-3</c:v>
                </c:pt>
                <c:pt idx="1600">
                  <c:v>4.5868000000000003E-3</c:v>
                </c:pt>
                <c:pt idx="1601">
                  <c:v>4.581E-3</c:v>
                </c:pt>
                <c:pt idx="1602">
                  <c:v>4.5753E-3</c:v>
                </c:pt>
                <c:pt idx="1603">
                  <c:v>4.5694999999999998E-3</c:v>
                </c:pt>
                <c:pt idx="1604">
                  <c:v>4.5637999999999998E-3</c:v>
                </c:pt>
                <c:pt idx="1605">
                  <c:v>4.5580999999999998E-3</c:v>
                </c:pt>
                <c:pt idx="1606">
                  <c:v>4.5522999999999996E-3</c:v>
                </c:pt>
                <c:pt idx="1607">
                  <c:v>4.5465999999999996E-3</c:v>
                </c:pt>
                <c:pt idx="1608">
                  <c:v>4.5409999999999999E-3</c:v>
                </c:pt>
                <c:pt idx="1609">
                  <c:v>4.5352999999999999E-3</c:v>
                </c:pt>
                <c:pt idx="1610">
                  <c:v>4.5295999999999999E-3</c:v>
                </c:pt>
                <c:pt idx="1611">
                  <c:v>4.5240000000000002E-3</c:v>
                </c:pt>
                <c:pt idx="1612">
                  <c:v>4.5183999999999997E-3</c:v>
                </c:pt>
                <c:pt idx="1613">
                  <c:v>4.5128E-3</c:v>
                </c:pt>
                <c:pt idx="1614">
                  <c:v>4.5072000000000003E-3</c:v>
                </c:pt>
                <c:pt idx="1615">
                  <c:v>4.5015999999999997E-3</c:v>
                </c:pt>
                <c:pt idx="1616">
                  <c:v>4.496E-3</c:v>
                </c:pt>
                <c:pt idx="1617">
                  <c:v>4.4904999999999997E-3</c:v>
                </c:pt>
                <c:pt idx="1618">
                  <c:v>4.4849E-3</c:v>
                </c:pt>
                <c:pt idx="1619">
                  <c:v>4.4793999999999997E-3</c:v>
                </c:pt>
                <c:pt idx="1620">
                  <c:v>4.4739000000000003E-3</c:v>
                </c:pt>
                <c:pt idx="1621">
                  <c:v>4.4684E-3</c:v>
                </c:pt>
                <c:pt idx="1622">
                  <c:v>4.4628999999999997E-3</c:v>
                </c:pt>
                <c:pt idx="1623">
                  <c:v>4.4574000000000003E-3</c:v>
                </c:pt>
                <c:pt idx="1624">
                  <c:v>4.4519E-3</c:v>
                </c:pt>
                <c:pt idx="1625">
                  <c:v>4.4464999999999999E-3</c:v>
                </c:pt>
                <c:pt idx="1626">
                  <c:v>4.4410999999999999E-3</c:v>
                </c:pt>
                <c:pt idx="1627">
                  <c:v>4.4356999999999999E-3</c:v>
                </c:pt>
                <c:pt idx="1628">
                  <c:v>4.4301999999999996E-3</c:v>
                </c:pt>
                <c:pt idx="1629">
                  <c:v>4.4248999999999998E-3</c:v>
                </c:pt>
                <c:pt idx="1630">
                  <c:v>4.4194999999999998E-3</c:v>
                </c:pt>
                <c:pt idx="1631">
                  <c:v>4.4140999999999998E-3</c:v>
                </c:pt>
                <c:pt idx="1632">
                  <c:v>4.4088E-3</c:v>
                </c:pt>
                <c:pt idx="1633">
                  <c:v>4.4034E-3</c:v>
                </c:pt>
                <c:pt idx="1634">
                  <c:v>4.3981000000000003E-3</c:v>
                </c:pt>
                <c:pt idx="1635">
                  <c:v>4.3927999999999997E-3</c:v>
                </c:pt>
                <c:pt idx="1636">
                  <c:v>4.3874999999999999E-3</c:v>
                </c:pt>
                <c:pt idx="1637">
                  <c:v>4.3822000000000002E-3</c:v>
                </c:pt>
                <c:pt idx="1638">
                  <c:v>4.3769000000000004E-3</c:v>
                </c:pt>
                <c:pt idx="1639">
                  <c:v>4.3717000000000001E-3</c:v>
                </c:pt>
                <c:pt idx="1640">
                  <c:v>4.3664000000000003E-3</c:v>
                </c:pt>
                <c:pt idx="1641">
                  <c:v>4.3612E-3</c:v>
                </c:pt>
                <c:pt idx="1642">
                  <c:v>4.3559999999999996E-3</c:v>
                </c:pt>
                <c:pt idx="1643">
                  <c:v>4.3508000000000002E-3</c:v>
                </c:pt>
                <c:pt idx="1644">
                  <c:v>4.3455999999999998E-3</c:v>
                </c:pt>
                <c:pt idx="1645">
                  <c:v>4.3404000000000003E-3</c:v>
                </c:pt>
                <c:pt idx="1646">
                  <c:v>4.3352E-3</c:v>
                </c:pt>
                <c:pt idx="1647">
                  <c:v>4.3300999999999999E-3</c:v>
                </c:pt>
                <c:pt idx="1648">
                  <c:v>4.3248999999999996E-3</c:v>
                </c:pt>
                <c:pt idx="1649">
                  <c:v>4.3198000000000004E-3</c:v>
                </c:pt>
                <c:pt idx="1650">
                  <c:v>4.3147000000000003E-3</c:v>
                </c:pt>
                <c:pt idx="1651">
                  <c:v>4.3096000000000002E-3</c:v>
                </c:pt>
                <c:pt idx="1652">
                  <c:v>4.3045000000000002E-3</c:v>
                </c:pt>
                <c:pt idx="1653">
                  <c:v>4.2994000000000001E-3</c:v>
                </c:pt>
                <c:pt idx="1654">
                  <c:v>4.2943E-3</c:v>
                </c:pt>
                <c:pt idx="1655">
                  <c:v>4.2893000000000002E-3</c:v>
                </c:pt>
                <c:pt idx="1656">
                  <c:v>4.2842999999999996E-3</c:v>
                </c:pt>
                <c:pt idx="1657">
                  <c:v>4.2792000000000004E-3</c:v>
                </c:pt>
                <c:pt idx="1658">
                  <c:v>4.2741999999999997E-3</c:v>
                </c:pt>
                <c:pt idx="1659">
                  <c:v>4.2691999999999999E-3</c:v>
                </c:pt>
                <c:pt idx="1660">
                  <c:v>4.2642000000000001E-3</c:v>
                </c:pt>
                <c:pt idx="1661">
                  <c:v>4.2592000000000003E-3</c:v>
                </c:pt>
                <c:pt idx="1662">
                  <c:v>4.2542999999999999E-3</c:v>
                </c:pt>
                <c:pt idx="1663">
                  <c:v>4.2493000000000001E-3</c:v>
                </c:pt>
                <c:pt idx="1664">
                  <c:v>4.2443999999999997E-3</c:v>
                </c:pt>
                <c:pt idx="1665">
                  <c:v>4.2393999999999999E-3</c:v>
                </c:pt>
                <c:pt idx="1666">
                  <c:v>4.2345000000000004E-3</c:v>
                </c:pt>
                <c:pt idx="1667">
                  <c:v>4.2296E-3</c:v>
                </c:pt>
                <c:pt idx="1668">
                  <c:v>4.2246999999999996E-3</c:v>
                </c:pt>
                <c:pt idx="1669">
                  <c:v>4.2199000000000004E-3</c:v>
                </c:pt>
                <c:pt idx="1670">
                  <c:v>4.215E-3</c:v>
                </c:pt>
                <c:pt idx="1671">
                  <c:v>4.2100999999999996E-3</c:v>
                </c:pt>
                <c:pt idx="1672">
                  <c:v>4.2053000000000004E-3</c:v>
                </c:pt>
                <c:pt idx="1673">
                  <c:v>4.2005000000000002E-3</c:v>
                </c:pt>
                <c:pt idx="1674">
                  <c:v>4.1955999999999999E-3</c:v>
                </c:pt>
                <c:pt idx="1675">
                  <c:v>4.1907999999999997E-3</c:v>
                </c:pt>
                <c:pt idx="1676">
                  <c:v>4.1859999999999996E-3</c:v>
                </c:pt>
                <c:pt idx="1677">
                  <c:v>4.1812000000000004E-3</c:v>
                </c:pt>
                <c:pt idx="1678">
                  <c:v>4.1764999999999997E-3</c:v>
                </c:pt>
                <c:pt idx="1679">
                  <c:v>4.1717000000000004E-3</c:v>
                </c:pt>
                <c:pt idx="1680">
                  <c:v>4.1669999999999997E-3</c:v>
                </c:pt>
                <c:pt idx="1681">
                  <c:v>4.1621999999999996E-3</c:v>
                </c:pt>
                <c:pt idx="1682">
                  <c:v>4.1574999999999997E-3</c:v>
                </c:pt>
                <c:pt idx="1683">
                  <c:v>4.1527999999999999E-3</c:v>
                </c:pt>
                <c:pt idx="1684">
                  <c:v>4.1481000000000001E-3</c:v>
                </c:pt>
                <c:pt idx="1685">
                  <c:v>4.1434000000000002E-3</c:v>
                </c:pt>
                <c:pt idx="1686">
                  <c:v>4.1387000000000004E-3</c:v>
                </c:pt>
                <c:pt idx="1687">
                  <c:v>4.1339999999999997E-3</c:v>
                </c:pt>
                <c:pt idx="1688">
                  <c:v>4.1294000000000001E-3</c:v>
                </c:pt>
                <c:pt idx="1689">
                  <c:v>4.1247000000000002E-3</c:v>
                </c:pt>
                <c:pt idx="1690">
                  <c:v>4.1200999999999998E-3</c:v>
                </c:pt>
                <c:pt idx="1691">
                  <c:v>4.1154E-3</c:v>
                </c:pt>
                <c:pt idx="1692">
                  <c:v>4.1108000000000004E-3</c:v>
                </c:pt>
                <c:pt idx="1693">
                  <c:v>4.1062E-3</c:v>
                </c:pt>
                <c:pt idx="1694">
                  <c:v>4.1016000000000004E-3</c:v>
                </c:pt>
                <c:pt idx="1695">
                  <c:v>4.0971000000000002E-3</c:v>
                </c:pt>
                <c:pt idx="1696">
                  <c:v>4.0924999999999998E-3</c:v>
                </c:pt>
                <c:pt idx="1697">
                  <c:v>4.0879000000000002E-3</c:v>
                </c:pt>
                <c:pt idx="1698">
                  <c:v>4.0834000000000001E-3</c:v>
                </c:pt>
                <c:pt idx="1699">
                  <c:v>4.0788999999999999E-3</c:v>
                </c:pt>
                <c:pt idx="1700">
                  <c:v>4.0743000000000003E-3</c:v>
                </c:pt>
                <c:pt idx="1701">
                  <c:v>4.0698000000000002E-3</c:v>
                </c:pt>
                <c:pt idx="1702">
                  <c:v>4.0653E-3</c:v>
                </c:pt>
                <c:pt idx="1703">
                  <c:v>4.0607999999999998E-3</c:v>
                </c:pt>
                <c:pt idx="1704">
                  <c:v>4.0562999999999997E-3</c:v>
                </c:pt>
                <c:pt idx="1705">
                  <c:v>4.0518999999999998E-3</c:v>
                </c:pt>
                <c:pt idx="1706">
                  <c:v>4.0473999999999996E-3</c:v>
                </c:pt>
                <c:pt idx="1707">
                  <c:v>4.0429999999999997E-3</c:v>
                </c:pt>
                <c:pt idx="1708">
                  <c:v>4.0385000000000004E-3</c:v>
                </c:pt>
                <c:pt idx="1709">
                  <c:v>4.0340999999999997E-3</c:v>
                </c:pt>
                <c:pt idx="1710">
                  <c:v>4.0296999999999998E-3</c:v>
                </c:pt>
                <c:pt idx="1711">
                  <c:v>4.0252999999999999E-3</c:v>
                </c:pt>
                <c:pt idx="1712">
                  <c:v>4.0209E-3</c:v>
                </c:pt>
                <c:pt idx="1713">
                  <c:v>4.0165000000000001E-3</c:v>
                </c:pt>
                <c:pt idx="1714">
                  <c:v>4.0121999999999996E-3</c:v>
                </c:pt>
                <c:pt idx="1715">
                  <c:v>4.0077999999999997E-3</c:v>
                </c:pt>
                <c:pt idx="1716">
                  <c:v>4.0033999999999998E-3</c:v>
                </c:pt>
                <c:pt idx="1717">
                  <c:v>3.9991000000000002E-3</c:v>
                </c:pt>
                <c:pt idx="1718">
                  <c:v>3.9947999999999997E-3</c:v>
                </c:pt>
                <c:pt idx="1719">
                  <c:v>3.9905000000000001E-3</c:v>
                </c:pt>
                <c:pt idx="1720">
                  <c:v>3.9861999999999996E-3</c:v>
                </c:pt>
                <c:pt idx="1721">
                  <c:v>3.9819E-3</c:v>
                </c:pt>
                <c:pt idx="1722">
                  <c:v>3.9776000000000004E-3</c:v>
                </c:pt>
                <c:pt idx="1723">
                  <c:v>3.9732999999999999E-3</c:v>
                </c:pt>
                <c:pt idx="1724">
                  <c:v>3.9690000000000003E-3</c:v>
                </c:pt>
                <c:pt idx="1725">
                  <c:v>3.9648000000000001E-3</c:v>
                </c:pt>
                <c:pt idx="1726">
                  <c:v>3.9604999999999996E-3</c:v>
                </c:pt>
                <c:pt idx="1727">
                  <c:v>3.9563000000000003E-3</c:v>
                </c:pt>
                <c:pt idx="1728">
                  <c:v>3.9521000000000001E-3</c:v>
                </c:pt>
                <c:pt idx="1729">
                  <c:v>3.9478999999999998E-3</c:v>
                </c:pt>
                <c:pt idx="1730">
                  <c:v>3.9436999999999996E-3</c:v>
                </c:pt>
                <c:pt idx="1731">
                  <c:v>3.9395000000000003E-3</c:v>
                </c:pt>
                <c:pt idx="1732">
                  <c:v>3.9353000000000001E-3</c:v>
                </c:pt>
                <c:pt idx="1733">
                  <c:v>3.9310999999999999E-3</c:v>
                </c:pt>
                <c:pt idx="1734">
                  <c:v>3.9269999999999999E-3</c:v>
                </c:pt>
                <c:pt idx="1735">
                  <c:v>3.9227999999999997E-3</c:v>
                </c:pt>
                <c:pt idx="1736">
                  <c:v>3.9186999999999998E-3</c:v>
                </c:pt>
                <c:pt idx="1737">
                  <c:v>3.9145999999999999E-3</c:v>
                </c:pt>
                <c:pt idx="1738">
                  <c:v>3.9103999999999996E-3</c:v>
                </c:pt>
                <c:pt idx="1739">
                  <c:v>3.9062999999999997E-3</c:v>
                </c:pt>
                <c:pt idx="1740">
                  <c:v>3.9022000000000002E-3</c:v>
                </c:pt>
                <c:pt idx="1741">
                  <c:v>3.8980999999999998E-3</c:v>
                </c:pt>
                <c:pt idx="1742">
                  <c:v>3.8941000000000002E-3</c:v>
                </c:pt>
                <c:pt idx="1743">
                  <c:v>3.8899999999999998E-3</c:v>
                </c:pt>
                <c:pt idx="1744">
                  <c:v>3.8858999999999999E-3</c:v>
                </c:pt>
                <c:pt idx="1745">
                  <c:v>3.8819000000000002E-3</c:v>
                </c:pt>
                <c:pt idx="1746">
                  <c:v>3.8777999999999998E-3</c:v>
                </c:pt>
                <c:pt idx="1747">
                  <c:v>3.8738000000000002E-3</c:v>
                </c:pt>
                <c:pt idx="1748">
                  <c:v>3.8698000000000001E-3</c:v>
                </c:pt>
                <c:pt idx="1749">
                  <c:v>3.8658E-3</c:v>
                </c:pt>
                <c:pt idx="1750">
                  <c:v>3.8617999999999999E-3</c:v>
                </c:pt>
                <c:pt idx="1751">
                  <c:v>3.8578000000000002E-3</c:v>
                </c:pt>
                <c:pt idx="1752">
                  <c:v>3.8538000000000001E-3</c:v>
                </c:pt>
                <c:pt idx="1753">
                  <c:v>3.8498E-3</c:v>
                </c:pt>
                <c:pt idx="1754">
                  <c:v>3.8459000000000002E-3</c:v>
                </c:pt>
                <c:pt idx="1755">
                  <c:v>3.8419000000000001E-3</c:v>
                </c:pt>
                <c:pt idx="1756">
                  <c:v>3.8379999999999998E-3</c:v>
                </c:pt>
                <c:pt idx="1757">
                  <c:v>3.8341E-3</c:v>
                </c:pt>
                <c:pt idx="1758">
                  <c:v>3.8300999999999999E-3</c:v>
                </c:pt>
                <c:pt idx="1759">
                  <c:v>3.8262000000000001E-3</c:v>
                </c:pt>
                <c:pt idx="1760">
                  <c:v>3.8222999999999998E-3</c:v>
                </c:pt>
                <c:pt idx="1761">
                  <c:v>3.8184E-3</c:v>
                </c:pt>
                <c:pt idx="1762">
                  <c:v>3.8146E-3</c:v>
                </c:pt>
                <c:pt idx="1763">
                  <c:v>3.8107000000000002E-3</c:v>
                </c:pt>
                <c:pt idx="1764">
                  <c:v>3.8067999999999999E-3</c:v>
                </c:pt>
                <c:pt idx="1765">
                  <c:v>3.803E-3</c:v>
                </c:pt>
                <c:pt idx="1766">
                  <c:v>3.7991000000000001E-3</c:v>
                </c:pt>
                <c:pt idx="1767">
                  <c:v>3.7953000000000001E-3</c:v>
                </c:pt>
                <c:pt idx="1768">
                  <c:v>3.7913999999999999E-3</c:v>
                </c:pt>
                <c:pt idx="1769">
                  <c:v>3.7875999999999999E-3</c:v>
                </c:pt>
                <c:pt idx="1770">
                  <c:v>3.7837999999999999E-3</c:v>
                </c:pt>
                <c:pt idx="1771">
                  <c:v>3.7799999999999999E-3</c:v>
                </c:pt>
                <c:pt idx="1772">
                  <c:v>3.7762E-3</c:v>
                </c:pt>
                <c:pt idx="1773">
                  <c:v>3.7724999999999998E-3</c:v>
                </c:pt>
                <c:pt idx="1774">
                  <c:v>3.7686999999999998E-3</c:v>
                </c:pt>
                <c:pt idx="1775">
                  <c:v>3.7648999999999998E-3</c:v>
                </c:pt>
                <c:pt idx="1776">
                  <c:v>3.7612000000000001E-3</c:v>
                </c:pt>
                <c:pt idx="1777">
                  <c:v>3.7574000000000001E-3</c:v>
                </c:pt>
                <c:pt idx="1778">
                  <c:v>3.7537E-3</c:v>
                </c:pt>
                <c:pt idx="1779">
                  <c:v>3.7499999999999999E-3</c:v>
                </c:pt>
                <c:pt idx="1780">
                  <c:v>3.7463000000000002E-3</c:v>
                </c:pt>
                <c:pt idx="1781">
                  <c:v>3.7425000000000002E-3</c:v>
                </c:pt>
                <c:pt idx="1782">
                  <c:v>3.7388E-3</c:v>
                </c:pt>
                <c:pt idx="1783">
                  <c:v>3.7352000000000002E-3</c:v>
                </c:pt>
                <c:pt idx="1784">
                  <c:v>3.7315E-3</c:v>
                </c:pt>
                <c:pt idx="1785">
                  <c:v>3.7277999999999999E-3</c:v>
                </c:pt>
                <c:pt idx="1786">
                  <c:v>3.7241000000000002E-3</c:v>
                </c:pt>
                <c:pt idx="1787">
                  <c:v>3.7204999999999998E-3</c:v>
                </c:pt>
                <c:pt idx="1788">
                  <c:v>3.7168000000000001E-3</c:v>
                </c:pt>
                <c:pt idx="1789">
                  <c:v>3.7131999999999998E-3</c:v>
                </c:pt>
                <c:pt idx="1790">
                  <c:v>3.7096E-3</c:v>
                </c:pt>
                <c:pt idx="1791">
                  <c:v>3.7060000000000001E-3</c:v>
                </c:pt>
                <c:pt idx="1792">
                  <c:v>3.7023999999999998E-3</c:v>
                </c:pt>
                <c:pt idx="1793">
                  <c:v>3.6987999999999999E-3</c:v>
                </c:pt>
                <c:pt idx="1794">
                  <c:v>3.6952E-3</c:v>
                </c:pt>
                <c:pt idx="1795">
                  <c:v>3.6916000000000002E-3</c:v>
                </c:pt>
                <c:pt idx="1796">
                  <c:v>3.6879999999999999E-3</c:v>
                </c:pt>
                <c:pt idx="1797">
                  <c:v>3.6844999999999998E-3</c:v>
                </c:pt>
                <c:pt idx="1798">
                  <c:v>3.6809E-3</c:v>
                </c:pt>
                <c:pt idx="1799">
                  <c:v>3.6773000000000001E-3</c:v>
                </c:pt>
                <c:pt idx="1800">
                  <c:v>3.6738000000000001E-3</c:v>
                </c:pt>
                <c:pt idx="1801">
                  <c:v>3.6703E-3</c:v>
                </c:pt>
                <c:pt idx="1802">
                  <c:v>3.6668E-3</c:v>
                </c:pt>
                <c:pt idx="1803">
                  <c:v>3.6632000000000001E-3</c:v>
                </c:pt>
                <c:pt idx="1804">
                  <c:v>3.6597000000000001E-3</c:v>
                </c:pt>
                <c:pt idx="1805">
                  <c:v>3.6562000000000001E-3</c:v>
                </c:pt>
                <c:pt idx="1806">
                  <c:v>3.6527999999999999E-3</c:v>
                </c:pt>
                <c:pt idx="1807">
                  <c:v>3.6492999999999999E-3</c:v>
                </c:pt>
                <c:pt idx="1808">
                  <c:v>3.6457999999999998E-3</c:v>
                </c:pt>
                <c:pt idx="1809">
                  <c:v>3.6424000000000001E-3</c:v>
                </c:pt>
                <c:pt idx="1810">
                  <c:v>3.6389E-3</c:v>
                </c:pt>
                <c:pt idx="1811">
                  <c:v>3.6354999999999998E-3</c:v>
                </c:pt>
                <c:pt idx="1812">
                  <c:v>3.6319999999999998E-3</c:v>
                </c:pt>
                <c:pt idx="1813">
                  <c:v>3.6286000000000001E-3</c:v>
                </c:pt>
                <c:pt idx="1814">
                  <c:v>3.6251999999999999E-3</c:v>
                </c:pt>
                <c:pt idx="1815">
                  <c:v>3.6218000000000001E-3</c:v>
                </c:pt>
                <c:pt idx="1816">
                  <c:v>3.6183999999999999E-3</c:v>
                </c:pt>
                <c:pt idx="1817">
                  <c:v>3.6150000000000002E-3</c:v>
                </c:pt>
                <c:pt idx="1818">
                  <c:v>3.6116E-3</c:v>
                </c:pt>
                <c:pt idx="1819">
                  <c:v>3.6082000000000002E-3</c:v>
                </c:pt>
                <c:pt idx="1820">
                  <c:v>3.6048E-3</c:v>
                </c:pt>
                <c:pt idx="1821">
                  <c:v>3.6015000000000001E-3</c:v>
                </c:pt>
                <c:pt idx="1822">
                  <c:v>3.5980999999999999E-3</c:v>
                </c:pt>
                <c:pt idx="1823">
                  <c:v>3.5948E-3</c:v>
                </c:pt>
                <c:pt idx="1824">
                  <c:v>3.5913999999999998E-3</c:v>
                </c:pt>
                <c:pt idx="1825">
                  <c:v>3.5880999999999999E-3</c:v>
                </c:pt>
                <c:pt idx="1826">
                  <c:v>3.5848E-3</c:v>
                </c:pt>
                <c:pt idx="1827">
                  <c:v>3.5815E-3</c:v>
                </c:pt>
                <c:pt idx="1828">
                  <c:v>3.5782000000000001E-3</c:v>
                </c:pt>
                <c:pt idx="1829">
                  <c:v>3.5749000000000002E-3</c:v>
                </c:pt>
                <c:pt idx="1830">
                  <c:v>3.5715999999999999E-3</c:v>
                </c:pt>
                <c:pt idx="1831">
                  <c:v>3.5682999999999999E-3</c:v>
                </c:pt>
                <c:pt idx="1832">
                  <c:v>3.565E-3</c:v>
                </c:pt>
                <c:pt idx="1833">
                  <c:v>3.5617999999999999E-3</c:v>
                </c:pt>
                <c:pt idx="1834">
                  <c:v>3.5585E-3</c:v>
                </c:pt>
                <c:pt idx="1835">
                  <c:v>3.5553E-3</c:v>
                </c:pt>
                <c:pt idx="1836">
                  <c:v>3.552E-3</c:v>
                </c:pt>
                <c:pt idx="1837">
                  <c:v>3.5488E-3</c:v>
                </c:pt>
                <c:pt idx="1838">
                  <c:v>3.5455999999999999E-3</c:v>
                </c:pt>
                <c:pt idx="1839">
                  <c:v>3.5423999999999998E-3</c:v>
                </c:pt>
                <c:pt idx="1840">
                  <c:v>3.5390999999999999E-3</c:v>
                </c:pt>
                <c:pt idx="1841">
                  <c:v>3.5358999999999998E-3</c:v>
                </c:pt>
                <c:pt idx="1842">
                  <c:v>3.5327000000000002E-3</c:v>
                </c:pt>
                <c:pt idx="1843">
                  <c:v>3.5295999999999999E-3</c:v>
                </c:pt>
                <c:pt idx="1844">
                  <c:v>3.5263999999999998E-3</c:v>
                </c:pt>
                <c:pt idx="1845">
                  <c:v>3.5232000000000002E-3</c:v>
                </c:pt>
                <c:pt idx="1846">
                  <c:v>3.5201E-3</c:v>
                </c:pt>
                <c:pt idx="1847">
                  <c:v>3.5168999999999999E-3</c:v>
                </c:pt>
                <c:pt idx="1848">
                  <c:v>3.5138000000000001E-3</c:v>
                </c:pt>
                <c:pt idx="1849">
                  <c:v>3.5106E-3</c:v>
                </c:pt>
                <c:pt idx="1850">
                  <c:v>3.5075000000000002E-3</c:v>
                </c:pt>
                <c:pt idx="1851">
                  <c:v>3.5044E-3</c:v>
                </c:pt>
                <c:pt idx="1852">
                  <c:v>3.5011999999999999E-3</c:v>
                </c:pt>
                <c:pt idx="1853">
                  <c:v>3.4981000000000001E-3</c:v>
                </c:pt>
                <c:pt idx="1854">
                  <c:v>3.4949999999999998E-3</c:v>
                </c:pt>
                <c:pt idx="1855">
                  <c:v>3.4919E-3</c:v>
                </c:pt>
                <c:pt idx="1856">
                  <c:v>3.4889000000000001E-3</c:v>
                </c:pt>
                <c:pt idx="1857">
                  <c:v>3.4857999999999998E-3</c:v>
                </c:pt>
                <c:pt idx="1858">
                  <c:v>3.4827E-3</c:v>
                </c:pt>
                <c:pt idx="1859">
                  <c:v>3.4795999999999998E-3</c:v>
                </c:pt>
                <c:pt idx="1860">
                  <c:v>3.4765999999999998E-3</c:v>
                </c:pt>
                <c:pt idx="1861">
                  <c:v>3.4735E-3</c:v>
                </c:pt>
                <c:pt idx="1862">
                  <c:v>3.4705000000000001E-3</c:v>
                </c:pt>
                <c:pt idx="1863">
                  <c:v>3.4675000000000001E-3</c:v>
                </c:pt>
                <c:pt idx="1864">
                  <c:v>3.4643999999999999E-3</c:v>
                </c:pt>
                <c:pt idx="1865">
                  <c:v>3.4613999999999999E-3</c:v>
                </c:pt>
                <c:pt idx="1866">
                  <c:v>3.4583999999999999E-3</c:v>
                </c:pt>
                <c:pt idx="1867">
                  <c:v>3.4554E-3</c:v>
                </c:pt>
                <c:pt idx="1868">
                  <c:v>3.4524E-3</c:v>
                </c:pt>
                <c:pt idx="1869">
                  <c:v>3.4494E-3</c:v>
                </c:pt>
                <c:pt idx="1870">
                  <c:v>3.4464000000000001E-3</c:v>
                </c:pt>
                <c:pt idx="1871">
                  <c:v>3.4434999999999999E-3</c:v>
                </c:pt>
                <c:pt idx="1872">
                  <c:v>3.4405E-3</c:v>
                </c:pt>
                <c:pt idx="1873">
                  <c:v>3.4375E-3</c:v>
                </c:pt>
                <c:pt idx="1874">
                  <c:v>3.4345999999999999E-3</c:v>
                </c:pt>
                <c:pt idx="1875">
                  <c:v>3.4315999999999999E-3</c:v>
                </c:pt>
                <c:pt idx="1876">
                  <c:v>3.4286999999999998E-3</c:v>
                </c:pt>
                <c:pt idx="1877">
                  <c:v>3.4258000000000001E-3</c:v>
                </c:pt>
                <c:pt idx="1878">
                  <c:v>3.4228000000000001E-3</c:v>
                </c:pt>
                <c:pt idx="1879">
                  <c:v>3.4199E-3</c:v>
                </c:pt>
                <c:pt idx="1880">
                  <c:v>3.4169999999999999E-3</c:v>
                </c:pt>
                <c:pt idx="1881">
                  <c:v>3.4141000000000002E-3</c:v>
                </c:pt>
                <c:pt idx="1882">
                  <c:v>3.4112000000000001E-3</c:v>
                </c:pt>
                <c:pt idx="1883">
                  <c:v>3.4083E-3</c:v>
                </c:pt>
                <c:pt idx="1884">
                  <c:v>3.4053999999999998E-3</c:v>
                </c:pt>
                <c:pt idx="1885">
                  <c:v>3.4026E-3</c:v>
                </c:pt>
                <c:pt idx="1886">
                  <c:v>3.3996999999999999E-3</c:v>
                </c:pt>
                <c:pt idx="1887">
                  <c:v>3.3968000000000002E-3</c:v>
                </c:pt>
                <c:pt idx="1888">
                  <c:v>3.3939999999999999E-3</c:v>
                </c:pt>
                <c:pt idx="1889">
                  <c:v>3.3911000000000002E-3</c:v>
                </c:pt>
                <c:pt idx="1890">
                  <c:v>3.3882999999999999E-3</c:v>
                </c:pt>
                <c:pt idx="1891">
                  <c:v>3.3855000000000001E-3</c:v>
                </c:pt>
                <c:pt idx="1892">
                  <c:v>3.3825999999999999E-3</c:v>
                </c:pt>
                <c:pt idx="1893">
                  <c:v>3.3798000000000001E-3</c:v>
                </c:pt>
                <c:pt idx="1894">
                  <c:v>3.3769999999999998E-3</c:v>
                </c:pt>
                <c:pt idx="1895">
                  <c:v>3.3741999999999999E-3</c:v>
                </c:pt>
                <c:pt idx="1896">
                  <c:v>3.3714000000000001E-3</c:v>
                </c:pt>
                <c:pt idx="1897">
                  <c:v>3.3685999999999998E-3</c:v>
                </c:pt>
                <c:pt idx="1898">
                  <c:v>3.3658E-3</c:v>
                </c:pt>
              </c:numCache>
            </c:numRef>
          </c:yVal>
          <c:smooth val="0"/>
        </c:ser>
        <c:ser>
          <c:idx val="1"/>
          <c:order val="1"/>
          <c:tx>
            <c:v>Nitrate_Exp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EXP!$A$2:$A$9</c:f>
              <c:numCache>
                <c:formatCode>0.00E+00</c:formatCode>
                <c:ptCount val="8"/>
                <c:pt idx="0">
                  <c:v>0</c:v>
                </c:pt>
                <c:pt idx="1">
                  <c:v>2.2000000000000002</c:v>
                </c:pt>
                <c:pt idx="2">
                  <c:v>5</c:v>
                </c:pt>
                <c:pt idx="3">
                  <c:v>10</c:v>
                </c:pt>
                <c:pt idx="4">
                  <c:v>14.5</c:v>
                </c:pt>
                <c:pt idx="5">
                  <c:v>25</c:v>
                </c:pt>
                <c:pt idx="6">
                  <c:v>41</c:v>
                </c:pt>
                <c:pt idx="7">
                  <c:v>88</c:v>
                </c:pt>
              </c:numCache>
            </c:numRef>
          </c:xVal>
          <c:yVal>
            <c:numRef>
              <c:f>EXP!$B$2:$B$9</c:f>
              <c:numCache>
                <c:formatCode>0.00E+00</c:formatCode>
                <c:ptCount val="8"/>
                <c:pt idx="0">
                  <c:v>6.7799999999999999E-2</c:v>
                </c:pt>
                <c:pt idx="1">
                  <c:v>7.0400000000000004E-2</c:v>
                </c:pt>
                <c:pt idx="2">
                  <c:v>7.2300000000000003E-2</c:v>
                </c:pt>
                <c:pt idx="3">
                  <c:v>6.83E-2</c:v>
                </c:pt>
                <c:pt idx="4">
                  <c:v>5.96E-2</c:v>
                </c:pt>
                <c:pt idx="5">
                  <c:v>3.2800000000000003E-2</c:v>
                </c:pt>
                <c:pt idx="6">
                  <c:v>1.4E-2</c:v>
                </c:pt>
                <c:pt idx="7">
                  <c:v>8.2100000000000003E-3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681600"/>
        <c:axId val="565673200"/>
      </c:scatterChart>
      <c:valAx>
        <c:axId val="56568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673200"/>
        <c:crosses val="autoZero"/>
        <c:crossBetween val="midCat"/>
      </c:valAx>
      <c:valAx>
        <c:axId val="565673200"/>
        <c:scaling>
          <c:orientation val="minMax"/>
          <c:min val="0"/>
        </c:scaling>
        <c:delete val="0"/>
        <c:axPos val="l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681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894523389213248"/>
          <c:y val="0.10910562580856137"/>
          <c:w val="0.26568342431469111"/>
          <c:h val="0.168807170380298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11</xdr:row>
      <xdr:rowOff>142875</xdr:rowOff>
    </xdr:from>
    <xdr:to>
      <xdr:col>19</xdr:col>
      <xdr:colOff>176213</xdr:colOff>
      <xdr:row>24</xdr:row>
      <xdr:rowOff>133350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295275</xdr:colOff>
      <xdr:row>10</xdr:row>
      <xdr:rowOff>123825</xdr:rowOff>
    </xdr:from>
    <xdr:to>
      <xdr:col>9</xdr:col>
      <xdr:colOff>561975</xdr:colOff>
      <xdr:row>29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204787</xdr:colOff>
      <xdr:row>8</xdr:row>
      <xdr:rowOff>42862</xdr:rowOff>
    </xdr:from>
    <xdr:to>
      <xdr:col>14</xdr:col>
      <xdr:colOff>509587</xdr:colOff>
      <xdr:row>22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6006160" y="173182"/>
    <xdr:ext cx="7257931" cy="3424625"/>
    <xdr:graphicFrame macro="">
      <xdr:nvGraphicFramePr>
        <xdr:cNvPr id="2" name="Chart 5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5986123" y="3798455"/>
    <xdr:ext cx="5375277" cy="4178300"/>
    <xdr:graphicFrame macro="">
      <xdr:nvGraphicFramePr>
        <xdr:cNvPr id="3" name="Chart 3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247650</xdr:colOff>
      <xdr:row>11</xdr:row>
      <xdr:rowOff>57150</xdr:rowOff>
    </xdr:from>
    <xdr:to>
      <xdr:col>17</xdr:col>
      <xdr:colOff>256640</xdr:colOff>
      <xdr:row>23</xdr:row>
      <xdr:rowOff>152102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2152650"/>
          <a:ext cx="4276190" cy="2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selection activeCell="I2" sqref="I2"/>
    </sheetView>
  </sheetViews>
  <sheetFormatPr defaultColWidth="11.42578125" defaultRowHeight="12" x14ac:dyDescent="0.2"/>
  <cols>
    <col min="1" max="16384" width="11.42578125" style="13"/>
  </cols>
  <sheetData>
    <row r="1" spans="1:19" x14ac:dyDescent="0.2">
      <c r="A1" s="9" t="s">
        <v>112</v>
      </c>
      <c r="B1" s="9" t="s">
        <v>113</v>
      </c>
      <c r="C1" s="9" t="s">
        <v>114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10" t="s">
        <v>120</v>
      </c>
      <c r="J1" s="11" t="s">
        <v>121</v>
      </c>
      <c r="K1" s="10" t="s">
        <v>122</v>
      </c>
      <c r="L1" s="11" t="s">
        <v>123</v>
      </c>
      <c r="M1" s="10" t="s">
        <v>124</v>
      </c>
      <c r="N1" s="11" t="s">
        <v>125</v>
      </c>
      <c r="O1" s="9" t="s">
        <v>126</v>
      </c>
      <c r="P1" s="9" t="s">
        <v>127</v>
      </c>
      <c r="Q1" s="9"/>
      <c r="R1" s="12" t="s">
        <v>17</v>
      </c>
      <c r="S1" s="12" t="s">
        <v>128</v>
      </c>
    </row>
    <row r="2" spans="1:19" x14ac:dyDescent="0.2">
      <c r="A2" s="14">
        <v>0</v>
      </c>
      <c r="B2" s="14">
        <v>6.7799999999999999E-2</v>
      </c>
      <c r="C2" s="14">
        <v>4.6999999999999999E-4</v>
      </c>
      <c r="D2" s="14">
        <v>7.1499999999999994E-2</v>
      </c>
      <c r="E2" s="14">
        <v>6.9999999999999999E-4</v>
      </c>
      <c r="F2" s="14">
        <v>7.3</v>
      </c>
      <c r="G2" s="14">
        <v>1E-3</v>
      </c>
      <c r="H2" s="14">
        <v>1E-3</v>
      </c>
      <c r="I2" s="15">
        <v>3.9999999999999998E-6</v>
      </c>
      <c r="J2" s="16">
        <v>5.9999999999999997E-7</v>
      </c>
      <c r="K2" s="15">
        <v>0</v>
      </c>
      <c r="L2" s="16">
        <v>0</v>
      </c>
      <c r="M2" s="15">
        <v>0</v>
      </c>
      <c r="N2" s="16">
        <v>0</v>
      </c>
      <c r="O2" s="14">
        <v>3.8199999999999998E-6</v>
      </c>
      <c r="P2" s="14">
        <v>0</v>
      </c>
      <c r="Q2" s="14"/>
      <c r="R2" s="17">
        <f>SUM(I2,K2,M2)</f>
        <v>3.9999999999999998E-6</v>
      </c>
      <c r="S2" s="17">
        <f t="shared" ref="S2:S8" si="0">R2/$R$2</f>
        <v>1</v>
      </c>
    </row>
    <row r="3" spans="1:19" x14ac:dyDescent="0.2">
      <c r="A3" s="14">
        <v>2.2000000000000002</v>
      </c>
      <c r="B3" s="14">
        <v>7.0400000000000004E-2</v>
      </c>
      <c r="C3" s="14">
        <v>6.9999999999999999E-4</v>
      </c>
      <c r="D3" s="14">
        <v>7.1900000000000006E-2</v>
      </c>
      <c r="E3" s="14">
        <v>1.1999999999999999E-3</v>
      </c>
      <c r="F3" s="14">
        <v>8</v>
      </c>
      <c r="G3" s="14">
        <v>1E-3</v>
      </c>
      <c r="H3" s="14">
        <v>1E-3</v>
      </c>
      <c r="I3" s="15">
        <v>3.4999999999999999E-6</v>
      </c>
      <c r="J3" s="16">
        <v>5.2499999999999995E-7</v>
      </c>
      <c r="K3" s="15">
        <v>2.9999999999999997E-8</v>
      </c>
      <c r="L3" s="16">
        <v>4.4999999999999998E-9</v>
      </c>
      <c r="M3" s="15">
        <v>1.4E-8</v>
      </c>
      <c r="N3" s="16">
        <v>2.1000000000000002E-9</v>
      </c>
      <c r="O3" s="14">
        <v>3.8199999999999998E-6</v>
      </c>
      <c r="P3" s="14">
        <v>1.9500000000000001E-7</v>
      </c>
      <c r="R3" s="17">
        <f t="shared" ref="R3:R9" si="1">SUM(I3,K3,M3)</f>
        <v>3.5440000000000003E-6</v>
      </c>
      <c r="S3" s="18">
        <f t="shared" si="0"/>
        <v>0.88600000000000012</v>
      </c>
    </row>
    <row r="4" spans="1:19" x14ac:dyDescent="0.2">
      <c r="A4" s="14">
        <v>5</v>
      </c>
      <c r="B4" s="14">
        <v>7.2300000000000003E-2</v>
      </c>
      <c r="C4" s="14">
        <v>1.6299999999999999E-3</v>
      </c>
      <c r="D4" s="14">
        <v>7.17E-2</v>
      </c>
      <c r="E4" s="14">
        <v>1.6999999999999999E-3</v>
      </c>
      <c r="F4" s="14">
        <v>7.6</v>
      </c>
      <c r="G4" s="14">
        <v>1E-3</v>
      </c>
      <c r="H4" s="14">
        <v>1E-3</v>
      </c>
      <c r="I4" s="15">
        <v>4.2E-7</v>
      </c>
      <c r="J4" s="16">
        <v>6.2999999999999995E-8</v>
      </c>
      <c r="K4" s="15">
        <v>1.48E-7</v>
      </c>
      <c r="L4" s="16">
        <v>2.22E-8</v>
      </c>
      <c r="M4" s="15">
        <v>1.2300000000000001E-6</v>
      </c>
      <c r="N4" s="16">
        <v>1.85E-7</v>
      </c>
      <c r="O4" s="14">
        <v>4.0300000000000004E-6</v>
      </c>
      <c r="P4" s="14">
        <v>6.8499999999999998E-8</v>
      </c>
      <c r="R4" s="17">
        <f t="shared" si="1"/>
        <v>1.798E-6</v>
      </c>
      <c r="S4" s="18">
        <f t="shared" si="0"/>
        <v>0.44950000000000001</v>
      </c>
    </row>
    <row r="5" spans="1:19" x14ac:dyDescent="0.2">
      <c r="A5" s="14">
        <v>10</v>
      </c>
      <c r="B5" s="14">
        <v>6.83E-2</v>
      </c>
      <c r="C5" s="14">
        <v>2.5500000000000002E-3</v>
      </c>
      <c r="D5" s="14">
        <v>5.9700000000000003E-2</v>
      </c>
      <c r="E5" s="14">
        <v>3.7000000000000002E-3</v>
      </c>
      <c r="F5" s="14">
        <v>7.8</v>
      </c>
      <c r="G5" s="14">
        <v>2E-3</v>
      </c>
      <c r="H5" s="14">
        <v>1E-3</v>
      </c>
      <c r="I5" s="15">
        <v>1.2E-8</v>
      </c>
      <c r="J5" s="16">
        <v>1.8E-9</v>
      </c>
      <c r="K5" s="15">
        <v>6.1999999999999999E-7</v>
      </c>
      <c r="L5" s="16">
        <v>9.2999999999999999E-8</v>
      </c>
      <c r="M5" s="15">
        <v>1.3999999999999999E-6</v>
      </c>
      <c r="N5" s="16">
        <v>2.1E-7</v>
      </c>
      <c r="O5" s="14">
        <v>3.8399999999999997E-6</v>
      </c>
      <c r="P5" s="14">
        <v>3.7300000000000002E-7</v>
      </c>
      <c r="R5" s="17">
        <f t="shared" si="1"/>
        <v>2.0319999999999998E-6</v>
      </c>
      <c r="S5" s="18">
        <f t="shared" si="0"/>
        <v>0.50800000000000001</v>
      </c>
    </row>
    <row r="6" spans="1:19" x14ac:dyDescent="0.2">
      <c r="A6" s="14">
        <v>14.5</v>
      </c>
      <c r="B6" s="14">
        <v>5.96E-2</v>
      </c>
      <c r="C6" s="14">
        <v>3.2499999999999999E-3</v>
      </c>
      <c r="D6" s="14">
        <v>6.0699999999999997E-2</v>
      </c>
      <c r="E6" s="14">
        <v>3.8999999999999998E-3</v>
      </c>
      <c r="F6" s="14">
        <v>7.9</v>
      </c>
      <c r="G6" s="14">
        <v>2E-3</v>
      </c>
      <c r="H6" s="14">
        <v>1E-3</v>
      </c>
      <c r="I6" s="15">
        <v>4.0000000000000001E-8</v>
      </c>
      <c r="J6" s="16">
        <v>6E-9</v>
      </c>
      <c r="K6" s="15">
        <v>6.9999999999999997E-7</v>
      </c>
      <c r="L6" s="16">
        <v>1.05E-7</v>
      </c>
      <c r="M6" s="15">
        <v>1.08E-6</v>
      </c>
      <c r="N6" s="16">
        <v>1.6199999999999999E-7</v>
      </c>
      <c r="O6" s="14">
        <v>4.0600000000000001E-6</v>
      </c>
      <c r="P6" s="14">
        <v>3.77E-8</v>
      </c>
      <c r="R6" s="17">
        <f t="shared" si="1"/>
        <v>1.8199999999999999E-6</v>
      </c>
      <c r="S6" s="18">
        <f t="shared" si="0"/>
        <v>0.45500000000000002</v>
      </c>
    </row>
    <row r="7" spans="1:19" x14ac:dyDescent="0.2">
      <c r="A7" s="14">
        <v>25</v>
      </c>
      <c r="B7" s="14">
        <v>3.2800000000000003E-2</v>
      </c>
      <c r="C7" s="14">
        <v>5.5599999999999998E-3</v>
      </c>
      <c r="D7" s="14">
        <v>4.2999999999999997E-2</v>
      </c>
      <c r="E7" s="14">
        <v>1.24E-2</v>
      </c>
      <c r="F7" s="14">
        <v>7.8</v>
      </c>
      <c r="G7" s="14">
        <v>1E-3</v>
      </c>
      <c r="H7" s="14">
        <v>1E-3</v>
      </c>
      <c r="I7" s="15">
        <v>2.3000000000000001E-8</v>
      </c>
      <c r="J7" s="16">
        <v>3.4499999999999999E-9</v>
      </c>
      <c r="K7" s="15">
        <v>1.02E-6</v>
      </c>
      <c r="L7" s="16">
        <v>1.5300000000000001E-7</v>
      </c>
      <c r="M7" s="15">
        <v>6.5899999999999996E-7</v>
      </c>
      <c r="N7" s="16">
        <v>9.8900000000000005E-8</v>
      </c>
      <c r="O7" s="14">
        <v>3.98E-6</v>
      </c>
      <c r="P7" s="14">
        <v>2.3999999999999998E-7</v>
      </c>
      <c r="R7" s="17">
        <f t="shared" si="1"/>
        <v>1.702E-6</v>
      </c>
      <c r="S7" s="18">
        <f t="shared" si="0"/>
        <v>0.42549999999999999</v>
      </c>
    </row>
    <row r="8" spans="1:19" x14ac:dyDescent="0.2">
      <c r="A8" s="14">
        <v>41</v>
      </c>
      <c r="B8" s="14">
        <v>1.4E-2</v>
      </c>
      <c r="C8" s="14">
        <v>8.4399999999999996E-3</v>
      </c>
      <c r="D8" s="14">
        <v>2.9399999999999999E-2</v>
      </c>
      <c r="E8" s="14">
        <v>1.7500000000000002E-2</v>
      </c>
      <c r="F8" s="14">
        <v>8.1999999999999993</v>
      </c>
      <c r="G8" s="14">
        <v>1E-3</v>
      </c>
      <c r="H8" s="14">
        <v>1E-3</v>
      </c>
      <c r="I8" s="15">
        <v>7.4999999999999993E-9</v>
      </c>
      <c r="J8" s="16">
        <v>1.13E-9</v>
      </c>
      <c r="K8" s="15">
        <v>1.02E-6</v>
      </c>
      <c r="L8" s="16">
        <v>1.5300000000000001E-7</v>
      </c>
      <c r="M8" s="15">
        <v>4.7999999999999996E-7</v>
      </c>
      <c r="N8" s="16">
        <v>7.1999999999999996E-8</v>
      </c>
      <c r="O8" s="14">
        <v>3.7400000000000002E-6</v>
      </c>
      <c r="P8" s="14">
        <v>4.8699999999999995E-7</v>
      </c>
      <c r="R8" s="17">
        <f t="shared" si="1"/>
        <v>1.5075E-6</v>
      </c>
      <c r="S8" s="18">
        <f t="shared" si="0"/>
        <v>0.37687500000000002</v>
      </c>
    </row>
    <row r="9" spans="1:19" x14ac:dyDescent="0.2">
      <c r="A9" s="14">
        <v>88</v>
      </c>
      <c r="B9" s="14">
        <v>8.2100000000000003E-3</v>
      </c>
      <c r="C9" s="14">
        <v>4.75E-4</v>
      </c>
      <c r="D9" s="14">
        <v>2.7199999999999998E-2</v>
      </c>
      <c r="E9" s="14">
        <v>2.1999999999999999E-2</v>
      </c>
      <c r="F9" s="14">
        <v>8.3000000000000007</v>
      </c>
      <c r="G9" s="14">
        <v>1E-3</v>
      </c>
      <c r="H9" s="14">
        <v>1E-3</v>
      </c>
      <c r="I9" s="15">
        <v>2.1399999999999998E-6</v>
      </c>
      <c r="J9" s="16">
        <v>3.2000000000000001E-7</v>
      </c>
      <c r="K9" s="15">
        <v>1.4E-8</v>
      </c>
      <c r="L9" s="16">
        <v>2.1000000000000002E-9</v>
      </c>
      <c r="M9" s="15">
        <v>0</v>
      </c>
      <c r="N9" s="16">
        <v>0</v>
      </c>
      <c r="O9" s="14">
        <v>3.8399999999999997E-6</v>
      </c>
      <c r="P9" s="14">
        <v>2.1400000000000001E-7</v>
      </c>
      <c r="R9" s="17">
        <f t="shared" si="1"/>
        <v>2.154E-6</v>
      </c>
      <c r="S9" s="17">
        <f>R9/$R$2</f>
        <v>0.53850000000000009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5"/>
  <sheetViews>
    <sheetView zoomScaleNormal="100" workbookViewId="0">
      <selection activeCell="B9" sqref="B9"/>
    </sheetView>
  </sheetViews>
  <sheetFormatPr defaultColWidth="9.140625" defaultRowHeight="15" x14ac:dyDescent="0.25"/>
  <sheetData>
    <row r="1" spans="1:7" x14ac:dyDescent="0.25">
      <c r="A1" s="30" t="s">
        <v>25</v>
      </c>
      <c r="B1" s="30" t="s">
        <v>26</v>
      </c>
      <c r="C1" s="30" t="s">
        <v>4</v>
      </c>
      <c r="D1" s="28"/>
    </row>
    <row r="2" spans="1:7" ht="15.75" thickBot="1" x14ac:dyDescent="0.3">
      <c r="A2" s="28">
        <v>2.0940990861504801E-2</v>
      </c>
      <c r="B2" s="29">
        <v>3.4057694407490801E-6</v>
      </c>
      <c r="C2" s="28">
        <v>0</v>
      </c>
      <c r="D2" s="29">
        <f>SUM(B2:C2)</f>
        <v>3.4057694407490801E-6</v>
      </c>
    </row>
    <row r="3" spans="1:7" x14ac:dyDescent="0.25">
      <c r="A3" s="28">
        <v>2.9611029033271548</v>
      </c>
      <c r="B3" s="29">
        <v>3.39286947840832E-6</v>
      </c>
      <c r="C3" s="29">
        <v>3.4230915788136801E-8</v>
      </c>
      <c r="D3" s="29">
        <f t="shared" ref="D3:D8" si="0">SUM(B3:C3)</f>
        <v>3.4271003941964567E-6</v>
      </c>
      <c r="F3" s="19" t="s">
        <v>28</v>
      </c>
      <c r="G3" s="31">
        <v>0.3</v>
      </c>
    </row>
    <row r="4" spans="1:7" ht="15.75" thickBot="1" x14ac:dyDescent="0.3">
      <c r="A4" s="28">
        <v>6.9360695336715956</v>
      </c>
      <c r="B4" s="29">
        <v>3.2186341950392299E-6</v>
      </c>
      <c r="C4" s="29">
        <v>1.29225801707367E-7</v>
      </c>
      <c r="D4" s="29">
        <f t="shared" si="0"/>
        <v>3.3478599967465968E-6</v>
      </c>
      <c r="F4" s="23" t="s">
        <v>30</v>
      </c>
      <c r="G4" s="32">
        <v>11.5</v>
      </c>
    </row>
    <row r="5" spans="1:7" x14ac:dyDescent="0.25">
      <c r="A5" s="28">
        <v>14.03927703164935</v>
      </c>
      <c r="B5" s="29">
        <v>1.12001154289254E-6</v>
      </c>
      <c r="C5" s="29">
        <v>1.2142343028917401E-6</v>
      </c>
      <c r="D5" s="29">
        <f t="shared" si="0"/>
        <v>2.3342458457842803E-6</v>
      </c>
    </row>
    <row r="6" spans="1:7" x14ac:dyDescent="0.25">
      <c r="A6" s="28">
        <v>20.750260160753701</v>
      </c>
      <c r="B6" s="29">
        <v>1.52069809987944E-7</v>
      </c>
      <c r="C6" s="29">
        <v>2.3664879523844501E-6</v>
      </c>
      <c r="D6" s="29">
        <f t="shared" si="0"/>
        <v>2.518557762372394E-6</v>
      </c>
    </row>
    <row r="7" spans="1:7" x14ac:dyDescent="0.25">
      <c r="A7" s="28">
        <v>27.927560550047751</v>
      </c>
      <c r="B7" s="29">
        <v>0</v>
      </c>
      <c r="C7" s="29">
        <v>2.73133694772941E-6</v>
      </c>
      <c r="D7" s="29">
        <f t="shared" si="0"/>
        <v>2.73133694772941E-6</v>
      </c>
    </row>
    <row r="8" spans="1:7" x14ac:dyDescent="0.25">
      <c r="A8" s="28">
        <v>34.902899316117001</v>
      </c>
      <c r="B8" s="28">
        <v>0</v>
      </c>
      <c r="C8" s="29">
        <v>2.75959363670194E-6</v>
      </c>
      <c r="D8" s="29">
        <f t="shared" si="0"/>
        <v>2.75959363670194E-6</v>
      </c>
    </row>
    <row r="10" spans="1:7" x14ac:dyDescent="0.25">
      <c r="A10" s="8"/>
      <c r="B10" s="8" t="s">
        <v>27</v>
      </c>
      <c r="C10" s="8" t="s">
        <v>15</v>
      </c>
      <c r="D10" s="8" t="s">
        <v>4</v>
      </c>
      <c r="E10" s="8" t="s">
        <v>29</v>
      </c>
      <c r="F10" s="8"/>
    </row>
    <row r="11" spans="1:7" x14ac:dyDescent="0.25">
      <c r="A11">
        <v>0</v>
      </c>
      <c r="C11" s="1">
        <v>2.9000000000000002E-6</v>
      </c>
      <c r="D11">
        <f>C2</f>
        <v>0</v>
      </c>
      <c r="E11">
        <f>SUM(C11:D11)</f>
        <v>2.9000000000000002E-6</v>
      </c>
      <c r="F11">
        <f>D11*0.85</f>
        <v>0</v>
      </c>
    </row>
    <row r="12" spans="1:7" x14ac:dyDescent="0.25">
      <c r="A12">
        <v>0.1</v>
      </c>
      <c r="B12">
        <f>IF(A11&lt;$G$4,0,-$G$3*(C11)*(A12-A11))</f>
        <v>0</v>
      </c>
      <c r="C12">
        <f>C11+B12</f>
        <v>2.9000000000000002E-6</v>
      </c>
      <c r="D12">
        <f>(D11-B12)*0.8</f>
        <v>0</v>
      </c>
      <c r="E12">
        <f>SUM(C12:D12)</f>
        <v>2.9000000000000002E-6</v>
      </c>
      <c r="F12">
        <f t="shared" ref="F12:F75" si="1">D12*0.85</f>
        <v>0</v>
      </c>
    </row>
    <row r="13" spans="1:7" x14ac:dyDescent="0.25">
      <c r="A13">
        <v>0.2</v>
      </c>
      <c r="B13">
        <f t="shared" ref="B13:B76" si="2">IF(A12&lt;$G$4,0,-$G$3*(C12)*(A13-A12))</f>
        <v>0</v>
      </c>
      <c r="C13">
        <f t="shared" ref="C13:C76" si="3">C12+B13</f>
        <v>2.9000000000000002E-6</v>
      </c>
      <c r="D13">
        <f t="shared" ref="D13:D76" si="4">D12-B13</f>
        <v>0</v>
      </c>
      <c r="E13">
        <f t="shared" ref="E13:E76" si="5">SUM(C13:D13)</f>
        <v>2.9000000000000002E-6</v>
      </c>
      <c r="F13">
        <f t="shared" si="1"/>
        <v>0</v>
      </c>
    </row>
    <row r="14" spans="1:7" x14ac:dyDescent="0.25">
      <c r="A14">
        <v>0.3</v>
      </c>
      <c r="B14">
        <f t="shared" si="2"/>
        <v>0</v>
      </c>
      <c r="C14">
        <f t="shared" si="3"/>
        <v>2.9000000000000002E-6</v>
      </c>
      <c r="D14">
        <f t="shared" si="4"/>
        <v>0</v>
      </c>
      <c r="E14">
        <f t="shared" si="5"/>
        <v>2.9000000000000002E-6</v>
      </c>
      <c r="F14">
        <f t="shared" si="1"/>
        <v>0</v>
      </c>
    </row>
    <row r="15" spans="1:7" x14ac:dyDescent="0.25">
      <c r="A15">
        <v>0.4</v>
      </c>
      <c r="B15">
        <f t="shared" si="2"/>
        <v>0</v>
      </c>
      <c r="C15">
        <f t="shared" si="3"/>
        <v>2.9000000000000002E-6</v>
      </c>
      <c r="D15">
        <f t="shared" si="4"/>
        <v>0</v>
      </c>
      <c r="E15">
        <f t="shared" si="5"/>
        <v>2.9000000000000002E-6</v>
      </c>
      <c r="F15">
        <f t="shared" si="1"/>
        <v>0</v>
      </c>
    </row>
    <row r="16" spans="1:7" x14ac:dyDescent="0.25">
      <c r="A16">
        <v>0.5</v>
      </c>
      <c r="B16">
        <f t="shared" si="2"/>
        <v>0</v>
      </c>
      <c r="C16">
        <f t="shared" si="3"/>
        <v>2.9000000000000002E-6</v>
      </c>
      <c r="D16">
        <f t="shared" si="4"/>
        <v>0</v>
      </c>
      <c r="E16">
        <f t="shared" si="5"/>
        <v>2.9000000000000002E-6</v>
      </c>
      <c r="F16">
        <f t="shared" si="1"/>
        <v>0</v>
      </c>
    </row>
    <row r="17" spans="1:6" x14ac:dyDescent="0.25">
      <c r="A17">
        <v>0.6</v>
      </c>
      <c r="B17">
        <f t="shared" si="2"/>
        <v>0</v>
      </c>
      <c r="C17">
        <f t="shared" si="3"/>
        <v>2.9000000000000002E-6</v>
      </c>
      <c r="D17">
        <f t="shared" si="4"/>
        <v>0</v>
      </c>
      <c r="E17">
        <f t="shared" si="5"/>
        <v>2.9000000000000002E-6</v>
      </c>
      <c r="F17">
        <f t="shared" si="1"/>
        <v>0</v>
      </c>
    </row>
    <row r="18" spans="1:6" x14ac:dyDescent="0.25">
      <c r="A18">
        <v>0.7</v>
      </c>
      <c r="B18">
        <f t="shared" si="2"/>
        <v>0</v>
      </c>
      <c r="C18">
        <f t="shared" si="3"/>
        <v>2.9000000000000002E-6</v>
      </c>
      <c r="D18">
        <f t="shared" si="4"/>
        <v>0</v>
      </c>
      <c r="E18">
        <f t="shared" si="5"/>
        <v>2.9000000000000002E-6</v>
      </c>
      <c r="F18">
        <f t="shared" si="1"/>
        <v>0</v>
      </c>
    </row>
    <row r="19" spans="1:6" x14ac:dyDescent="0.25">
      <c r="A19">
        <v>0.8</v>
      </c>
      <c r="B19">
        <f t="shared" si="2"/>
        <v>0</v>
      </c>
      <c r="C19">
        <f t="shared" si="3"/>
        <v>2.9000000000000002E-6</v>
      </c>
      <c r="D19">
        <f t="shared" si="4"/>
        <v>0</v>
      </c>
      <c r="E19">
        <f t="shared" si="5"/>
        <v>2.9000000000000002E-6</v>
      </c>
      <c r="F19">
        <f t="shared" si="1"/>
        <v>0</v>
      </c>
    </row>
    <row r="20" spans="1:6" x14ac:dyDescent="0.25">
      <c r="A20">
        <v>0.9</v>
      </c>
      <c r="B20">
        <f t="shared" si="2"/>
        <v>0</v>
      </c>
      <c r="C20">
        <f t="shared" si="3"/>
        <v>2.9000000000000002E-6</v>
      </c>
      <c r="D20">
        <f t="shared" si="4"/>
        <v>0</v>
      </c>
      <c r="E20">
        <f t="shared" si="5"/>
        <v>2.9000000000000002E-6</v>
      </c>
      <c r="F20">
        <f t="shared" si="1"/>
        <v>0</v>
      </c>
    </row>
    <row r="21" spans="1:6" x14ac:dyDescent="0.25">
      <c r="A21">
        <v>1</v>
      </c>
      <c r="B21">
        <f t="shared" si="2"/>
        <v>0</v>
      </c>
      <c r="C21">
        <f t="shared" si="3"/>
        <v>2.9000000000000002E-6</v>
      </c>
      <c r="D21">
        <f t="shared" si="4"/>
        <v>0</v>
      </c>
      <c r="E21">
        <f t="shared" si="5"/>
        <v>2.9000000000000002E-6</v>
      </c>
      <c r="F21">
        <f t="shared" si="1"/>
        <v>0</v>
      </c>
    </row>
    <row r="22" spans="1:6" x14ac:dyDescent="0.25">
      <c r="A22">
        <v>1.1000000000000001</v>
      </c>
      <c r="B22">
        <f t="shared" si="2"/>
        <v>0</v>
      </c>
      <c r="C22">
        <f t="shared" si="3"/>
        <v>2.9000000000000002E-6</v>
      </c>
      <c r="D22">
        <f t="shared" si="4"/>
        <v>0</v>
      </c>
      <c r="E22">
        <f t="shared" si="5"/>
        <v>2.9000000000000002E-6</v>
      </c>
      <c r="F22">
        <f t="shared" si="1"/>
        <v>0</v>
      </c>
    </row>
    <row r="23" spans="1:6" x14ac:dyDescent="0.25">
      <c r="A23">
        <v>1.2</v>
      </c>
      <c r="B23">
        <f t="shared" si="2"/>
        <v>0</v>
      </c>
      <c r="C23">
        <f t="shared" si="3"/>
        <v>2.9000000000000002E-6</v>
      </c>
      <c r="D23">
        <f t="shared" si="4"/>
        <v>0</v>
      </c>
      <c r="E23">
        <f t="shared" si="5"/>
        <v>2.9000000000000002E-6</v>
      </c>
      <c r="F23">
        <f t="shared" si="1"/>
        <v>0</v>
      </c>
    </row>
    <row r="24" spans="1:6" x14ac:dyDescent="0.25">
      <c r="A24">
        <v>1.3</v>
      </c>
      <c r="B24">
        <f t="shared" si="2"/>
        <v>0</v>
      </c>
      <c r="C24">
        <f t="shared" si="3"/>
        <v>2.9000000000000002E-6</v>
      </c>
      <c r="D24">
        <f t="shared" si="4"/>
        <v>0</v>
      </c>
      <c r="E24">
        <f t="shared" si="5"/>
        <v>2.9000000000000002E-6</v>
      </c>
      <c r="F24">
        <f t="shared" si="1"/>
        <v>0</v>
      </c>
    </row>
    <row r="25" spans="1:6" x14ac:dyDescent="0.25">
      <c r="A25">
        <v>1.4</v>
      </c>
      <c r="B25">
        <f t="shared" si="2"/>
        <v>0</v>
      </c>
      <c r="C25">
        <f t="shared" si="3"/>
        <v>2.9000000000000002E-6</v>
      </c>
      <c r="D25">
        <f t="shared" si="4"/>
        <v>0</v>
      </c>
      <c r="E25">
        <f t="shared" si="5"/>
        <v>2.9000000000000002E-6</v>
      </c>
      <c r="F25">
        <f t="shared" si="1"/>
        <v>0</v>
      </c>
    </row>
    <row r="26" spans="1:6" x14ac:dyDescent="0.25">
      <c r="A26">
        <v>1.5</v>
      </c>
      <c r="B26">
        <f t="shared" si="2"/>
        <v>0</v>
      </c>
      <c r="C26">
        <f t="shared" si="3"/>
        <v>2.9000000000000002E-6</v>
      </c>
      <c r="D26">
        <f t="shared" si="4"/>
        <v>0</v>
      </c>
      <c r="E26">
        <f t="shared" si="5"/>
        <v>2.9000000000000002E-6</v>
      </c>
      <c r="F26">
        <f t="shared" si="1"/>
        <v>0</v>
      </c>
    </row>
    <row r="27" spans="1:6" x14ac:dyDescent="0.25">
      <c r="A27">
        <v>1.6</v>
      </c>
      <c r="B27">
        <f t="shared" si="2"/>
        <v>0</v>
      </c>
      <c r="C27">
        <f t="shared" si="3"/>
        <v>2.9000000000000002E-6</v>
      </c>
      <c r="D27">
        <f t="shared" si="4"/>
        <v>0</v>
      </c>
      <c r="E27">
        <f t="shared" si="5"/>
        <v>2.9000000000000002E-6</v>
      </c>
      <c r="F27">
        <f t="shared" si="1"/>
        <v>0</v>
      </c>
    </row>
    <row r="28" spans="1:6" x14ac:dyDescent="0.25">
      <c r="A28">
        <v>1.7</v>
      </c>
      <c r="B28">
        <f t="shared" si="2"/>
        <v>0</v>
      </c>
      <c r="C28">
        <f t="shared" si="3"/>
        <v>2.9000000000000002E-6</v>
      </c>
      <c r="D28">
        <f t="shared" si="4"/>
        <v>0</v>
      </c>
      <c r="E28">
        <f t="shared" si="5"/>
        <v>2.9000000000000002E-6</v>
      </c>
      <c r="F28">
        <f t="shared" si="1"/>
        <v>0</v>
      </c>
    </row>
    <row r="29" spans="1:6" x14ac:dyDescent="0.25">
      <c r="A29">
        <v>1.8</v>
      </c>
      <c r="B29">
        <f t="shared" si="2"/>
        <v>0</v>
      </c>
      <c r="C29">
        <f t="shared" si="3"/>
        <v>2.9000000000000002E-6</v>
      </c>
      <c r="D29">
        <f t="shared" si="4"/>
        <v>0</v>
      </c>
      <c r="E29">
        <f t="shared" si="5"/>
        <v>2.9000000000000002E-6</v>
      </c>
      <c r="F29">
        <f t="shared" si="1"/>
        <v>0</v>
      </c>
    </row>
    <row r="30" spans="1:6" x14ac:dyDescent="0.25">
      <c r="A30">
        <v>1.9</v>
      </c>
      <c r="B30">
        <f t="shared" si="2"/>
        <v>0</v>
      </c>
      <c r="C30">
        <f t="shared" si="3"/>
        <v>2.9000000000000002E-6</v>
      </c>
      <c r="D30">
        <f t="shared" si="4"/>
        <v>0</v>
      </c>
      <c r="E30">
        <f t="shared" si="5"/>
        <v>2.9000000000000002E-6</v>
      </c>
      <c r="F30">
        <f t="shared" si="1"/>
        <v>0</v>
      </c>
    </row>
    <row r="31" spans="1:6" x14ac:dyDescent="0.25">
      <c r="A31">
        <v>2</v>
      </c>
      <c r="B31">
        <f t="shared" si="2"/>
        <v>0</v>
      </c>
      <c r="C31">
        <f t="shared" si="3"/>
        <v>2.9000000000000002E-6</v>
      </c>
      <c r="D31">
        <f t="shared" si="4"/>
        <v>0</v>
      </c>
      <c r="E31">
        <f t="shared" si="5"/>
        <v>2.9000000000000002E-6</v>
      </c>
      <c r="F31">
        <f t="shared" si="1"/>
        <v>0</v>
      </c>
    </row>
    <row r="32" spans="1:6" x14ac:dyDescent="0.25">
      <c r="A32">
        <v>2.1</v>
      </c>
      <c r="B32">
        <f t="shared" si="2"/>
        <v>0</v>
      </c>
      <c r="C32">
        <f t="shared" si="3"/>
        <v>2.9000000000000002E-6</v>
      </c>
      <c r="D32">
        <f t="shared" si="4"/>
        <v>0</v>
      </c>
      <c r="E32">
        <f t="shared" si="5"/>
        <v>2.9000000000000002E-6</v>
      </c>
      <c r="F32">
        <f t="shared" si="1"/>
        <v>0</v>
      </c>
    </row>
    <row r="33" spans="1:6" x14ac:dyDescent="0.25">
      <c r="A33">
        <v>2.2000000000000002</v>
      </c>
      <c r="B33">
        <f t="shared" si="2"/>
        <v>0</v>
      </c>
      <c r="C33">
        <f t="shared" si="3"/>
        <v>2.9000000000000002E-6</v>
      </c>
      <c r="D33">
        <f t="shared" si="4"/>
        <v>0</v>
      </c>
      <c r="E33">
        <f t="shared" si="5"/>
        <v>2.9000000000000002E-6</v>
      </c>
      <c r="F33">
        <f t="shared" si="1"/>
        <v>0</v>
      </c>
    </row>
    <row r="34" spans="1:6" x14ac:dyDescent="0.25">
      <c r="A34">
        <v>2.2999999999999998</v>
      </c>
      <c r="B34">
        <f t="shared" si="2"/>
        <v>0</v>
      </c>
      <c r="C34">
        <f t="shared" si="3"/>
        <v>2.9000000000000002E-6</v>
      </c>
      <c r="D34">
        <f t="shared" si="4"/>
        <v>0</v>
      </c>
      <c r="E34">
        <f t="shared" si="5"/>
        <v>2.9000000000000002E-6</v>
      </c>
      <c r="F34">
        <f t="shared" si="1"/>
        <v>0</v>
      </c>
    </row>
    <row r="35" spans="1:6" x14ac:dyDescent="0.25">
      <c r="A35">
        <v>2.4</v>
      </c>
      <c r="B35">
        <f t="shared" si="2"/>
        <v>0</v>
      </c>
      <c r="C35">
        <f t="shared" si="3"/>
        <v>2.9000000000000002E-6</v>
      </c>
      <c r="D35">
        <f t="shared" si="4"/>
        <v>0</v>
      </c>
      <c r="E35">
        <f t="shared" si="5"/>
        <v>2.9000000000000002E-6</v>
      </c>
      <c r="F35">
        <f t="shared" si="1"/>
        <v>0</v>
      </c>
    </row>
    <row r="36" spans="1:6" x14ac:dyDescent="0.25">
      <c r="A36">
        <v>2.5</v>
      </c>
      <c r="B36">
        <f t="shared" si="2"/>
        <v>0</v>
      </c>
      <c r="C36">
        <f t="shared" si="3"/>
        <v>2.9000000000000002E-6</v>
      </c>
      <c r="D36">
        <f t="shared" si="4"/>
        <v>0</v>
      </c>
      <c r="E36">
        <f t="shared" si="5"/>
        <v>2.9000000000000002E-6</v>
      </c>
      <c r="F36">
        <f t="shared" si="1"/>
        <v>0</v>
      </c>
    </row>
    <row r="37" spans="1:6" x14ac:dyDescent="0.25">
      <c r="A37">
        <v>2.6</v>
      </c>
      <c r="B37">
        <f t="shared" si="2"/>
        <v>0</v>
      </c>
      <c r="C37">
        <f t="shared" si="3"/>
        <v>2.9000000000000002E-6</v>
      </c>
      <c r="D37">
        <f t="shared" si="4"/>
        <v>0</v>
      </c>
      <c r="E37">
        <f t="shared" si="5"/>
        <v>2.9000000000000002E-6</v>
      </c>
      <c r="F37">
        <f t="shared" si="1"/>
        <v>0</v>
      </c>
    </row>
    <row r="38" spans="1:6" x14ac:dyDescent="0.25">
      <c r="A38">
        <v>2.7</v>
      </c>
      <c r="B38">
        <f t="shared" si="2"/>
        <v>0</v>
      </c>
      <c r="C38">
        <f t="shared" si="3"/>
        <v>2.9000000000000002E-6</v>
      </c>
      <c r="D38">
        <f t="shared" si="4"/>
        <v>0</v>
      </c>
      <c r="E38">
        <f t="shared" si="5"/>
        <v>2.9000000000000002E-6</v>
      </c>
      <c r="F38">
        <f t="shared" si="1"/>
        <v>0</v>
      </c>
    </row>
    <row r="39" spans="1:6" x14ac:dyDescent="0.25">
      <c r="A39">
        <v>2.8</v>
      </c>
      <c r="B39">
        <f t="shared" si="2"/>
        <v>0</v>
      </c>
      <c r="C39">
        <f t="shared" si="3"/>
        <v>2.9000000000000002E-6</v>
      </c>
      <c r="D39">
        <f t="shared" si="4"/>
        <v>0</v>
      </c>
      <c r="E39">
        <f t="shared" si="5"/>
        <v>2.9000000000000002E-6</v>
      </c>
      <c r="F39">
        <f t="shared" si="1"/>
        <v>0</v>
      </c>
    </row>
    <row r="40" spans="1:6" x14ac:dyDescent="0.25">
      <c r="A40">
        <v>2.9</v>
      </c>
      <c r="B40">
        <f t="shared" si="2"/>
        <v>0</v>
      </c>
      <c r="C40">
        <f t="shared" si="3"/>
        <v>2.9000000000000002E-6</v>
      </c>
      <c r="D40">
        <f t="shared" si="4"/>
        <v>0</v>
      </c>
      <c r="E40">
        <f t="shared" si="5"/>
        <v>2.9000000000000002E-6</v>
      </c>
      <c r="F40">
        <f t="shared" si="1"/>
        <v>0</v>
      </c>
    </row>
    <row r="41" spans="1:6" x14ac:dyDescent="0.25">
      <c r="A41">
        <v>3</v>
      </c>
      <c r="B41">
        <f t="shared" si="2"/>
        <v>0</v>
      </c>
      <c r="C41">
        <f t="shared" si="3"/>
        <v>2.9000000000000002E-6</v>
      </c>
      <c r="D41">
        <f t="shared" si="4"/>
        <v>0</v>
      </c>
      <c r="E41">
        <f t="shared" si="5"/>
        <v>2.9000000000000002E-6</v>
      </c>
      <c r="F41">
        <f t="shared" si="1"/>
        <v>0</v>
      </c>
    </row>
    <row r="42" spans="1:6" x14ac:dyDescent="0.25">
      <c r="A42">
        <v>3.1</v>
      </c>
      <c r="B42">
        <f t="shared" si="2"/>
        <v>0</v>
      </c>
      <c r="C42">
        <f t="shared" si="3"/>
        <v>2.9000000000000002E-6</v>
      </c>
      <c r="D42">
        <f t="shared" si="4"/>
        <v>0</v>
      </c>
      <c r="E42">
        <f t="shared" si="5"/>
        <v>2.9000000000000002E-6</v>
      </c>
      <c r="F42">
        <f t="shared" si="1"/>
        <v>0</v>
      </c>
    </row>
    <row r="43" spans="1:6" x14ac:dyDescent="0.25">
      <c r="A43">
        <v>3.2</v>
      </c>
      <c r="B43">
        <f t="shared" si="2"/>
        <v>0</v>
      </c>
      <c r="C43">
        <f t="shared" si="3"/>
        <v>2.9000000000000002E-6</v>
      </c>
      <c r="D43">
        <f t="shared" si="4"/>
        <v>0</v>
      </c>
      <c r="E43">
        <f t="shared" si="5"/>
        <v>2.9000000000000002E-6</v>
      </c>
      <c r="F43">
        <f t="shared" si="1"/>
        <v>0</v>
      </c>
    </row>
    <row r="44" spans="1:6" x14ac:dyDescent="0.25">
      <c r="A44">
        <v>3.3</v>
      </c>
      <c r="B44">
        <f t="shared" si="2"/>
        <v>0</v>
      </c>
      <c r="C44">
        <f t="shared" si="3"/>
        <v>2.9000000000000002E-6</v>
      </c>
      <c r="D44">
        <f t="shared" si="4"/>
        <v>0</v>
      </c>
      <c r="E44">
        <f t="shared" si="5"/>
        <v>2.9000000000000002E-6</v>
      </c>
      <c r="F44">
        <f t="shared" si="1"/>
        <v>0</v>
      </c>
    </row>
    <row r="45" spans="1:6" x14ac:dyDescent="0.25">
      <c r="A45">
        <v>3.4</v>
      </c>
      <c r="B45">
        <f t="shared" si="2"/>
        <v>0</v>
      </c>
      <c r="C45">
        <f t="shared" si="3"/>
        <v>2.9000000000000002E-6</v>
      </c>
      <c r="D45">
        <f t="shared" si="4"/>
        <v>0</v>
      </c>
      <c r="E45">
        <f t="shared" si="5"/>
        <v>2.9000000000000002E-6</v>
      </c>
      <c r="F45">
        <f t="shared" si="1"/>
        <v>0</v>
      </c>
    </row>
    <row r="46" spans="1:6" x14ac:dyDescent="0.25">
      <c r="A46">
        <v>3.5</v>
      </c>
      <c r="B46">
        <f t="shared" si="2"/>
        <v>0</v>
      </c>
      <c r="C46">
        <f t="shared" si="3"/>
        <v>2.9000000000000002E-6</v>
      </c>
      <c r="D46">
        <f t="shared" si="4"/>
        <v>0</v>
      </c>
      <c r="E46">
        <f t="shared" si="5"/>
        <v>2.9000000000000002E-6</v>
      </c>
      <c r="F46">
        <f t="shared" si="1"/>
        <v>0</v>
      </c>
    </row>
    <row r="47" spans="1:6" x14ac:dyDescent="0.25">
      <c r="A47">
        <v>3.6</v>
      </c>
      <c r="B47">
        <f t="shared" si="2"/>
        <v>0</v>
      </c>
      <c r="C47">
        <f t="shared" si="3"/>
        <v>2.9000000000000002E-6</v>
      </c>
      <c r="D47">
        <f t="shared" si="4"/>
        <v>0</v>
      </c>
      <c r="E47">
        <f t="shared" si="5"/>
        <v>2.9000000000000002E-6</v>
      </c>
      <c r="F47">
        <f t="shared" si="1"/>
        <v>0</v>
      </c>
    </row>
    <row r="48" spans="1:6" x14ac:dyDescent="0.25">
      <c r="A48">
        <v>3.7</v>
      </c>
      <c r="B48">
        <f t="shared" si="2"/>
        <v>0</v>
      </c>
      <c r="C48">
        <f t="shared" si="3"/>
        <v>2.9000000000000002E-6</v>
      </c>
      <c r="D48">
        <f t="shared" si="4"/>
        <v>0</v>
      </c>
      <c r="E48">
        <f t="shared" si="5"/>
        <v>2.9000000000000002E-6</v>
      </c>
      <c r="F48">
        <f t="shared" si="1"/>
        <v>0</v>
      </c>
    </row>
    <row r="49" spans="1:6" x14ac:dyDescent="0.25">
      <c r="A49">
        <v>3.8</v>
      </c>
      <c r="B49">
        <f t="shared" si="2"/>
        <v>0</v>
      </c>
      <c r="C49">
        <f t="shared" si="3"/>
        <v>2.9000000000000002E-6</v>
      </c>
      <c r="D49">
        <f t="shared" si="4"/>
        <v>0</v>
      </c>
      <c r="E49">
        <f t="shared" si="5"/>
        <v>2.9000000000000002E-6</v>
      </c>
      <c r="F49">
        <f t="shared" si="1"/>
        <v>0</v>
      </c>
    </row>
    <row r="50" spans="1:6" x14ac:dyDescent="0.25">
      <c r="A50">
        <v>3.9</v>
      </c>
      <c r="B50">
        <f t="shared" si="2"/>
        <v>0</v>
      </c>
      <c r="C50">
        <f t="shared" si="3"/>
        <v>2.9000000000000002E-6</v>
      </c>
      <c r="D50">
        <f t="shared" si="4"/>
        <v>0</v>
      </c>
      <c r="E50">
        <f t="shared" si="5"/>
        <v>2.9000000000000002E-6</v>
      </c>
      <c r="F50">
        <f t="shared" si="1"/>
        <v>0</v>
      </c>
    </row>
    <row r="51" spans="1:6" x14ac:dyDescent="0.25">
      <c r="A51">
        <v>4</v>
      </c>
      <c r="B51">
        <f t="shared" si="2"/>
        <v>0</v>
      </c>
      <c r="C51">
        <f t="shared" si="3"/>
        <v>2.9000000000000002E-6</v>
      </c>
      <c r="D51">
        <f t="shared" si="4"/>
        <v>0</v>
      </c>
      <c r="E51">
        <f t="shared" si="5"/>
        <v>2.9000000000000002E-6</v>
      </c>
      <c r="F51">
        <f t="shared" si="1"/>
        <v>0</v>
      </c>
    </row>
    <row r="52" spans="1:6" x14ac:dyDescent="0.25">
      <c r="A52">
        <v>4.0999999999999996</v>
      </c>
      <c r="B52">
        <f t="shared" si="2"/>
        <v>0</v>
      </c>
      <c r="C52">
        <f t="shared" si="3"/>
        <v>2.9000000000000002E-6</v>
      </c>
      <c r="D52">
        <f t="shared" si="4"/>
        <v>0</v>
      </c>
      <c r="E52">
        <f t="shared" si="5"/>
        <v>2.9000000000000002E-6</v>
      </c>
      <c r="F52">
        <f t="shared" si="1"/>
        <v>0</v>
      </c>
    </row>
    <row r="53" spans="1:6" x14ac:dyDescent="0.25">
      <c r="A53">
        <v>4.2</v>
      </c>
      <c r="B53">
        <f t="shared" si="2"/>
        <v>0</v>
      </c>
      <c r="C53">
        <f t="shared" si="3"/>
        <v>2.9000000000000002E-6</v>
      </c>
      <c r="D53">
        <f t="shared" si="4"/>
        <v>0</v>
      </c>
      <c r="E53">
        <f t="shared" si="5"/>
        <v>2.9000000000000002E-6</v>
      </c>
      <c r="F53">
        <f t="shared" si="1"/>
        <v>0</v>
      </c>
    </row>
    <row r="54" spans="1:6" x14ac:dyDescent="0.25">
      <c r="A54">
        <v>4.3</v>
      </c>
      <c r="B54">
        <f t="shared" si="2"/>
        <v>0</v>
      </c>
      <c r="C54">
        <f t="shared" si="3"/>
        <v>2.9000000000000002E-6</v>
      </c>
      <c r="D54">
        <f t="shared" si="4"/>
        <v>0</v>
      </c>
      <c r="E54">
        <f t="shared" si="5"/>
        <v>2.9000000000000002E-6</v>
      </c>
      <c r="F54">
        <f t="shared" si="1"/>
        <v>0</v>
      </c>
    </row>
    <row r="55" spans="1:6" x14ac:dyDescent="0.25">
      <c r="A55">
        <v>4.4000000000000004</v>
      </c>
      <c r="B55">
        <f t="shared" si="2"/>
        <v>0</v>
      </c>
      <c r="C55">
        <f t="shared" si="3"/>
        <v>2.9000000000000002E-6</v>
      </c>
      <c r="D55">
        <f t="shared" si="4"/>
        <v>0</v>
      </c>
      <c r="E55">
        <f t="shared" si="5"/>
        <v>2.9000000000000002E-6</v>
      </c>
      <c r="F55">
        <f t="shared" si="1"/>
        <v>0</v>
      </c>
    </row>
    <row r="56" spans="1:6" x14ac:dyDescent="0.25">
      <c r="A56">
        <v>4.5</v>
      </c>
      <c r="B56">
        <f t="shared" si="2"/>
        <v>0</v>
      </c>
      <c r="C56">
        <f t="shared" si="3"/>
        <v>2.9000000000000002E-6</v>
      </c>
      <c r="D56">
        <f t="shared" si="4"/>
        <v>0</v>
      </c>
      <c r="E56">
        <f t="shared" si="5"/>
        <v>2.9000000000000002E-6</v>
      </c>
      <c r="F56">
        <f t="shared" si="1"/>
        <v>0</v>
      </c>
    </row>
    <row r="57" spans="1:6" x14ac:dyDescent="0.25">
      <c r="A57">
        <v>4.5999999999999996</v>
      </c>
      <c r="B57">
        <f t="shared" si="2"/>
        <v>0</v>
      </c>
      <c r="C57">
        <f t="shared" si="3"/>
        <v>2.9000000000000002E-6</v>
      </c>
      <c r="D57">
        <f t="shared" si="4"/>
        <v>0</v>
      </c>
      <c r="E57">
        <f t="shared" si="5"/>
        <v>2.9000000000000002E-6</v>
      </c>
      <c r="F57">
        <f t="shared" si="1"/>
        <v>0</v>
      </c>
    </row>
    <row r="58" spans="1:6" x14ac:dyDescent="0.25">
      <c r="A58">
        <v>4.7</v>
      </c>
      <c r="B58">
        <f t="shared" si="2"/>
        <v>0</v>
      </c>
      <c r="C58">
        <f t="shared" si="3"/>
        <v>2.9000000000000002E-6</v>
      </c>
      <c r="D58">
        <f t="shared" si="4"/>
        <v>0</v>
      </c>
      <c r="E58">
        <f t="shared" si="5"/>
        <v>2.9000000000000002E-6</v>
      </c>
      <c r="F58">
        <f t="shared" si="1"/>
        <v>0</v>
      </c>
    </row>
    <row r="59" spans="1:6" x14ac:dyDescent="0.25">
      <c r="A59">
        <v>4.8</v>
      </c>
      <c r="B59">
        <f t="shared" si="2"/>
        <v>0</v>
      </c>
      <c r="C59">
        <f t="shared" si="3"/>
        <v>2.9000000000000002E-6</v>
      </c>
      <c r="D59">
        <f t="shared" si="4"/>
        <v>0</v>
      </c>
      <c r="E59">
        <f t="shared" si="5"/>
        <v>2.9000000000000002E-6</v>
      </c>
      <c r="F59">
        <f t="shared" si="1"/>
        <v>0</v>
      </c>
    </row>
    <row r="60" spans="1:6" x14ac:dyDescent="0.25">
      <c r="A60">
        <v>4.9000000000000004</v>
      </c>
      <c r="B60">
        <f t="shared" si="2"/>
        <v>0</v>
      </c>
      <c r="C60">
        <f t="shared" si="3"/>
        <v>2.9000000000000002E-6</v>
      </c>
      <c r="D60">
        <f t="shared" si="4"/>
        <v>0</v>
      </c>
      <c r="E60">
        <f t="shared" si="5"/>
        <v>2.9000000000000002E-6</v>
      </c>
      <c r="F60">
        <f t="shared" si="1"/>
        <v>0</v>
      </c>
    </row>
    <row r="61" spans="1:6" x14ac:dyDescent="0.25">
      <c r="A61">
        <v>5</v>
      </c>
      <c r="B61">
        <f t="shared" si="2"/>
        <v>0</v>
      </c>
      <c r="C61">
        <f t="shared" si="3"/>
        <v>2.9000000000000002E-6</v>
      </c>
      <c r="D61">
        <f t="shared" si="4"/>
        <v>0</v>
      </c>
      <c r="E61">
        <f t="shared" si="5"/>
        <v>2.9000000000000002E-6</v>
      </c>
      <c r="F61">
        <f t="shared" si="1"/>
        <v>0</v>
      </c>
    </row>
    <row r="62" spans="1:6" x14ac:dyDescent="0.25">
      <c r="A62">
        <v>5.0999999999999996</v>
      </c>
      <c r="B62">
        <f t="shared" si="2"/>
        <v>0</v>
      </c>
      <c r="C62">
        <f t="shared" si="3"/>
        <v>2.9000000000000002E-6</v>
      </c>
      <c r="D62">
        <f t="shared" si="4"/>
        <v>0</v>
      </c>
      <c r="E62">
        <f t="shared" si="5"/>
        <v>2.9000000000000002E-6</v>
      </c>
      <c r="F62">
        <f t="shared" si="1"/>
        <v>0</v>
      </c>
    </row>
    <row r="63" spans="1:6" x14ac:dyDescent="0.25">
      <c r="A63">
        <v>5.2</v>
      </c>
      <c r="B63">
        <f t="shared" si="2"/>
        <v>0</v>
      </c>
      <c r="C63">
        <f t="shared" si="3"/>
        <v>2.9000000000000002E-6</v>
      </c>
      <c r="D63">
        <f t="shared" si="4"/>
        <v>0</v>
      </c>
      <c r="E63">
        <f t="shared" si="5"/>
        <v>2.9000000000000002E-6</v>
      </c>
      <c r="F63">
        <f t="shared" si="1"/>
        <v>0</v>
      </c>
    </row>
    <row r="64" spans="1:6" x14ac:dyDescent="0.25">
      <c r="A64">
        <v>5.3</v>
      </c>
      <c r="B64">
        <f t="shared" si="2"/>
        <v>0</v>
      </c>
      <c r="C64">
        <f t="shared" si="3"/>
        <v>2.9000000000000002E-6</v>
      </c>
      <c r="D64">
        <f t="shared" si="4"/>
        <v>0</v>
      </c>
      <c r="E64">
        <f t="shared" si="5"/>
        <v>2.9000000000000002E-6</v>
      </c>
      <c r="F64">
        <f t="shared" si="1"/>
        <v>0</v>
      </c>
    </row>
    <row r="65" spans="1:6" x14ac:dyDescent="0.25">
      <c r="A65">
        <v>5.4</v>
      </c>
      <c r="B65">
        <f t="shared" si="2"/>
        <v>0</v>
      </c>
      <c r="C65">
        <f t="shared" si="3"/>
        <v>2.9000000000000002E-6</v>
      </c>
      <c r="D65">
        <f t="shared" si="4"/>
        <v>0</v>
      </c>
      <c r="E65">
        <f t="shared" si="5"/>
        <v>2.9000000000000002E-6</v>
      </c>
      <c r="F65">
        <f t="shared" si="1"/>
        <v>0</v>
      </c>
    </row>
    <row r="66" spans="1:6" x14ac:dyDescent="0.25">
      <c r="A66">
        <v>5.5</v>
      </c>
      <c r="B66">
        <f t="shared" si="2"/>
        <v>0</v>
      </c>
      <c r="C66">
        <f t="shared" si="3"/>
        <v>2.9000000000000002E-6</v>
      </c>
      <c r="D66">
        <f t="shared" si="4"/>
        <v>0</v>
      </c>
      <c r="E66">
        <f t="shared" si="5"/>
        <v>2.9000000000000002E-6</v>
      </c>
      <c r="F66">
        <f t="shared" si="1"/>
        <v>0</v>
      </c>
    </row>
    <row r="67" spans="1:6" x14ac:dyDescent="0.25">
      <c r="A67">
        <v>5.6</v>
      </c>
      <c r="B67">
        <f t="shared" si="2"/>
        <v>0</v>
      </c>
      <c r="C67">
        <f t="shared" si="3"/>
        <v>2.9000000000000002E-6</v>
      </c>
      <c r="D67">
        <f t="shared" si="4"/>
        <v>0</v>
      </c>
      <c r="E67">
        <f t="shared" si="5"/>
        <v>2.9000000000000002E-6</v>
      </c>
      <c r="F67">
        <f t="shared" si="1"/>
        <v>0</v>
      </c>
    </row>
    <row r="68" spans="1:6" x14ac:dyDescent="0.25">
      <c r="A68">
        <v>5.7</v>
      </c>
      <c r="B68">
        <f t="shared" si="2"/>
        <v>0</v>
      </c>
      <c r="C68">
        <f t="shared" si="3"/>
        <v>2.9000000000000002E-6</v>
      </c>
      <c r="D68">
        <f t="shared" si="4"/>
        <v>0</v>
      </c>
      <c r="E68">
        <f t="shared" si="5"/>
        <v>2.9000000000000002E-6</v>
      </c>
      <c r="F68">
        <f t="shared" si="1"/>
        <v>0</v>
      </c>
    </row>
    <row r="69" spans="1:6" x14ac:dyDescent="0.25">
      <c r="A69">
        <v>5.8</v>
      </c>
      <c r="B69">
        <f t="shared" si="2"/>
        <v>0</v>
      </c>
      <c r="C69">
        <f t="shared" si="3"/>
        <v>2.9000000000000002E-6</v>
      </c>
      <c r="D69">
        <f t="shared" si="4"/>
        <v>0</v>
      </c>
      <c r="E69">
        <f t="shared" si="5"/>
        <v>2.9000000000000002E-6</v>
      </c>
      <c r="F69">
        <f t="shared" si="1"/>
        <v>0</v>
      </c>
    </row>
    <row r="70" spans="1:6" x14ac:dyDescent="0.25">
      <c r="A70">
        <v>5.9</v>
      </c>
      <c r="B70">
        <f t="shared" si="2"/>
        <v>0</v>
      </c>
      <c r="C70">
        <f t="shared" si="3"/>
        <v>2.9000000000000002E-6</v>
      </c>
      <c r="D70">
        <f t="shared" si="4"/>
        <v>0</v>
      </c>
      <c r="E70">
        <f t="shared" si="5"/>
        <v>2.9000000000000002E-6</v>
      </c>
      <c r="F70">
        <f t="shared" si="1"/>
        <v>0</v>
      </c>
    </row>
    <row r="71" spans="1:6" x14ac:dyDescent="0.25">
      <c r="A71">
        <v>6</v>
      </c>
      <c r="B71">
        <f t="shared" si="2"/>
        <v>0</v>
      </c>
      <c r="C71">
        <f t="shared" si="3"/>
        <v>2.9000000000000002E-6</v>
      </c>
      <c r="D71">
        <f t="shared" si="4"/>
        <v>0</v>
      </c>
      <c r="E71">
        <f t="shared" si="5"/>
        <v>2.9000000000000002E-6</v>
      </c>
      <c r="F71">
        <f t="shared" si="1"/>
        <v>0</v>
      </c>
    </row>
    <row r="72" spans="1:6" x14ac:dyDescent="0.25">
      <c r="A72">
        <v>6.1</v>
      </c>
      <c r="B72">
        <f t="shared" si="2"/>
        <v>0</v>
      </c>
      <c r="C72">
        <f t="shared" si="3"/>
        <v>2.9000000000000002E-6</v>
      </c>
      <c r="D72">
        <f t="shared" si="4"/>
        <v>0</v>
      </c>
      <c r="E72">
        <f t="shared" si="5"/>
        <v>2.9000000000000002E-6</v>
      </c>
      <c r="F72">
        <f t="shared" si="1"/>
        <v>0</v>
      </c>
    </row>
    <row r="73" spans="1:6" x14ac:dyDescent="0.25">
      <c r="A73">
        <v>6.2</v>
      </c>
      <c r="B73">
        <f t="shared" si="2"/>
        <v>0</v>
      </c>
      <c r="C73">
        <f t="shared" si="3"/>
        <v>2.9000000000000002E-6</v>
      </c>
      <c r="D73">
        <f t="shared" si="4"/>
        <v>0</v>
      </c>
      <c r="E73">
        <f t="shared" si="5"/>
        <v>2.9000000000000002E-6</v>
      </c>
      <c r="F73">
        <f t="shared" si="1"/>
        <v>0</v>
      </c>
    </row>
    <row r="74" spans="1:6" x14ac:dyDescent="0.25">
      <c r="A74">
        <v>6.3</v>
      </c>
      <c r="B74">
        <f t="shared" si="2"/>
        <v>0</v>
      </c>
      <c r="C74">
        <f t="shared" si="3"/>
        <v>2.9000000000000002E-6</v>
      </c>
      <c r="D74">
        <f t="shared" si="4"/>
        <v>0</v>
      </c>
      <c r="E74">
        <f t="shared" si="5"/>
        <v>2.9000000000000002E-6</v>
      </c>
      <c r="F74">
        <f t="shared" si="1"/>
        <v>0</v>
      </c>
    </row>
    <row r="75" spans="1:6" x14ac:dyDescent="0.25">
      <c r="A75">
        <v>6.4</v>
      </c>
      <c r="B75">
        <f t="shared" si="2"/>
        <v>0</v>
      </c>
      <c r="C75">
        <f t="shared" si="3"/>
        <v>2.9000000000000002E-6</v>
      </c>
      <c r="D75">
        <f t="shared" si="4"/>
        <v>0</v>
      </c>
      <c r="E75">
        <f t="shared" si="5"/>
        <v>2.9000000000000002E-6</v>
      </c>
      <c r="F75">
        <f t="shared" si="1"/>
        <v>0</v>
      </c>
    </row>
    <row r="76" spans="1:6" x14ac:dyDescent="0.25">
      <c r="A76">
        <v>6.5</v>
      </c>
      <c r="B76">
        <f t="shared" si="2"/>
        <v>0</v>
      </c>
      <c r="C76">
        <f t="shared" si="3"/>
        <v>2.9000000000000002E-6</v>
      </c>
      <c r="D76">
        <f t="shared" si="4"/>
        <v>0</v>
      </c>
      <c r="E76">
        <f t="shared" si="5"/>
        <v>2.9000000000000002E-6</v>
      </c>
      <c r="F76">
        <f t="shared" ref="F76:F139" si="6">D76*0.85</f>
        <v>0</v>
      </c>
    </row>
    <row r="77" spans="1:6" x14ac:dyDescent="0.25">
      <c r="A77">
        <v>6.6</v>
      </c>
      <c r="B77">
        <f t="shared" ref="B77:B140" si="7">IF(A76&lt;$G$4,0,-$G$3*(C76)*(A77-A76))</f>
        <v>0</v>
      </c>
      <c r="C77">
        <f t="shared" ref="C77:C140" si="8">C76+B77</f>
        <v>2.9000000000000002E-6</v>
      </c>
      <c r="D77">
        <f t="shared" ref="D77:D140" si="9">D76-B77</f>
        <v>0</v>
      </c>
      <c r="E77">
        <f t="shared" ref="E77:E140" si="10">SUM(C77:D77)</f>
        <v>2.9000000000000002E-6</v>
      </c>
      <c r="F77">
        <f t="shared" si="6"/>
        <v>0</v>
      </c>
    </row>
    <row r="78" spans="1:6" x14ac:dyDescent="0.25">
      <c r="A78">
        <v>6.7</v>
      </c>
      <c r="B78">
        <f t="shared" si="7"/>
        <v>0</v>
      </c>
      <c r="C78">
        <f t="shared" si="8"/>
        <v>2.9000000000000002E-6</v>
      </c>
      <c r="D78">
        <f t="shared" si="9"/>
        <v>0</v>
      </c>
      <c r="E78">
        <f t="shared" si="10"/>
        <v>2.9000000000000002E-6</v>
      </c>
      <c r="F78">
        <f t="shared" si="6"/>
        <v>0</v>
      </c>
    </row>
    <row r="79" spans="1:6" x14ac:dyDescent="0.25">
      <c r="A79">
        <v>6.8</v>
      </c>
      <c r="B79">
        <f t="shared" si="7"/>
        <v>0</v>
      </c>
      <c r="C79">
        <f t="shared" si="8"/>
        <v>2.9000000000000002E-6</v>
      </c>
      <c r="D79">
        <f t="shared" si="9"/>
        <v>0</v>
      </c>
      <c r="E79">
        <f t="shared" si="10"/>
        <v>2.9000000000000002E-6</v>
      </c>
      <c r="F79">
        <f t="shared" si="6"/>
        <v>0</v>
      </c>
    </row>
    <row r="80" spans="1:6" x14ac:dyDescent="0.25">
      <c r="A80">
        <v>6.9</v>
      </c>
      <c r="B80">
        <f t="shared" si="7"/>
        <v>0</v>
      </c>
      <c r="C80">
        <f t="shared" si="8"/>
        <v>2.9000000000000002E-6</v>
      </c>
      <c r="D80">
        <f t="shared" si="9"/>
        <v>0</v>
      </c>
      <c r="E80">
        <f t="shared" si="10"/>
        <v>2.9000000000000002E-6</v>
      </c>
      <c r="F80">
        <f t="shared" si="6"/>
        <v>0</v>
      </c>
    </row>
    <row r="81" spans="1:6" x14ac:dyDescent="0.25">
      <c r="A81">
        <v>7</v>
      </c>
      <c r="B81">
        <f t="shared" si="7"/>
        <v>0</v>
      </c>
      <c r="C81">
        <f t="shared" si="8"/>
        <v>2.9000000000000002E-6</v>
      </c>
      <c r="D81">
        <f t="shared" si="9"/>
        <v>0</v>
      </c>
      <c r="E81">
        <f t="shared" si="10"/>
        <v>2.9000000000000002E-6</v>
      </c>
      <c r="F81">
        <f t="shared" si="6"/>
        <v>0</v>
      </c>
    </row>
    <row r="82" spans="1:6" x14ac:dyDescent="0.25">
      <c r="A82">
        <v>7.1</v>
      </c>
      <c r="B82">
        <f t="shared" si="7"/>
        <v>0</v>
      </c>
      <c r="C82">
        <f t="shared" si="8"/>
        <v>2.9000000000000002E-6</v>
      </c>
      <c r="D82">
        <f t="shared" si="9"/>
        <v>0</v>
      </c>
      <c r="E82">
        <f t="shared" si="10"/>
        <v>2.9000000000000002E-6</v>
      </c>
      <c r="F82">
        <f t="shared" si="6"/>
        <v>0</v>
      </c>
    </row>
    <row r="83" spans="1:6" x14ac:dyDescent="0.25">
      <c r="A83">
        <v>7.2</v>
      </c>
      <c r="B83">
        <f t="shared" si="7"/>
        <v>0</v>
      </c>
      <c r="C83">
        <f t="shared" si="8"/>
        <v>2.9000000000000002E-6</v>
      </c>
      <c r="D83">
        <f t="shared" si="9"/>
        <v>0</v>
      </c>
      <c r="E83">
        <f t="shared" si="10"/>
        <v>2.9000000000000002E-6</v>
      </c>
      <c r="F83">
        <f t="shared" si="6"/>
        <v>0</v>
      </c>
    </row>
    <row r="84" spans="1:6" x14ac:dyDescent="0.25">
      <c r="A84">
        <v>7.3</v>
      </c>
      <c r="B84">
        <f t="shared" si="7"/>
        <v>0</v>
      </c>
      <c r="C84">
        <f t="shared" si="8"/>
        <v>2.9000000000000002E-6</v>
      </c>
      <c r="D84">
        <f t="shared" si="9"/>
        <v>0</v>
      </c>
      <c r="E84">
        <f t="shared" si="10"/>
        <v>2.9000000000000002E-6</v>
      </c>
      <c r="F84">
        <f t="shared" si="6"/>
        <v>0</v>
      </c>
    </row>
    <row r="85" spans="1:6" x14ac:dyDescent="0.25">
      <c r="A85">
        <v>7.4</v>
      </c>
      <c r="B85">
        <f t="shared" si="7"/>
        <v>0</v>
      </c>
      <c r="C85">
        <f t="shared" si="8"/>
        <v>2.9000000000000002E-6</v>
      </c>
      <c r="D85">
        <f t="shared" si="9"/>
        <v>0</v>
      </c>
      <c r="E85">
        <f t="shared" si="10"/>
        <v>2.9000000000000002E-6</v>
      </c>
      <c r="F85">
        <f t="shared" si="6"/>
        <v>0</v>
      </c>
    </row>
    <row r="86" spans="1:6" x14ac:dyDescent="0.25">
      <c r="A86">
        <v>7.5</v>
      </c>
      <c r="B86">
        <f t="shared" si="7"/>
        <v>0</v>
      </c>
      <c r="C86">
        <f t="shared" si="8"/>
        <v>2.9000000000000002E-6</v>
      </c>
      <c r="D86">
        <f t="shared" si="9"/>
        <v>0</v>
      </c>
      <c r="E86">
        <f t="shared" si="10"/>
        <v>2.9000000000000002E-6</v>
      </c>
      <c r="F86">
        <f t="shared" si="6"/>
        <v>0</v>
      </c>
    </row>
    <row r="87" spans="1:6" x14ac:dyDescent="0.25">
      <c r="A87">
        <v>7.6</v>
      </c>
      <c r="B87">
        <f t="shared" si="7"/>
        <v>0</v>
      </c>
      <c r="C87">
        <f t="shared" si="8"/>
        <v>2.9000000000000002E-6</v>
      </c>
      <c r="D87">
        <f t="shared" si="9"/>
        <v>0</v>
      </c>
      <c r="E87">
        <f t="shared" si="10"/>
        <v>2.9000000000000002E-6</v>
      </c>
      <c r="F87">
        <f t="shared" si="6"/>
        <v>0</v>
      </c>
    </row>
    <row r="88" spans="1:6" x14ac:dyDescent="0.25">
      <c r="A88">
        <v>7.7</v>
      </c>
      <c r="B88">
        <f t="shared" si="7"/>
        <v>0</v>
      </c>
      <c r="C88">
        <f t="shared" si="8"/>
        <v>2.9000000000000002E-6</v>
      </c>
      <c r="D88">
        <f t="shared" si="9"/>
        <v>0</v>
      </c>
      <c r="E88">
        <f t="shared" si="10"/>
        <v>2.9000000000000002E-6</v>
      </c>
      <c r="F88">
        <f t="shared" si="6"/>
        <v>0</v>
      </c>
    </row>
    <row r="89" spans="1:6" x14ac:dyDescent="0.25">
      <c r="A89">
        <v>7.8</v>
      </c>
      <c r="B89">
        <f t="shared" si="7"/>
        <v>0</v>
      </c>
      <c r="C89">
        <f t="shared" si="8"/>
        <v>2.9000000000000002E-6</v>
      </c>
      <c r="D89">
        <f t="shared" si="9"/>
        <v>0</v>
      </c>
      <c r="E89">
        <f t="shared" si="10"/>
        <v>2.9000000000000002E-6</v>
      </c>
      <c r="F89">
        <f t="shared" si="6"/>
        <v>0</v>
      </c>
    </row>
    <row r="90" spans="1:6" x14ac:dyDescent="0.25">
      <c r="A90">
        <v>7.9</v>
      </c>
      <c r="B90">
        <f t="shared" si="7"/>
        <v>0</v>
      </c>
      <c r="C90">
        <f t="shared" si="8"/>
        <v>2.9000000000000002E-6</v>
      </c>
      <c r="D90">
        <f t="shared" si="9"/>
        <v>0</v>
      </c>
      <c r="E90">
        <f t="shared" si="10"/>
        <v>2.9000000000000002E-6</v>
      </c>
      <c r="F90">
        <f t="shared" si="6"/>
        <v>0</v>
      </c>
    </row>
    <row r="91" spans="1:6" x14ac:dyDescent="0.25">
      <c r="A91">
        <v>8</v>
      </c>
      <c r="B91">
        <f t="shared" si="7"/>
        <v>0</v>
      </c>
      <c r="C91">
        <f t="shared" si="8"/>
        <v>2.9000000000000002E-6</v>
      </c>
      <c r="D91">
        <f t="shared" si="9"/>
        <v>0</v>
      </c>
      <c r="E91">
        <f t="shared" si="10"/>
        <v>2.9000000000000002E-6</v>
      </c>
      <c r="F91">
        <f t="shared" si="6"/>
        <v>0</v>
      </c>
    </row>
    <row r="92" spans="1:6" x14ac:dyDescent="0.25">
      <c r="A92">
        <v>8.1</v>
      </c>
      <c r="B92">
        <f t="shared" si="7"/>
        <v>0</v>
      </c>
      <c r="C92">
        <f t="shared" si="8"/>
        <v>2.9000000000000002E-6</v>
      </c>
      <c r="D92">
        <f t="shared" si="9"/>
        <v>0</v>
      </c>
      <c r="E92">
        <f t="shared" si="10"/>
        <v>2.9000000000000002E-6</v>
      </c>
      <c r="F92">
        <f t="shared" si="6"/>
        <v>0</v>
      </c>
    </row>
    <row r="93" spans="1:6" x14ac:dyDescent="0.25">
      <c r="A93">
        <v>8.1999999999999993</v>
      </c>
      <c r="B93">
        <f t="shared" si="7"/>
        <v>0</v>
      </c>
      <c r="C93">
        <f t="shared" si="8"/>
        <v>2.9000000000000002E-6</v>
      </c>
      <c r="D93">
        <f t="shared" si="9"/>
        <v>0</v>
      </c>
      <c r="E93">
        <f t="shared" si="10"/>
        <v>2.9000000000000002E-6</v>
      </c>
      <c r="F93">
        <f t="shared" si="6"/>
        <v>0</v>
      </c>
    </row>
    <row r="94" spans="1:6" x14ac:dyDescent="0.25">
      <c r="A94">
        <v>8.3000000000000007</v>
      </c>
      <c r="B94">
        <f t="shared" si="7"/>
        <v>0</v>
      </c>
      <c r="C94">
        <f t="shared" si="8"/>
        <v>2.9000000000000002E-6</v>
      </c>
      <c r="D94">
        <f t="shared" si="9"/>
        <v>0</v>
      </c>
      <c r="E94">
        <f t="shared" si="10"/>
        <v>2.9000000000000002E-6</v>
      </c>
      <c r="F94">
        <f t="shared" si="6"/>
        <v>0</v>
      </c>
    </row>
    <row r="95" spans="1:6" x14ac:dyDescent="0.25">
      <c r="A95">
        <v>8.4</v>
      </c>
      <c r="B95">
        <f t="shared" si="7"/>
        <v>0</v>
      </c>
      <c r="C95">
        <f t="shared" si="8"/>
        <v>2.9000000000000002E-6</v>
      </c>
      <c r="D95">
        <f t="shared" si="9"/>
        <v>0</v>
      </c>
      <c r="E95">
        <f t="shared" si="10"/>
        <v>2.9000000000000002E-6</v>
      </c>
      <c r="F95">
        <f t="shared" si="6"/>
        <v>0</v>
      </c>
    </row>
    <row r="96" spans="1:6" x14ac:dyDescent="0.25">
      <c r="A96">
        <v>8.5</v>
      </c>
      <c r="B96">
        <f t="shared" si="7"/>
        <v>0</v>
      </c>
      <c r="C96">
        <f t="shared" si="8"/>
        <v>2.9000000000000002E-6</v>
      </c>
      <c r="D96">
        <f t="shared" si="9"/>
        <v>0</v>
      </c>
      <c r="E96">
        <f t="shared" si="10"/>
        <v>2.9000000000000002E-6</v>
      </c>
      <c r="F96">
        <f t="shared" si="6"/>
        <v>0</v>
      </c>
    </row>
    <row r="97" spans="1:6" x14ac:dyDescent="0.25">
      <c r="A97">
        <v>8.6</v>
      </c>
      <c r="B97">
        <f t="shared" si="7"/>
        <v>0</v>
      </c>
      <c r="C97">
        <f t="shared" si="8"/>
        <v>2.9000000000000002E-6</v>
      </c>
      <c r="D97">
        <f t="shared" si="9"/>
        <v>0</v>
      </c>
      <c r="E97">
        <f t="shared" si="10"/>
        <v>2.9000000000000002E-6</v>
      </c>
      <c r="F97">
        <f t="shared" si="6"/>
        <v>0</v>
      </c>
    </row>
    <row r="98" spans="1:6" x14ac:dyDescent="0.25">
      <c r="A98">
        <v>8.6999999999999993</v>
      </c>
      <c r="B98">
        <f t="shared" si="7"/>
        <v>0</v>
      </c>
      <c r="C98">
        <f t="shared" si="8"/>
        <v>2.9000000000000002E-6</v>
      </c>
      <c r="D98">
        <f t="shared" si="9"/>
        <v>0</v>
      </c>
      <c r="E98">
        <f t="shared" si="10"/>
        <v>2.9000000000000002E-6</v>
      </c>
      <c r="F98">
        <f t="shared" si="6"/>
        <v>0</v>
      </c>
    </row>
    <row r="99" spans="1:6" x14ac:dyDescent="0.25">
      <c r="A99">
        <v>8.8000000000000007</v>
      </c>
      <c r="B99">
        <f t="shared" si="7"/>
        <v>0</v>
      </c>
      <c r="C99">
        <f t="shared" si="8"/>
        <v>2.9000000000000002E-6</v>
      </c>
      <c r="D99">
        <f t="shared" si="9"/>
        <v>0</v>
      </c>
      <c r="E99">
        <f t="shared" si="10"/>
        <v>2.9000000000000002E-6</v>
      </c>
      <c r="F99">
        <f t="shared" si="6"/>
        <v>0</v>
      </c>
    </row>
    <row r="100" spans="1:6" x14ac:dyDescent="0.25">
      <c r="A100">
        <v>8.9</v>
      </c>
      <c r="B100">
        <f t="shared" si="7"/>
        <v>0</v>
      </c>
      <c r="C100">
        <f t="shared" si="8"/>
        <v>2.9000000000000002E-6</v>
      </c>
      <c r="D100">
        <f t="shared" si="9"/>
        <v>0</v>
      </c>
      <c r="E100">
        <f t="shared" si="10"/>
        <v>2.9000000000000002E-6</v>
      </c>
      <c r="F100">
        <f t="shared" si="6"/>
        <v>0</v>
      </c>
    </row>
    <row r="101" spans="1:6" x14ac:dyDescent="0.25">
      <c r="A101">
        <v>9</v>
      </c>
      <c r="B101">
        <f t="shared" si="7"/>
        <v>0</v>
      </c>
      <c r="C101">
        <f t="shared" si="8"/>
        <v>2.9000000000000002E-6</v>
      </c>
      <c r="D101">
        <f t="shared" si="9"/>
        <v>0</v>
      </c>
      <c r="E101">
        <f t="shared" si="10"/>
        <v>2.9000000000000002E-6</v>
      </c>
      <c r="F101">
        <f t="shared" si="6"/>
        <v>0</v>
      </c>
    </row>
    <row r="102" spans="1:6" x14ac:dyDescent="0.25">
      <c r="A102">
        <v>9.1</v>
      </c>
      <c r="B102">
        <f t="shared" si="7"/>
        <v>0</v>
      </c>
      <c r="C102">
        <f t="shared" si="8"/>
        <v>2.9000000000000002E-6</v>
      </c>
      <c r="D102">
        <f t="shared" si="9"/>
        <v>0</v>
      </c>
      <c r="E102">
        <f t="shared" si="10"/>
        <v>2.9000000000000002E-6</v>
      </c>
      <c r="F102">
        <f t="shared" si="6"/>
        <v>0</v>
      </c>
    </row>
    <row r="103" spans="1:6" x14ac:dyDescent="0.25">
      <c r="A103">
        <v>9.1999999999999993</v>
      </c>
      <c r="B103">
        <f t="shared" si="7"/>
        <v>0</v>
      </c>
      <c r="C103">
        <f t="shared" si="8"/>
        <v>2.9000000000000002E-6</v>
      </c>
      <c r="D103">
        <f t="shared" si="9"/>
        <v>0</v>
      </c>
      <c r="E103">
        <f t="shared" si="10"/>
        <v>2.9000000000000002E-6</v>
      </c>
      <c r="F103">
        <f t="shared" si="6"/>
        <v>0</v>
      </c>
    </row>
    <row r="104" spans="1:6" x14ac:dyDescent="0.25">
      <c r="A104">
        <v>9.3000000000000007</v>
      </c>
      <c r="B104">
        <f t="shared" si="7"/>
        <v>0</v>
      </c>
      <c r="C104">
        <f t="shared" si="8"/>
        <v>2.9000000000000002E-6</v>
      </c>
      <c r="D104">
        <f t="shared" si="9"/>
        <v>0</v>
      </c>
      <c r="E104">
        <f t="shared" si="10"/>
        <v>2.9000000000000002E-6</v>
      </c>
      <c r="F104">
        <f t="shared" si="6"/>
        <v>0</v>
      </c>
    </row>
    <row r="105" spans="1:6" x14ac:dyDescent="0.25">
      <c r="A105">
        <v>9.4</v>
      </c>
      <c r="B105">
        <f t="shared" si="7"/>
        <v>0</v>
      </c>
      <c r="C105">
        <f t="shared" si="8"/>
        <v>2.9000000000000002E-6</v>
      </c>
      <c r="D105">
        <f t="shared" si="9"/>
        <v>0</v>
      </c>
      <c r="E105">
        <f t="shared" si="10"/>
        <v>2.9000000000000002E-6</v>
      </c>
      <c r="F105">
        <f t="shared" si="6"/>
        <v>0</v>
      </c>
    </row>
    <row r="106" spans="1:6" x14ac:dyDescent="0.25">
      <c r="A106">
        <v>9.5</v>
      </c>
      <c r="B106">
        <f t="shared" si="7"/>
        <v>0</v>
      </c>
      <c r="C106">
        <f t="shared" si="8"/>
        <v>2.9000000000000002E-6</v>
      </c>
      <c r="D106">
        <f t="shared" si="9"/>
        <v>0</v>
      </c>
      <c r="E106">
        <f t="shared" si="10"/>
        <v>2.9000000000000002E-6</v>
      </c>
      <c r="F106">
        <f t="shared" si="6"/>
        <v>0</v>
      </c>
    </row>
    <row r="107" spans="1:6" x14ac:dyDescent="0.25">
      <c r="A107">
        <v>9.6</v>
      </c>
      <c r="B107">
        <f t="shared" si="7"/>
        <v>0</v>
      </c>
      <c r="C107">
        <f t="shared" si="8"/>
        <v>2.9000000000000002E-6</v>
      </c>
      <c r="D107">
        <f t="shared" si="9"/>
        <v>0</v>
      </c>
      <c r="E107">
        <f t="shared" si="10"/>
        <v>2.9000000000000002E-6</v>
      </c>
      <c r="F107">
        <f t="shared" si="6"/>
        <v>0</v>
      </c>
    </row>
    <row r="108" spans="1:6" x14ac:dyDescent="0.25">
      <c r="A108">
        <v>9.6999999999999993</v>
      </c>
      <c r="B108">
        <f t="shared" si="7"/>
        <v>0</v>
      </c>
      <c r="C108">
        <f t="shared" si="8"/>
        <v>2.9000000000000002E-6</v>
      </c>
      <c r="D108">
        <f t="shared" si="9"/>
        <v>0</v>
      </c>
      <c r="E108">
        <f t="shared" si="10"/>
        <v>2.9000000000000002E-6</v>
      </c>
      <c r="F108">
        <f t="shared" si="6"/>
        <v>0</v>
      </c>
    </row>
    <row r="109" spans="1:6" x14ac:dyDescent="0.25">
      <c r="A109">
        <v>9.8000000000000007</v>
      </c>
      <c r="B109">
        <f t="shared" si="7"/>
        <v>0</v>
      </c>
      <c r="C109">
        <f t="shared" si="8"/>
        <v>2.9000000000000002E-6</v>
      </c>
      <c r="D109">
        <f t="shared" si="9"/>
        <v>0</v>
      </c>
      <c r="E109">
        <f t="shared" si="10"/>
        <v>2.9000000000000002E-6</v>
      </c>
      <c r="F109">
        <f t="shared" si="6"/>
        <v>0</v>
      </c>
    </row>
    <row r="110" spans="1:6" x14ac:dyDescent="0.25">
      <c r="A110">
        <v>9.9</v>
      </c>
      <c r="B110">
        <f t="shared" si="7"/>
        <v>0</v>
      </c>
      <c r="C110">
        <f t="shared" si="8"/>
        <v>2.9000000000000002E-6</v>
      </c>
      <c r="D110">
        <f t="shared" si="9"/>
        <v>0</v>
      </c>
      <c r="E110">
        <f t="shared" si="10"/>
        <v>2.9000000000000002E-6</v>
      </c>
      <c r="F110">
        <f t="shared" si="6"/>
        <v>0</v>
      </c>
    </row>
    <row r="111" spans="1:6" x14ac:dyDescent="0.25">
      <c r="A111">
        <v>10</v>
      </c>
      <c r="B111">
        <f t="shared" si="7"/>
        <v>0</v>
      </c>
      <c r="C111">
        <f t="shared" si="8"/>
        <v>2.9000000000000002E-6</v>
      </c>
      <c r="D111">
        <f t="shared" si="9"/>
        <v>0</v>
      </c>
      <c r="E111">
        <f t="shared" si="10"/>
        <v>2.9000000000000002E-6</v>
      </c>
      <c r="F111">
        <f t="shared" si="6"/>
        <v>0</v>
      </c>
    </row>
    <row r="112" spans="1:6" x14ac:dyDescent="0.25">
      <c r="A112">
        <v>10.1</v>
      </c>
      <c r="B112">
        <f t="shared" si="7"/>
        <v>0</v>
      </c>
      <c r="C112">
        <f t="shared" si="8"/>
        <v>2.9000000000000002E-6</v>
      </c>
      <c r="D112">
        <f t="shared" si="9"/>
        <v>0</v>
      </c>
      <c r="E112">
        <f t="shared" si="10"/>
        <v>2.9000000000000002E-6</v>
      </c>
      <c r="F112">
        <f t="shared" si="6"/>
        <v>0</v>
      </c>
    </row>
    <row r="113" spans="1:6" x14ac:dyDescent="0.25">
      <c r="A113">
        <v>10.199999999999999</v>
      </c>
      <c r="B113">
        <f t="shared" si="7"/>
        <v>0</v>
      </c>
      <c r="C113">
        <f t="shared" si="8"/>
        <v>2.9000000000000002E-6</v>
      </c>
      <c r="D113">
        <f t="shared" si="9"/>
        <v>0</v>
      </c>
      <c r="E113">
        <f t="shared" si="10"/>
        <v>2.9000000000000002E-6</v>
      </c>
      <c r="F113">
        <f t="shared" si="6"/>
        <v>0</v>
      </c>
    </row>
    <row r="114" spans="1:6" x14ac:dyDescent="0.25">
      <c r="A114">
        <v>10.3</v>
      </c>
      <c r="B114">
        <f t="shared" si="7"/>
        <v>0</v>
      </c>
      <c r="C114">
        <f t="shared" si="8"/>
        <v>2.9000000000000002E-6</v>
      </c>
      <c r="D114">
        <f t="shared" si="9"/>
        <v>0</v>
      </c>
      <c r="E114">
        <f t="shared" si="10"/>
        <v>2.9000000000000002E-6</v>
      </c>
      <c r="F114">
        <f t="shared" si="6"/>
        <v>0</v>
      </c>
    </row>
    <row r="115" spans="1:6" x14ac:dyDescent="0.25">
      <c r="A115">
        <v>10.4</v>
      </c>
      <c r="B115">
        <f t="shared" si="7"/>
        <v>0</v>
      </c>
      <c r="C115">
        <f t="shared" si="8"/>
        <v>2.9000000000000002E-6</v>
      </c>
      <c r="D115">
        <f t="shared" si="9"/>
        <v>0</v>
      </c>
      <c r="E115">
        <f t="shared" si="10"/>
        <v>2.9000000000000002E-6</v>
      </c>
      <c r="F115">
        <f t="shared" si="6"/>
        <v>0</v>
      </c>
    </row>
    <row r="116" spans="1:6" x14ac:dyDescent="0.25">
      <c r="A116">
        <v>10.5</v>
      </c>
      <c r="B116">
        <f t="shared" si="7"/>
        <v>0</v>
      </c>
      <c r="C116">
        <f t="shared" si="8"/>
        <v>2.9000000000000002E-6</v>
      </c>
      <c r="D116">
        <f t="shared" si="9"/>
        <v>0</v>
      </c>
      <c r="E116">
        <f t="shared" si="10"/>
        <v>2.9000000000000002E-6</v>
      </c>
      <c r="F116">
        <f t="shared" si="6"/>
        <v>0</v>
      </c>
    </row>
    <row r="117" spans="1:6" x14ac:dyDescent="0.25">
      <c r="A117">
        <v>10.6</v>
      </c>
      <c r="B117">
        <f t="shared" si="7"/>
        <v>0</v>
      </c>
      <c r="C117">
        <f t="shared" si="8"/>
        <v>2.9000000000000002E-6</v>
      </c>
      <c r="D117">
        <f t="shared" si="9"/>
        <v>0</v>
      </c>
      <c r="E117">
        <f t="shared" si="10"/>
        <v>2.9000000000000002E-6</v>
      </c>
      <c r="F117">
        <f t="shared" si="6"/>
        <v>0</v>
      </c>
    </row>
    <row r="118" spans="1:6" x14ac:dyDescent="0.25">
      <c r="A118">
        <v>10.7</v>
      </c>
      <c r="B118">
        <f t="shared" si="7"/>
        <v>0</v>
      </c>
      <c r="C118">
        <f t="shared" si="8"/>
        <v>2.9000000000000002E-6</v>
      </c>
      <c r="D118">
        <f t="shared" si="9"/>
        <v>0</v>
      </c>
      <c r="E118">
        <f t="shared" si="10"/>
        <v>2.9000000000000002E-6</v>
      </c>
      <c r="F118">
        <f t="shared" si="6"/>
        <v>0</v>
      </c>
    </row>
    <row r="119" spans="1:6" x14ac:dyDescent="0.25">
      <c r="A119">
        <v>10.8</v>
      </c>
      <c r="B119">
        <f t="shared" si="7"/>
        <v>0</v>
      </c>
      <c r="C119">
        <f t="shared" si="8"/>
        <v>2.9000000000000002E-6</v>
      </c>
      <c r="D119">
        <f t="shared" si="9"/>
        <v>0</v>
      </c>
      <c r="E119">
        <f t="shared" si="10"/>
        <v>2.9000000000000002E-6</v>
      </c>
      <c r="F119">
        <f t="shared" si="6"/>
        <v>0</v>
      </c>
    </row>
    <row r="120" spans="1:6" x14ac:dyDescent="0.25">
      <c r="A120">
        <v>10.9</v>
      </c>
      <c r="B120">
        <f t="shared" si="7"/>
        <v>0</v>
      </c>
      <c r="C120">
        <f t="shared" si="8"/>
        <v>2.9000000000000002E-6</v>
      </c>
      <c r="D120">
        <f t="shared" si="9"/>
        <v>0</v>
      </c>
      <c r="E120">
        <f t="shared" si="10"/>
        <v>2.9000000000000002E-6</v>
      </c>
      <c r="F120">
        <f t="shared" si="6"/>
        <v>0</v>
      </c>
    </row>
    <row r="121" spans="1:6" x14ac:dyDescent="0.25">
      <c r="A121">
        <v>11</v>
      </c>
      <c r="B121">
        <f t="shared" si="7"/>
        <v>0</v>
      </c>
      <c r="C121">
        <f t="shared" si="8"/>
        <v>2.9000000000000002E-6</v>
      </c>
      <c r="D121">
        <f t="shared" si="9"/>
        <v>0</v>
      </c>
      <c r="E121">
        <f t="shared" si="10"/>
        <v>2.9000000000000002E-6</v>
      </c>
      <c r="F121">
        <f t="shared" si="6"/>
        <v>0</v>
      </c>
    </row>
    <row r="122" spans="1:6" x14ac:dyDescent="0.25">
      <c r="A122">
        <v>11.1</v>
      </c>
      <c r="B122">
        <f t="shared" si="7"/>
        <v>0</v>
      </c>
      <c r="C122">
        <f t="shared" si="8"/>
        <v>2.9000000000000002E-6</v>
      </c>
      <c r="D122">
        <f t="shared" si="9"/>
        <v>0</v>
      </c>
      <c r="E122">
        <f t="shared" si="10"/>
        <v>2.9000000000000002E-6</v>
      </c>
      <c r="F122">
        <f t="shared" si="6"/>
        <v>0</v>
      </c>
    </row>
    <row r="123" spans="1:6" x14ac:dyDescent="0.25">
      <c r="A123">
        <v>11.2</v>
      </c>
      <c r="B123">
        <f t="shared" si="7"/>
        <v>0</v>
      </c>
      <c r="C123">
        <f t="shared" si="8"/>
        <v>2.9000000000000002E-6</v>
      </c>
      <c r="D123">
        <f t="shared" si="9"/>
        <v>0</v>
      </c>
      <c r="E123">
        <f t="shared" si="10"/>
        <v>2.9000000000000002E-6</v>
      </c>
      <c r="F123">
        <f t="shared" si="6"/>
        <v>0</v>
      </c>
    </row>
    <row r="124" spans="1:6" x14ac:dyDescent="0.25">
      <c r="A124">
        <v>11.3</v>
      </c>
      <c r="B124">
        <f t="shared" si="7"/>
        <v>0</v>
      </c>
      <c r="C124">
        <f t="shared" si="8"/>
        <v>2.9000000000000002E-6</v>
      </c>
      <c r="D124">
        <f t="shared" si="9"/>
        <v>0</v>
      </c>
      <c r="E124">
        <f t="shared" si="10"/>
        <v>2.9000000000000002E-6</v>
      </c>
      <c r="F124">
        <f t="shared" si="6"/>
        <v>0</v>
      </c>
    </row>
    <row r="125" spans="1:6" x14ac:dyDescent="0.25">
      <c r="A125">
        <v>11.4</v>
      </c>
      <c r="B125">
        <f t="shared" si="7"/>
        <v>0</v>
      </c>
      <c r="C125">
        <f t="shared" si="8"/>
        <v>2.9000000000000002E-6</v>
      </c>
      <c r="D125">
        <f t="shared" si="9"/>
        <v>0</v>
      </c>
      <c r="E125">
        <f t="shared" si="10"/>
        <v>2.9000000000000002E-6</v>
      </c>
      <c r="F125">
        <f t="shared" si="6"/>
        <v>0</v>
      </c>
    </row>
    <row r="126" spans="1:6" x14ac:dyDescent="0.25">
      <c r="A126">
        <v>11.5</v>
      </c>
      <c r="B126">
        <f t="shared" si="7"/>
        <v>0</v>
      </c>
      <c r="C126">
        <f t="shared" si="8"/>
        <v>2.9000000000000002E-6</v>
      </c>
      <c r="D126">
        <f t="shared" si="9"/>
        <v>0</v>
      </c>
      <c r="E126">
        <f t="shared" si="10"/>
        <v>2.9000000000000002E-6</v>
      </c>
      <c r="F126">
        <f t="shared" si="6"/>
        <v>0</v>
      </c>
    </row>
    <row r="127" spans="1:6" x14ac:dyDescent="0.25">
      <c r="A127">
        <v>11.6</v>
      </c>
      <c r="B127">
        <f t="shared" si="7"/>
        <v>-8.6999999999999694E-8</v>
      </c>
      <c r="C127">
        <f t="shared" si="8"/>
        <v>2.8130000000000004E-6</v>
      </c>
      <c r="D127">
        <f t="shared" si="9"/>
        <v>8.6999999999999694E-8</v>
      </c>
      <c r="E127">
        <f t="shared" si="10"/>
        <v>2.9000000000000002E-6</v>
      </c>
      <c r="F127">
        <f t="shared" si="6"/>
        <v>7.3949999999999732E-8</v>
      </c>
    </row>
    <row r="128" spans="1:6" x14ac:dyDescent="0.25">
      <c r="A128">
        <v>11.7</v>
      </c>
      <c r="B128">
        <f t="shared" si="7"/>
        <v>-8.4389999999999712E-8</v>
      </c>
      <c r="C128">
        <f t="shared" si="8"/>
        <v>2.7286100000000007E-6</v>
      </c>
      <c r="D128">
        <f t="shared" si="9"/>
        <v>1.7138999999999942E-7</v>
      </c>
      <c r="E128">
        <f t="shared" si="10"/>
        <v>2.9000000000000002E-6</v>
      </c>
      <c r="F128">
        <f t="shared" si="6"/>
        <v>1.456814999999995E-7</v>
      </c>
    </row>
    <row r="129" spans="1:6" x14ac:dyDescent="0.25">
      <c r="A129">
        <v>11.8</v>
      </c>
      <c r="B129">
        <f t="shared" si="7"/>
        <v>-8.1858300000001172E-8</v>
      </c>
      <c r="C129">
        <f t="shared" si="8"/>
        <v>2.6467516999999995E-6</v>
      </c>
      <c r="D129">
        <f t="shared" si="9"/>
        <v>2.5324830000000058E-7</v>
      </c>
      <c r="E129">
        <f t="shared" si="10"/>
        <v>2.9000000000000002E-6</v>
      </c>
      <c r="F129">
        <f t="shared" si="6"/>
        <v>2.1526105500000048E-7</v>
      </c>
    </row>
    <row r="130" spans="1:6" x14ac:dyDescent="0.25">
      <c r="A130">
        <v>11.9</v>
      </c>
      <c r="B130">
        <f t="shared" si="7"/>
        <v>-7.9402550999999694E-8</v>
      </c>
      <c r="C130">
        <f t="shared" si="8"/>
        <v>2.5673491489999998E-6</v>
      </c>
      <c r="D130">
        <f t="shared" si="9"/>
        <v>3.3265085100000029E-7</v>
      </c>
      <c r="E130">
        <f t="shared" si="10"/>
        <v>2.9000000000000002E-6</v>
      </c>
      <c r="F130">
        <f t="shared" si="6"/>
        <v>2.8275322335000021E-7</v>
      </c>
    </row>
    <row r="131" spans="1:6" x14ac:dyDescent="0.25">
      <c r="A131">
        <v>12</v>
      </c>
      <c r="B131">
        <f t="shared" si="7"/>
        <v>-7.7020474469999719E-8</v>
      </c>
      <c r="C131">
        <f t="shared" si="8"/>
        <v>2.4903286745300001E-6</v>
      </c>
      <c r="D131">
        <f t="shared" si="9"/>
        <v>4.0967132546999998E-7</v>
      </c>
      <c r="E131">
        <f t="shared" si="10"/>
        <v>2.9000000000000002E-6</v>
      </c>
      <c r="F131">
        <f t="shared" si="6"/>
        <v>3.4822062664949997E-7</v>
      </c>
    </row>
    <row r="132" spans="1:6" x14ac:dyDescent="0.25">
      <c r="A132">
        <v>12.1</v>
      </c>
      <c r="B132">
        <f t="shared" si="7"/>
        <v>-7.4709860235899742E-8</v>
      </c>
      <c r="C132">
        <f t="shared" si="8"/>
        <v>2.4156188142941005E-6</v>
      </c>
      <c r="D132">
        <f t="shared" si="9"/>
        <v>4.8438118570589969E-7</v>
      </c>
      <c r="E132">
        <f t="shared" si="10"/>
        <v>2.9000000000000002E-6</v>
      </c>
      <c r="F132">
        <f t="shared" si="6"/>
        <v>4.1172400785001473E-7</v>
      </c>
    </row>
    <row r="133" spans="1:6" x14ac:dyDescent="0.25">
      <c r="A133">
        <v>12.2</v>
      </c>
      <c r="B133">
        <f t="shared" si="7"/>
        <v>-7.2468564428822756E-8</v>
      </c>
      <c r="C133">
        <f t="shared" si="8"/>
        <v>2.3431502498652777E-6</v>
      </c>
      <c r="D133">
        <f t="shared" si="9"/>
        <v>5.5684975013472245E-7</v>
      </c>
      <c r="E133">
        <f t="shared" si="10"/>
        <v>2.9000000000000002E-6</v>
      </c>
      <c r="F133">
        <f t="shared" si="6"/>
        <v>4.7332228761451408E-7</v>
      </c>
    </row>
    <row r="134" spans="1:6" x14ac:dyDescent="0.25">
      <c r="A134">
        <v>12.3</v>
      </c>
      <c r="B134">
        <f t="shared" si="7"/>
        <v>-7.0294507495959331E-8</v>
      </c>
      <c r="C134">
        <f t="shared" si="8"/>
        <v>2.2728557423693183E-6</v>
      </c>
      <c r="D134">
        <f t="shared" si="9"/>
        <v>6.2714425763068181E-7</v>
      </c>
      <c r="E134">
        <f t="shared" si="10"/>
        <v>2.9000000000000002E-6</v>
      </c>
      <c r="F134">
        <f t="shared" si="6"/>
        <v>5.3307261898607956E-7</v>
      </c>
    </row>
    <row r="135" spans="1:6" x14ac:dyDescent="0.25">
      <c r="A135">
        <v>12.4</v>
      </c>
      <c r="B135">
        <f t="shared" si="7"/>
        <v>-6.8185672271079303E-8</v>
      </c>
      <c r="C135">
        <f t="shared" si="8"/>
        <v>2.2046700700982388E-6</v>
      </c>
      <c r="D135">
        <f t="shared" si="9"/>
        <v>6.953299299017611E-7</v>
      </c>
      <c r="E135">
        <f t="shared" si="10"/>
        <v>2.8999999999999998E-6</v>
      </c>
      <c r="F135">
        <f t="shared" si="6"/>
        <v>5.9103044041649693E-7</v>
      </c>
    </row>
    <row r="136" spans="1:6" x14ac:dyDescent="0.25">
      <c r="A136">
        <v>12.5</v>
      </c>
      <c r="B136">
        <f t="shared" si="7"/>
        <v>-6.6140102102946923E-8</v>
      </c>
      <c r="C136">
        <f t="shared" si="8"/>
        <v>2.138529967995292E-6</v>
      </c>
      <c r="D136">
        <f t="shared" si="9"/>
        <v>7.6147003200470798E-7</v>
      </c>
      <c r="E136">
        <f t="shared" si="10"/>
        <v>2.9000000000000002E-6</v>
      </c>
      <c r="F136">
        <f t="shared" si="6"/>
        <v>6.4724952720400175E-7</v>
      </c>
    </row>
    <row r="137" spans="1:6" x14ac:dyDescent="0.25">
      <c r="A137">
        <v>12.6</v>
      </c>
      <c r="B137">
        <f t="shared" si="7"/>
        <v>-6.4155899039858525E-8</v>
      </c>
      <c r="C137">
        <f t="shared" si="8"/>
        <v>2.0743740689554336E-6</v>
      </c>
      <c r="D137">
        <f t="shared" si="9"/>
        <v>8.2562593104456656E-7</v>
      </c>
      <c r="E137">
        <f t="shared" si="10"/>
        <v>2.9000000000000002E-6</v>
      </c>
      <c r="F137">
        <f t="shared" si="6"/>
        <v>7.0178204138788155E-7</v>
      </c>
    </row>
    <row r="138" spans="1:6" x14ac:dyDescent="0.25">
      <c r="A138">
        <v>12.7</v>
      </c>
      <c r="B138">
        <f t="shared" si="7"/>
        <v>-6.2231222068662775E-8</v>
      </c>
      <c r="C138">
        <f t="shared" si="8"/>
        <v>2.012142846886771E-6</v>
      </c>
      <c r="D138">
        <f t="shared" si="9"/>
        <v>8.8785715311322936E-7</v>
      </c>
      <c r="E138">
        <f t="shared" si="10"/>
        <v>2.9000000000000002E-6</v>
      </c>
      <c r="F138">
        <f t="shared" si="6"/>
        <v>7.5467858014624497E-7</v>
      </c>
    </row>
    <row r="139" spans="1:6" x14ac:dyDescent="0.25">
      <c r="A139">
        <v>12.8</v>
      </c>
      <c r="B139">
        <f t="shared" si="7"/>
        <v>-6.0364285406603977E-8</v>
      </c>
      <c r="C139">
        <f t="shared" si="8"/>
        <v>1.951778561480167E-6</v>
      </c>
      <c r="D139">
        <f t="shared" si="9"/>
        <v>9.4822143851983336E-7</v>
      </c>
      <c r="E139">
        <f t="shared" si="10"/>
        <v>2.9000000000000002E-6</v>
      </c>
      <c r="F139">
        <f t="shared" si="6"/>
        <v>8.0598822274185839E-7</v>
      </c>
    </row>
    <row r="140" spans="1:6" x14ac:dyDescent="0.25">
      <c r="A140">
        <v>12.9</v>
      </c>
      <c r="B140">
        <f t="shared" si="7"/>
        <v>-5.8553356844404799E-8</v>
      </c>
      <c r="C140">
        <f t="shared" si="8"/>
        <v>1.8932252046357623E-6</v>
      </c>
      <c r="D140">
        <f t="shared" si="9"/>
        <v>1.0067747953642381E-6</v>
      </c>
      <c r="E140">
        <f t="shared" si="10"/>
        <v>2.9000000000000002E-6</v>
      </c>
      <c r="F140">
        <f t="shared" ref="F140:F203" si="11">D140*0.85</f>
        <v>8.5575857605960243E-7</v>
      </c>
    </row>
    <row r="141" spans="1:6" x14ac:dyDescent="0.25">
      <c r="A141">
        <v>13</v>
      </c>
      <c r="B141">
        <f t="shared" ref="B141:B204" si="12">IF(A140&lt;$G$4,0,-$G$3*(C140)*(A141-A140))</f>
        <v>-5.6796756139072663E-8</v>
      </c>
      <c r="C141">
        <f t="shared" ref="C141:C204" si="13">C140+B141</f>
        <v>1.8364284484966897E-6</v>
      </c>
      <c r="D141">
        <f t="shared" ref="D141:D204" si="14">D140-B141</f>
        <v>1.0635715515033109E-6</v>
      </c>
      <c r="E141">
        <f t="shared" ref="E141:E204" si="15">SUM(C141:D141)</f>
        <v>2.9000000000000006E-6</v>
      </c>
      <c r="F141">
        <f t="shared" si="11"/>
        <v>9.0403581877781422E-7</v>
      </c>
    </row>
    <row r="142" spans="1:6" x14ac:dyDescent="0.25">
      <c r="A142">
        <v>13.1</v>
      </c>
      <c r="B142">
        <f t="shared" si="12"/>
        <v>-5.5092853454900492E-8</v>
      </c>
      <c r="C142">
        <f t="shared" si="13"/>
        <v>1.7813355950417893E-6</v>
      </c>
      <c r="D142">
        <f t="shared" si="14"/>
        <v>1.1186644049582113E-6</v>
      </c>
      <c r="E142">
        <f t="shared" si="15"/>
        <v>2.9000000000000006E-6</v>
      </c>
      <c r="F142">
        <f t="shared" si="11"/>
        <v>9.5086474421447963E-7</v>
      </c>
    </row>
    <row r="143" spans="1:6" x14ac:dyDescent="0.25">
      <c r="A143">
        <v>13.2</v>
      </c>
      <c r="B143">
        <f t="shared" si="12"/>
        <v>-5.344006785125348E-8</v>
      </c>
      <c r="C143">
        <f t="shared" si="13"/>
        <v>1.7278955271905358E-6</v>
      </c>
      <c r="D143">
        <f t="shared" si="14"/>
        <v>1.1721044728094648E-6</v>
      </c>
      <c r="E143">
        <f t="shared" si="15"/>
        <v>2.9000000000000006E-6</v>
      </c>
      <c r="F143">
        <f t="shared" si="11"/>
        <v>9.9628880188804504E-7</v>
      </c>
    </row>
    <row r="144" spans="1:6" x14ac:dyDescent="0.25">
      <c r="A144">
        <v>13.3</v>
      </c>
      <c r="B144">
        <f t="shared" si="12"/>
        <v>-5.1836865815716812E-8</v>
      </c>
      <c r="C144">
        <f t="shared" si="13"/>
        <v>1.6760586613748191E-6</v>
      </c>
      <c r="D144">
        <f t="shared" si="14"/>
        <v>1.2239413386251815E-6</v>
      </c>
      <c r="E144">
        <f t="shared" si="15"/>
        <v>2.9000000000000006E-6</v>
      </c>
      <c r="F144">
        <f t="shared" si="11"/>
        <v>1.0403501378314042E-6</v>
      </c>
    </row>
    <row r="145" spans="1:6" x14ac:dyDescent="0.25">
      <c r="A145">
        <v>13.4</v>
      </c>
      <c r="B145">
        <f t="shared" si="12"/>
        <v>-5.0281759841244396E-8</v>
      </c>
      <c r="C145">
        <f t="shared" si="13"/>
        <v>1.6257769015335748E-6</v>
      </c>
      <c r="D145">
        <f t="shared" si="14"/>
        <v>1.2742230984664258E-6</v>
      </c>
      <c r="E145">
        <f t="shared" si="15"/>
        <v>2.9000000000000006E-6</v>
      </c>
      <c r="F145">
        <f t="shared" si="11"/>
        <v>1.0830896336964619E-6</v>
      </c>
    </row>
    <row r="146" spans="1:6" x14ac:dyDescent="0.25">
      <c r="A146">
        <v>13.5</v>
      </c>
      <c r="B146">
        <f t="shared" si="12"/>
        <v>-4.8773307046007069E-8</v>
      </c>
      <c r="C146">
        <f t="shared" si="13"/>
        <v>1.5770035944875676E-6</v>
      </c>
      <c r="D146">
        <f t="shared" si="14"/>
        <v>1.322996405512433E-6</v>
      </c>
      <c r="E146">
        <f t="shared" si="15"/>
        <v>2.9000000000000006E-6</v>
      </c>
      <c r="F146">
        <f t="shared" si="11"/>
        <v>1.124546944685568E-6</v>
      </c>
    </row>
    <row r="147" spans="1:6" x14ac:dyDescent="0.25">
      <c r="A147">
        <v>13.6</v>
      </c>
      <c r="B147">
        <f t="shared" si="12"/>
        <v>-4.7310107834626855E-8</v>
      </c>
      <c r="C147">
        <f t="shared" si="13"/>
        <v>1.5296934866529409E-6</v>
      </c>
      <c r="D147">
        <f t="shared" si="14"/>
        <v>1.3703065133470597E-6</v>
      </c>
      <c r="E147">
        <f t="shared" si="15"/>
        <v>2.9000000000000006E-6</v>
      </c>
      <c r="F147">
        <f t="shared" si="11"/>
        <v>1.1647605363450008E-6</v>
      </c>
    </row>
    <row r="148" spans="1:6" x14ac:dyDescent="0.25">
      <c r="A148">
        <v>13.7</v>
      </c>
      <c r="B148">
        <f t="shared" si="12"/>
        <v>-4.5890804599588062E-8</v>
      </c>
      <c r="C148">
        <f t="shared" si="13"/>
        <v>1.4838026820533528E-6</v>
      </c>
      <c r="D148">
        <f t="shared" si="14"/>
        <v>1.4161973179466478E-6</v>
      </c>
      <c r="E148">
        <f t="shared" si="15"/>
        <v>2.9000000000000006E-6</v>
      </c>
      <c r="F148">
        <f t="shared" si="11"/>
        <v>1.2037677202546505E-6</v>
      </c>
    </row>
    <row r="149" spans="1:6" x14ac:dyDescent="0.25">
      <c r="A149">
        <v>13.8</v>
      </c>
      <c r="B149">
        <f t="shared" si="12"/>
        <v>-4.4514080461601215E-8</v>
      </c>
      <c r="C149">
        <f t="shared" si="13"/>
        <v>1.4392886015917516E-6</v>
      </c>
      <c r="D149">
        <f t="shared" si="14"/>
        <v>1.460711398408249E-6</v>
      </c>
      <c r="E149">
        <f t="shared" si="15"/>
        <v>2.9000000000000006E-6</v>
      </c>
      <c r="F149">
        <f t="shared" si="11"/>
        <v>1.2416046886470116E-6</v>
      </c>
    </row>
    <row r="150" spans="1:6" x14ac:dyDescent="0.25">
      <c r="A150">
        <v>13.9</v>
      </c>
      <c r="B150">
        <f t="shared" si="12"/>
        <v>-4.3178658047752392E-8</v>
      </c>
      <c r="C150">
        <f t="shared" si="13"/>
        <v>1.3961099435439991E-6</v>
      </c>
      <c r="D150">
        <f t="shared" si="14"/>
        <v>1.5038900564560015E-6</v>
      </c>
      <c r="E150">
        <f t="shared" si="15"/>
        <v>2.9000000000000006E-6</v>
      </c>
      <c r="F150">
        <f t="shared" si="11"/>
        <v>1.2783065479876013E-6</v>
      </c>
    </row>
    <row r="151" spans="1:6" x14ac:dyDescent="0.25">
      <c r="A151">
        <v>14</v>
      </c>
      <c r="B151">
        <f t="shared" si="12"/>
        <v>-4.1883298306319825E-8</v>
      </c>
      <c r="C151">
        <f t="shared" si="13"/>
        <v>1.3542266452376792E-6</v>
      </c>
      <c r="D151">
        <f t="shared" si="14"/>
        <v>1.5457733547623214E-6</v>
      </c>
      <c r="E151">
        <f t="shared" si="15"/>
        <v>2.9000000000000006E-6</v>
      </c>
      <c r="F151">
        <f t="shared" si="11"/>
        <v>1.3139073515479731E-6</v>
      </c>
    </row>
    <row r="152" spans="1:6" x14ac:dyDescent="0.25">
      <c r="A152">
        <v>14.1</v>
      </c>
      <c r="B152">
        <f t="shared" si="12"/>
        <v>-4.0626799357130229E-8</v>
      </c>
      <c r="C152">
        <f t="shared" si="13"/>
        <v>1.313599845880549E-6</v>
      </c>
      <c r="D152">
        <f t="shared" si="14"/>
        <v>1.5864001541194517E-6</v>
      </c>
      <c r="E152">
        <f t="shared" si="15"/>
        <v>2.9000000000000006E-6</v>
      </c>
      <c r="F152">
        <f t="shared" si="11"/>
        <v>1.3484401310015338E-6</v>
      </c>
    </row>
    <row r="153" spans="1:6" x14ac:dyDescent="0.25">
      <c r="A153">
        <v>14.2</v>
      </c>
      <c r="B153">
        <f t="shared" si="12"/>
        <v>-3.9407995376416326E-8</v>
      </c>
      <c r="C153">
        <f t="shared" si="13"/>
        <v>1.2741918505041327E-6</v>
      </c>
      <c r="D153">
        <f t="shared" si="14"/>
        <v>1.6258081494958679E-6</v>
      </c>
      <c r="E153">
        <f t="shared" si="15"/>
        <v>2.9000000000000006E-6</v>
      </c>
      <c r="F153">
        <f t="shared" si="11"/>
        <v>1.3819369270714877E-6</v>
      </c>
    </row>
    <row r="154" spans="1:6" x14ac:dyDescent="0.25">
      <c r="A154">
        <v>14.3</v>
      </c>
      <c r="B154">
        <f t="shared" si="12"/>
        <v>-3.8225755515124522E-8</v>
      </c>
      <c r="C154">
        <f t="shared" si="13"/>
        <v>1.2359660949890081E-6</v>
      </c>
      <c r="D154">
        <f t="shared" si="14"/>
        <v>1.6640339050109925E-6</v>
      </c>
      <c r="E154">
        <f t="shared" si="15"/>
        <v>2.9000000000000006E-6</v>
      </c>
      <c r="F154">
        <f t="shared" si="11"/>
        <v>1.4144288192593437E-6</v>
      </c>
    </row>
    <row r="155" spans="1:6" x14ac:dyDescent="0.25">
      <c r="A155">
        <v>14.4</v>
      </c>
      <c r="B155">
        <f t="shared" si="12"/>
        <v>-3.707898284967011E-8</v>
      </c>
      <c r="C155">
        <f t="shared" si="13"/>
        <v>1.1988871121393379E-6</v>
      </c>
      <c r="D155">
        <f t="shared" si="14"/>
        <v>1.7011128878606627E-6</v>
      </c>
      <c r="E155">
        <f t="shared" si="15"/>
        <v>2.9000000000000006E-6</v>
      </c>
      <c r="F155">
        <f t="shared" si="11"/>
        <v>1.4459459546815632E-6</v>
      </c>
    </row>
    <row r="156" spans="1:6" x14ac:dyDescent="0.25">
      <c r="A156">
        <v>14.5</v>
      </c>
      <c r="B156">
        <f t="shared" si="12"/>
        <v>-3.5966613364180009E-8</v>
      </c>
      <c r="C156">
        <f t="shared" si="13"/>
        <v>1.1629204987751579E-6</v>
      </c>
      <c r="D156">
        <f t="shared" si="14"/>
        <v>1.7370795012248427E-6</v>
      </c>
      <c r="E156">
        <f t="shared" si="15"/>
        <v>2.9000000000000006E-6</v>
      </c>
      <c r="F156">
        <f t="shared" si="11"/>
        <v>1.4765175760411162E-6</v>
      </c>
    </row>
    <row r="157" spans="1:6" x14ac:dyDescent="0.25">
      <c r="A157">
        <v>14.6</v>
      </c>
      <c r="B157">
        <f t="shared" si="12"/>
        <v>-3.4887614963254613E-8</v>
      </c>
      <c r="C157">
        <f t="shared" si="13"/>
        <v>1.1280328838119033E-6</v>
      </c>
      <c r="D157">
        <f t="shared" si="14"/>
        <v>1.7719671161880973E-6</v>
      </c>
      <c r="E157">
        <f t="shared" si="15"/>
        <v>2.9000000000000006E-6</v>
      </c>
      <c r="F157">
        <f t="shared" si="11"/>
        <v>1.5061720487598827E-6</v>
      </c>
    </row>
    <row r="158" spans="1:6" x14ac:dyDescent="0.25">
      <c r="A158">
        <v>14.7</v>
      </c>
      <c r="B158">
        <f t="shared" si="12"/>
        <v>-3.3840986514356979E-8</v>
      </c>
      <c r="C158">
        <f t="shared" si="13"/>
        <v>1.0941918972975463E-6</v>
      </c>
      <c r="D158">
        <f t="shared" si="14"/>
        <v>1.8058081027024543E-6</v>
      </c>
      <c r="E158">
        <f t="shared" si="15"/>
        <v>2.9000000000000006E-6</v>
      </c>
      <c r="F158">
        <f t="shared" si="11"/>
        <v>1.534936887297086E-6</v>
      </c>
    </row>
    <row r="159" spans="1:6" x14ac:dyDescent="0.25">
      <c r="A159">
        <v>14.8</v>
      </c>
      <c r="B159">
        <f t="shared" si="12"/>
        <v>-3.2825756918926854E-8</v>
      </c>
      <c r="C159">
        <f t="shared" si="13"/>
        <v>1.0613661403786194E-6</v>
      </c>
      <c r="D159">
        <f t="shared" si="14"/>
        <v>1.8386338596213812E-6</v>
      </c>
      <c r="E159">
        <f t="shared" si="15"/>
        <v>2.9000000000000006E-6</v>
      </c>
      <c r="F159">
        <f t="shared" si="11"/>
        <v>1.5628387806781739E-6</v>
      </c>
    </row>
    <row r="160" spans="1:6" x14ac:dyDescent="0.25">
      <c r="A160">
        <v>14.9</v>
      </c>
      <c r="B160">
        <f t="shared" si="12"/>
        <v>-3.1840984211358466E-8</v>
      </c>
      <c r="C160">
        <f t="shared" si="13"/>
        <v>1.0295251561672609E-6</v>
      </c>
      <c r="D160">
        <f t="shared" si="14"/>
        <v>1.8704748438327397E-6</v>
      </c>
      <c r="E160">
        <f t="shared" si="15"/>
        <v>2.9000000000000006E-6</v>
      </c>
      <c r="F160">
        <f t="shared" si="11"/>
        <v>1.5899036172578287E-6</v>
      </c>
    </row>
    <row r="161" spans="1:6" x14ac:dyDescent="0.25">
      <c r="A161">
        <v>15</v>
      </c>
      <c r="B161">
        <f t="shared" si="12"/>
        <v>-3.0885754685017717E-8</v>
      </c>
      <c r="C161">
        <f t="shared" si="13"/>
        <v>9.9863940148224312E-7</v>
      </c>
      <c r="D161">
        <f t="shared" si="14"/>
        <v>1.9013605985177575E-6</v>
      </c>
      <c r="E161">
        <f t="shared" si="15"/>
        <v>2.9000000000000006E-6</v>
      </c>
      <c r="F161">
        <f t="shared" si="11"/>
        <v>1.6161565087400938E-6</v>
      </c>
    </row>
    <row r="162" spans="1:6" x14ac:dyDescent="0.25">
      <c r="A162">
        <v>15.1</v>
      </c>
      <c r="B162">
        <f t="shared" si="12"/>
        <v>-2.9959182044467187E-8</v>
      </c>
      <c r="C162">
        <f t="shared" si="13"/>
        <v>9.6868021943777592E-7</v>
      </c>
      <c r="D162">
        <f t="shared" si="14"/>
        <v>1.9313197805622247E-6</v>
      </c>
      <c r="E162">
        <f t="shared" si="15"/>
        <v>2.9000000000000006E-6</v>
      </c>
      <c r="F162">
        <f t="shared" si="11"/>
        <v>1.641621813477891E-6</v>
      </c>
    </row>
    <row r="163" spans="1:6" x14ac:dyDescent="0.25">
      <c r="A163">
        <v>15.2</v>
      </c>
      <c r="B163">
        <f t="shared" si="12"/>
        <v>-2.9060406583133173E-8</v>
      </c>
      <c r="C163">
        <f t="shared" si="13"/>
        <v>9.3961981285464274E-7</v>
      </c>
      <c r="D163">
        <f t="shared" si="14"/>
        <v>1.9603801871453578E-6</v>
      </c>
      <c r="E163">
        <f t="shared" si="15"/>
        <v>2.9000000000000006E-6</v>
      </c>
      <c r="F163">
        <f t="shared" si="11"/>
        <v>1.6663231590735541E-6</v>
      </c>
    </row>
    <row r="164" spans="1:6" x14ac:dyDescent="0.25">
      <c r="A164">
        <v>15.3</v>
      </c>
      <c r="B164">
        <f t="shared" si="12"/>
        <v>-2.8188594385639683E-8</v>
      </c>
      <c r="C164">
        <f t="shared" si="13"/>
        <v>9.1143121846900302E-7</v>
      </c>
      <c r="D164">
        <f t="shared" si="14"/>
        <v>1.9885687815309974E-6</v>
      </c>
      <c r="E164">
        <f t="shared" si="15"/>
        <v>2.9000000000000002E-6</v>
      </c>
      <c r="F164">
        <f t="shared" si="11"/>
        <v>1.6902834643013477E-6</v>
      </c>
    </row>
    <row r="165" spans="1:6" x14ac:dyDescent="0.25">
      <c r="A165">
        <v>15.4</v>
      </c>
      <c r="B165">
        <f t="shared" si="12"/>
        <v>-2.7342936554069991E-8</v>
      </c>
      <c r="C165">
        <f t="shared" si="13"/>
        <v>8.84088281914933E-7</v>
      </c>
      <c r="D165">
        <f t="shared" si="14"/>
        <v>2.0159117180850675E-6</v>
      </c>
      <c r="E165">
        <f t="shared" si="15"/>
        <v>2.9000000000000006E-6</v>
      </c>
      <c r="F165">
        <f t="shared" si="11"/>
        <v>1.7135249603723073E-6</v>
      </c>
    </row>
    <row r="166" spans="1:6" x14ac:dyDescent="0.25">
      <c r="A166">
        <v>15.5</v>
      </c>
      <c r="B166">
        <f t="shared" si="12"/>
        <v>-2.6522648457447894E-8</v>
      </c>
      <c r="C166">
        <f t="shared" si="13"/>
        <v>8.5756563345748515E-7</v>
      </c>
      <c r="D166">
        <f t="shared" si="14"/>
        <v>2.0424343665425154E-6</v>
      </c>
      <c r="E166">
        <f t="shared" si="15"/>
        <v>2.9000000000000006E-6</v>
      </c>
      <c r="F166">
        <f t="shared" si="11"/>
        <v>1.7360692115611379E-6</v>
      </c>
    </row>
    <row r="167" spans="1:6" x14ac:dyDescent="0.25">
      <c r="A167">
        <v>15.6</v>
      </c>
      <c r="B167">
        <f t="shared" si="12"/>
        <v>-2.5726969003724463E-8</v>
      </c>
      <c r="C167">
        <f t="shared" si="13"/>
        <v>8.3183866445376073E-7</v>
      </c>
      <c r="D167">
        <f t="shared" si="14"/>
        <v>2.0681613355462397E-6</v>
      </c>
      <c r="E167">
        <f t="shared" si="15"/>
        <v>2.9000000000000002E-6</v>
      </c>
      <c r="F167">
        <f t="shared" si="11"/>
        <v>1.7579371352143036E-6</v>
      </c>
    </row>
    <row r="168" spans="1:6" x14ac:dyDescent="0.25">
      <c r="A168">
        <v>15.7</v>
      </c>
      <c r="B168">
        <f t="shared" si="12"/>
        <v>-2.4955159933612733E-8</v>
      </c>
      <c r="C168">
        <f t="shared" si="13"/>
        <v>8.0688350452014805E-7</v>
      </c>
      <c r="D168">
        <f t="shared" si="14"/>
        <v>2.0931164954798524E-6</v>
      </c>
      <c r="E168">
        <f t="shared" si="15"/>
        <v>2.9000000000000002E-6</v>
      </c>
      <c r="F168">
        <f t="shared" si="11"/>
        <v>1.7791490211578745E-6</v>
      </c>
    </row>
    <row r="169" spans="1:6" x14ac:dyDescent="0.25">
      <c r="A169">
        <v>15.8</v>
      </c>
      <c r="B169">
        <f t="shared" si="12"/>
        <v>-2.4206505135604784E-8</v>
      </c>
      <c r="C169">
        <f t="shared" si="13"/>
        <v>7.8267699938454325E-7</v>
      </c>
      <c r="D169">
        <f t="shared" si="14"/>
        <v>2.1173230006154571E-6</v>
      </c>
      <c r="E169">
        <f t="shared" si="15"/>
        <v>2.9000000000000002E-6</v>
      </c>
      <c r="F169">
        <f t="shared" si="11"/>
        <v>1.7997245505231386E-6</v>
      </c>
    </row>
    <row r="170" spans="1:6" x14ac:dyDescent="0.25">
      <c r="A170">
        <v>15.9</v>
      </c>
      <c r="B170">
        <f t="shared" si="12"/>
        <v>-2.3480309981536212E-8</v>
      </c>
      <c r="C170">
        <f t="shared" si="13"/>
        <v>7.5919668940300708E-7</v>
      </c>
      <c r="D170">
        <f t="shared" si="14"/>
        <v>2.1408033105969933E-6</v>
      </c>
      <c r="E170">
        <f t="shared" si="15"/>
        <v>2.9000000000000002E-6</v>
      </c>
      <c r="F170">
        <f t="shared" si="11"/>
        <v>1.8196828140074442E-6</v>
      </c>
    </row>
    <row r="171" spans="1:6" x14ac:dyDescent="0.25">
      <c r="A171">
        <v>16</v>
      </c>
      <c r="B171">
        <f t="shared" si="12"/>
        <v>-2.2775900682090128E-8</v>
      </c>
      <c r="C171">
        <f t="shared" si="13"/>
        <v>7.3642078872091691E-7</v>
      </c>
      <c r="D171">
        <f t="shared" si="14"/>
        <v>2.1635792112790834E-6</v>
      </c>
      <c r="E171">
        <f t="shared" si="15"/>
        <v>2.9000000000000002E-6</v>
      </c>
      <c r="F171">
        <f t="shared" si="11"/>
        <v>1.8390423295872209E-6</v>
      </c>
    </row>
    <row r="172" spans="1:6" x14ac:dyDescent="0.25">
      <c r="A172">
        <v>16.100000000000001</v>
      </c>
      <c r="B172">
        <f t="shared" si="12"/>
        <v>-2.2092623661627818E-8</v>
      </c>
      <c r="C172">
        <f t="shared" si="13"/>
        <v>7.1432816505928911E-7</v>
      </c>
      <c r="D172">
        <f t="shared" si="14"/>
        <v>2.1856718349407112E-6</v>
      </c>
      <c r="E172">
        <f t="shared" si="15"/>
        <v>2.9000000000000002E-6</v>
      </c>
      <c r="F172">
        <f t="shared" si="11"/>
        <v>1.8578210596996044E-6</v>
      </c>
    </row>
    <row r="173" spans="1:6" x14ac:dyDescent="0.25">
      <c r="A173">
        <v>16.2</v>
      </c>
      <c r="B173">
        <f t="shared" si="12"/>
        <v>-2.1429844951778217E-8</v>
      </c>
      <c r="C173">
        <f t="shared" si="13"/>
        <v>6.9289832010751094E-7</v>
      </c>
      <c r="D173">
        <f t="shared" si="14"/>
        <v>2.2071016798924892E-6</v>
      </c>
      <c r="E173">
        <f t="shared" si="15"/>
        <v>2.9000000000000002E-6</v>
      </c>
      <c r="F173">
        <f t="shared" si="11"/>
        <v>1.8760364279086159E-6</v>
      </c>
    </row>
    <row r="174" spans="1:6" x14ac:dyDescent="0.25">
      <c r="A174">
        <v>16.3</v>
      </c>
      <c r="B174">
        <f t="shared" si="12"/>
        <v>-2.0786949603225624E-8</v>
      </c>
      <c r="C174">
        <f t="shared" si="13"/>
        <v>6.7211137050428535E-7</v>
      </c>
      <c r="D174">
        <f t="shared" si="14"/>
        <v>2.2278886294957151E-6</v>
      </c>
      <c r="E174">
        <f t="shared" si="15"/>
        <v>2.9000000000000002E-6</v>
      </c>
      <c r="F174">
        <f t="shared" si="11"/>
        <v>1.8937053350713578E-6</v>
      </c>
    </row>
    <row r="175" spans="1:6" x14ac:dyDescent="0.25">
      <c r="A175">
        <v>16.399999999999999</v>
      </c>
      <c r="B175">
        <f t="shared" si="12"/>
        <v>-2.0163341115128129E-8</v>
      </c>
      <c r="C175">
        <f t="shared" si="13"/>
        <v>6.5194802938915723E-7</v>
      </c>
      <c r="D175">
        <f t="shared" si="14"/>
        <v>2.2480519706108431E-6</v>
      </c>
      <c r="E175">
        <f t="shared" si="15"/>
        <v>2.9000000000000002E-6</v>
      </c>
      <c r="F175">
        <f t="shared" si="11"/>
        <v>1.9108441750192165E-6</v>
      </c>
    </row>
    <row r="176" spans="1:6" x14ac:dyDescent="0.25">
      <c r="A176">
        <v>16.5</v>
      </c>
      <c r="B176">
        <f t="shared" si="12"/>
        <v>-1.9558440881674994E-8</v>
      </c>
      <c r="C176">
        <f t="shared" si="13"/>
        <v>6.3238958850748222E-7</v>
      </c>
      <c r="D176">
        <f t="shared" si="14"/>
        <v>2.2676104114925182E-6</v>
      </c>
      <c r="E176">
        <f t="shared" si="15"/>
        <v>2.9000000000000002E-6</v>
      </c>
      <c r="F176">
        <f t="shared" si="11"/>
        <v>1.9274688497686402E-6</v>
      </c>
    </row>
    <row r="177" spans="1:6" x14ac:dyDescent="0.25">
      <c r="A177">
        <v>16.600000000000001</v>
      </c>
      <c r="B177">
        <f t="shared" si="12"/>
        <v>-1.8971687655224734E-8</v>
      </c>
      <c r="C177">
        <f t="shared" si="13"/>
        <v>6.134179008522575E-7</v>
      </c>
      <c r="D177">
        <f t="shared" si="14"/>
        <v>2.2865820991477431E-6</v>
      </c>
      <c r="E177">
        <f t="shared" si="15"/>
        <v>2.9000000000000006E-6</v>
      </c>
      <c r="F177">
        <f t="shared" si="11"/>
        <v>1.9435947842755818E-6</v>
      </c>
    </row>
    <row r="178" spans="1:6" x14ac:dyDescent="0.25">
      <c r="A178">
        <v>16.7</v>
      </c>
      <c r="B178">
        <f t="shared" si="12"/>
        <v>-1.8402537025567333E-8</v>
      </c>
      <c r="C178">
        <f t="shared" si="13"/>
        <v>5.9501536382669013E-7</v>
      </c>
      <c r="D178">
        <f t="shared" si="14"/>
        <v>2.3049846361733103E-6</v>
      </c>
      <c r="E178">
        <f t="shared" si="15"/>
        <v>2.9000000000000002E-6</v>
      </c>
      <c r="F178">
        <f t="shared" si="11"/>
        <v>1.9592369407473139E-6</v>
      </c>
    </row>
    <row r="179" spans="1:6" x14ac:dyDescent="0.25">
      <c r="A179">
        <v>16.8</v>
      </c>
      <c r="B179">
        <f t="shared" si="12"/>
        <v>-1.7850460914800955E-8</v>
      </c>
      <c r="C179">
        <f t="shared" si="13"/>
        <v>5.7716490291188921E-7</v>
      </c>
      <c r="D179">
        <f t="shared" si="14"/>
        <v>2.3228350970881111E-6</v>
      </c>
      <c r="E179">
        <f t="shared" si="15"/>
        <v>2.9000000000000002E-6</v>
      </c>
      <c r="F179">
        <f t="shared" si="11"/>
        <v>1.9744098325248942E-6</v>
      </c>
    </row>
    <row r="180" spans="1:6" x14ac:dyDescent="0.25">
      <c r="A180">
        <v>16.899999999999999</v>
      </c>
      <c r="B180">
        <f t="shared" si="12"/>
        <v>-1.7314947087356307E-8</v>
      </c>
      <c r="C180">
        <f t="shared" si="13"/>
        <v>5.5984995582453286E-7</v>
      </c>
      <c r="D180">
        <f t="shared" si="14"/>
        <v>2.3401500441754672E-6</v>
      </c>
      <c r="E180">
        <f t="shared" si="15"/>
        <v>2.9000000000000002E-6</v>
      </c>
      <c r="F180">
        <f t="shared" si="11"/>
        <v>1.9891275375491471E-6</v>
      </c>
    </row>
    <row r="181" spans="1:6" x14ac:dyDescent="0.25">
      <c r="A181">
        <v>17</v>
      </c>
      <c r="B181">
        <f t="shared" si="12"/>
        <v>-1.6795498674736224E-8</v>
      </c>
      <c r="C181">
        <f t="shared" si="13"/>
        <v>5.4305445714979662E-7</v>
      </c>
      <c r="D181">
        <f t="shared" si="14"/>
        <v>2.3569455428502035E-6</v>
      </c>
      <c r="E181">
        <f t="shared" si="15"/>
        <v>2.9000000000000002E-6</v>
      </c>
      <c r="F181">
        <f t="shared" si="11"/>
        <v>2.003403711422673E-6</v>
      </c>
    </row>
    <row r="182" spans="1:6" x14ac:dyDescent="0.25">
      <c r="A182">
        <v>17.100000000000001</v>
      </c>
      <c r="B182">
        <f t="shared" si="12"/>
        <v>-1.6291633714494132E-8</v>
      </c>
      <c r="C182">
        <f t="shared" si="13"/>
        <v>5.2676282343530252E-7</v>
      </c>
      <c r="D182">
        <f t="shared" si="14"/>
        <v>2.3732371765646976E-6</v>
      </c>
      <c r="E182">
        <f t="shared" si="15"/>
        <v>2.9000000000000002E-6</v>
      </c>
      <c r="F182">
        <f t="shared" si="11"/>
        <v>2.0172516000799929E-6</v>
      </c>
    </row>
    <row r="183" spans="1:6" x14ac:dyDescent="0.25">
      <c r="A183">
        <v>17.2</v>
      </c>
      <c r="B183">
        <f t="shared" si="12"/>
        <v>-1.5802884703058739E-8</v>
      </c>
      <c r="C183">
        <f t="shared" si="13"/>
        <v>5.1095993873224379E-7</v>
      </c>
      <c r="D183">
        <f t="shared" si="14"/>
        <v>2.3890400612677563E-6</v>
      </c>
      <c r="E183">
        <f t="shared" si="15"/>
        <v>2.9000000000000002E-6</v>
      </c>
      <c r="F183">
        <f t="shared" si="11"/>
        <v>2.0306840520775929E-6</v>
      </c>
    </row>
    <row r="184" spans="1:6" x14ac:dyDescent="0.25">
      <c r="A184">
        <v>17.3</v>
      </c>
      <c r="B184">
        <f t="shared" si="12"/>
        <v>-1.5328798161967532E-8</v>
      </c>
      <c r="C184">
        <f t="shared" si="13"/>
        <v>4.9563114057027621E-7</v>
      </c>
      <c r="D184">
        <f t="shared" si="14"/>
        <v>2.404368859429724E-6</v>
      </c>
      <c r="E184">
        <f t="shared" si="15"/>
        <v>2.9000000000000002E-6</v>
      </c>
      <c r="F184">
        <f t="shared" si="11"/>
        <v>2.0437135305152651E-6</v>
      </c>
    </row>
    <row r="185" spans="1:6" x14ac:dyDescent="0.25">
      <c r="A185">
        <v>17.399999999999999</v>
      </c>
      <c r="B185">
        <f t="shared" si="12"/>
        <v>-1.4868934217107969E-8</v>
      </c>
      <c r="C185">
        <f t="shared" si="13"/>
        <v>4.807622063531682E-7</v>
      </c>
      <c r="D185">
        <f t="shared" si="14"/>
        <v>2.4192377936468319E-6</v>
      </c>
      <c r="E185">
        <f t="shared" si="15"/>
        <v>2.9000000000000002E-6</v>
      </c>
      <c r="F185">
        <f t="shared" si="11"/>
        <v>2.0563521245998072E-6</v>
      </c>
    </row>
    <row r="186" spans="1:6" x14ac:dyDescent="0.25">
      <c r="A186">
        <v>17.5</v>
      </c>
      <c r="B186">
        <f t="shared" si="12"/>
        <v>-1.4422866190595249E-8</v>
      </c>
      <c r="C186">
        <f t="shared" si="13"/>
        <v>4.6633934016257296E-7</v>
      </c>
      <c r="D186">
        <f t="shared" si="14"/>
        <v>2.433660659837427E-6</v>
      </c>
      <c r="E186">
        <f t="shared" si="15"/>
        <v>2.8999999999999998E-6</v>
      </c>
      <c r="F186">
        <f t="shared" si="11"/>
        <v>2.0686115608618128E-6</v>
      </c>
    </row>
    <row r="187" spans="1:6" x14ac:dyDescent="0.25">
      <c r="A187">
        <v>17.600000000000001</v>
      </c>
      <c r="B187">
        <f t="shared" si="12"/>
        <v>-1.3990180204877389E-8</v>
      </c>
      <c r="C187">
        <f t="shared" si="13"/>
        <v>4.523491599576956E-7</v>
      </c>
      <c r="D187">
        <f t="shared" si="14"/>
        <v>2.4476508400423045E-6</v>
      </c>
      <c r="E187">
        <f t="shared" si="15"/>
        <v>2.9000000000000002E-6</v>
      </c>
      <c r="F187">
        <f t="shared" si="11"/>
        <v>2.0805032140359589E-6</v>
      </c>
    </row>
    <row r="188" spans="1:6" x14ac:dyDescent="0.25">
      <c r="A188">
        <v>17.7</v>
      </c>
      <c r="B188">
        <f t="shared" si="12"/>
        <v>-1.3570474798730576E-8</v>
      </c>
      <c r="C188">
        <f t="shared" si="13"/>
        <v>4.3877868515896501E-7</v>
      </c>
      <c r="D188">
        <f t="shared" si="14"/>
        <v>2.461221314841035E-6</v>
      </c>
      <c r="E188">
        <f t="shared" si="15"/>
        <v>2.9000000000000002E-6</v>
      </c>
      <c r="F188">
        <f t="shared" si="11"/>
        <v>2.0920381176148796E-6</v>
      </c>
    </row>
    <row r="189" spans="1:6" x14ac:dyDescent="0.25">
      <c r="A189">
        <v>17.8</v>
      </c>
      <c r="B189">
        <f t="shared" si="12"/>
        <v>-1.3163360554769136E-8</v>
      </c>
      <c r="C189">
        <f t="shared" si="13"/>
        <v>4.2561532460419585E-7</v>
      </c>
      <c r="D189">
        <f t="shared" si="14"/>
        <v>2.4743846753958041E-6</v>
      </c>
      <c r="E189">
        <f t="shared" si="15"/>
        <v>2.8999999999999998E-6</v>
      </c>
      <c r="F189">
        <f t="shared" si="11"/>
        <v>2.1032269740864332E-6</v>
      </c>
    </row>
    <row r="190" spans="1:6" x14ac:dyDescent="0.25">
      <c r="A190">
        <v>17.899999999999999</v>
      </c>
      <c r="B190">
        <f t="shared" si="12"/>
        <v>-1.2768459738125603E-8</v>
      </c>
      <c r="C190">
        <f t="shared" si="13"/>
        <v>4.1284686486607028E-7</v>
      </c>
      <c r="D190">
        <f t="shared" si="14"/>
        <v>2.4871531351339295E-6</v>
      </c>
      <c r="E190">
        <f t="shared" si="15"/>
        <v>2.8999999999999998E-6</v>
      </c>
      <c r="F190">
        <f t="shared" si="11"/>
        <v>2.11408016486384E-6</v>
      </c>
    </row>
    <row r="191" spans="1:6" x14ac:dyDescent="0.25">
      <c r="A191">
        <v>18</v>
      </c>
      <c r="B191">
        <f t="shared" si="12"/>
        <v>-1.2385405945982282E-8</v>
      </c>
      <c r="C191">
        <f t="shared" si="13"/>
        <v>4.0046145892008797E-7</v>
      </c>
      <c r="D191">
        <f t="shared" si="14"/>
        <v>2.4995385410799119E-6</v>
      </c>
      <c r="E191">
        <f t="shared" si="15"/>
        <v>2.8999999999999998E-6</v>
      </c>
      <c r="F191">
        <f t="shared" si="11"/>
        <v>2.1246077599179252E-6</v>
      </c>
    </row>
    <row r="192" spans="1:6" x14ac:dyDescent="0.25">
      <c r="A192">
        <v>18.100000000000001</v>
      </c>
      <c r="B192">
        <f t="shared" si="12"/>
        <v>-1.2013843767602809E-8</v>
      </c>
      <c r="C192">
        <f t="shared" si="13"/>
        <v>3.8844761515248514E-7</v>
      </c>
      <c r="D192">
        <f t="shared" si="14"/>
        <v>2.5115523848475148E-6</v>
      </c>
      <c r="E192">
        <f t="shared" si="15"/>
        <v>2.8999999999999998E-6</v>
      </c>
      <c r="F192">
        <f t="shared" si="11"/>
        <v>2.1348195271203876E-6</v>
      </c>
    </row>
    <row r="193" spans="1:6" x14ac:dyDescent="0.25">
      <c r="A193">
        <v>18.2</v>
      </c>
      <c r="B193">
        <f t="shared" si="12"/>
        <v>-1.1653428454574306E-8</v>
      </c>
      <c r="C193">
        <f t="shared" si="13"/>
        <v>3.7679418669791086E-7</v>
      </c>
      <c r="D193">
        <f t="shared" si="14"/>
        <v>2.5232058133020893E-6</v>
      </c>
      <c r="E193">
        <f t="shared" si="15"/>
        <v>2.9000000000000002E-6</v>
      </c>
      <c r="F193">
        <f t="shared" si="11"/>
        <v>2.144724941306776E-6</v>
      </c>
    </row>
    <row r="194" spans="1:6" x14ac:dyDescent="0.25">
      <c r="A194">
        <v>18.3</v>
      </c>
      <c r="B194">
        <f t="shared" si="12"/>
        <v>-1.1303825600937486E-8</v>
      </c>
      <c r="C194">
        <f t="shared" si="13"/>
        <v>3.6549036109697337E-7</v>
      </c>
      <c r="D194">
        <f t="shared" si="14"/>
        <v>2.534509638903027E-6</v>
      </c>
      <c r="E194">
        <f t="shared" si="15"/>
        <v>2.9000000000000002E-6</v>
      </c>
      <c r="F194">
        <f t="shared" si="11"/>
        <v>2.1543331930675728E-6</v>
      </c>
    </row>
    <row r="195" spans="1:6" x14ac:dyDescent="0.25">
      <c r="A195">
        <v>18.399999999999999</v>
      </c>
      <c r="B195">
        <f t="shared" si="12"/>
        <v>-1.0964710832908967E-8</v>
      </c>
      <c r="C195">
        <f t="shared" si="13"/>
        <v>3.5452565026406441E-7</v>
      </c>
      <c r="D195">
        <f t="shared" si="14"/>
        <v>2.5454743497359361E-6</v>
      </c>
      <c r="E195">
        <f t="shared" si="15"/>
        <v>2.9000000000000006E-6</v>
      </c>
      <c r="F195">
        <f t="shared" si="11"/>
        <v>2.1636531972755458E-6</v>
      </c>
    </row>
    <row r="196" spans="1:6" x14ac:dyDescent="0.25">
      <c r="A196">
        <v>18.5</v>
      </c>
      <c r="B196">
        <f t="shared" si="12"/>
        <v>-1.0635769507922083E-8</v>
      </c>
      <c r="C196">
        <f t="shared" si="13"/>
        <v>3.4388988075614232E-7</v>
      </c>
      <c r="D196">
        <f t="shared" si="14"/>
        <v>2.5561101192438582E-6</v>
      </c>
      <c r="E196">
        <f t="shared" si="15"/>
        <v>2.9000000000000006E-6</v>
      </c>
      <c r="F196">
        <f t="shared" si="11"/>
        <v>2.1726936013572793E-6</v>
      </c>
    </row>
    <row r="197" spans="1:6" x14ac:dyDescent="0.25">
      <c r="A197">
        <v>18.600000000000001</v>
      </c>
      <c r="B197">
        <f t="shared" si="12"/>
        <v>-1.0316696422684416E-8</v>
      </c>
      <c r="C197">
        <f t="shared" si="13"/>
        <v>3.3357318433345792E-7</v>
      </c>
      <c r="D197">
        <f t="shared" si="14"/>
        <v>2.5664268156665426E-6</v>
      </c>
      <c r="E197">
        <f t="shared" si="15"/>
        <v>2.9000000000000006E-6</v>
      </c>
      <c r="F197">
        <f t="shared" si="11"/>
        <v>2.181462793316561E-6</v>
      </c>
    </row>
    <row r="198" spans="1:6" x14ac:dyDescent="0.25">
      <c r="A198">
        <v>18.7</v>
      </c>
      <c r="B198">
        <f t="shared" si="12"/>
        <v>-1.0007195530003523E-8</v>
      </c>
      <c r="C198">
        <f t="shared" si="13"/>
        <v>3.2356598880345441E-7</v>
      </c>
      <c r="D198">
        <f t="shared" si="14"/>
        <v>2.5764340111965462E-6</v>
      </c>
      <c r="E198">
        <f t="shared" si="15"/>
        <v>2.9000000000000006E-6</v>
      </c>
      <c r="F198">
        <f t="shared" si="11"/>
        <v>2.189968909517064E-6</v>
      </c>
    </row>
    <row r="199" spans="1:6" x14ac:dyDescent="0.25">
      <c r="A199">
        <v>18.8</v>
      </c>
      <c r="B199">
        <f t="shared" si="12"/>
        <v>-9.70697966410377E-9</v>
      </c>
      <c r="C199">
        <f t="shared" si="13"/>
        <v>3.1385900913935062E-7</v>
      </c>
      <c r="D199">
        <f t="shared" si="14"/>
        <v>2.5861409908606498E-6</v>
      </c>
      <c r="E199">
        <f t="shared" si="15"/>
        <v>2.9000000000000002E-6</v>
      </c>
      <c r="F199">
        <f t="shared" si="11"/>
        <v>2.1982198422315523E-6</v>
      </c>
    </row>
    <row r="200" spans="1:6" x14ac:dyDescent="0.25">
      <c r="A200">
        <v>18.899999999999999</v>
      </c>
      <c r="B200">
        <f t="shared" si="12"/>
        <v>-9.4157702741803175E-9</v>
      </c>
      <c r="C200">
        <f t="shared" si="13"/>
        <v>3.0444323886517029E-7</v>
      </c>
      <c r="D200">
        <f t="shared" si="14"/>
        <v>2.5955567611348302E-6</v>
      </c>
      <c r="E200">
        <f t="shared" si="15"/>
        <v>2.9000000000000006E-6</v>
      </c>
      <c r="F200">
        <f t="shared" si="11"/>
        <v>2.2062232469646058E-6</v>
      </c>
    </row>
    <row r="201" spans="1:6" x14ac:dyDescent="0.25">
      <c r="A201">
        <v>19</v>
      </c>
      <c r="B201">
        <f t="shared" si="12"/>
        <v>-9.1332971659552381E-9</v>
      </c>
      <c r="C201">
        <f t="shared" si="13"/>
        <v>2.9530994169921507E-7</v>
      </c>
      <c r="D201">
        <f t="shared" si="14"/>
        <v>2.6046900583007856E-6</v>
      </c>
      <c r="E201">
        <f t="shared" si="15"/>
        <v>2.9000000000000006E-6</v>
      </c>
      <c r="F201">
        <f t="shared" si="11"/>
        <v>2.2139865495556677E-6</v>
      </c>
    </row>
    <row r="202" spans="1:6" x14ac:dyDescent="0.25">
      <c r="A202">
        <v>19.100000000000001</v>
      </c>
      <c r="B202">
        <f t="shared" si="12"/>
        <v>-8.8592982509765778E-9</v>
      </c>
      <c r="C202">
        <f t="shared" si="13"/>
        <v>2.8645064344823848E-7</v>
      </c>
      <c r="D202">
        <f t="shared" si="14"/>
        <v>2.6135493565517623E-6</v>
      </c>
      <c r="E202">
        <f t="shared" si="15"/>
        <v>2.9000000000000006E-6</v>
      </c>
      <c r="F202">
        <f t="shared" si="11"/>
        <v>2.2215169530689978E-6</v>
      </c>
    </row>
    <row r="203" spans="1:6" x14ac:dyDescent="0.25">
      <c r="A203">
        <v>19.2</v>
      </c>
      <c r="B203">
        <f t="shared" si="12"/>
        <v>-8.5935193034469721E-9</v>
      </c>
      <c r="C203">
        <f t="shared" si="13"/>
        <v>2.7785712414479152E-7</v>
      </c>
      <c r="D203">
        <f t="shared" si="14"/>
        <v>2.6221428758552094E-6</v>
      </c>
      <c r="E203">
        <f t="shared" si="15"/>
        <v>2.900000000000001E-6</v>
      </c>
      <c r="F203">
        <f t="shared" si="11"/>
        <v>2.2288214444769278E-6</v>
      </c>
    </row>
    <row r="204" spans="1:6" x14ac:dyDescent="0.25">
      <c r="A204">
        <v>19.3</v>
      </c>
      <c r="B204">
        <f t="shared" si="12"/>
        <v>-8.3357137243438649E-9</v>
      </c>
      <c r="C204">
        <f t="shared" si="13"/>
        <v>2.6952141042044765E-7</v>
      </c>
      <c r="D204">
        <f t="shared" si="14"/>
        <v>2.6304785895795533E-6</v>
      </c>
      <c r="E204">
        <f t="shared" si="15"/>
        <v>2.900000000000001E-6</v>
      </c>
      <c r="F204">
        <f t="shared" ref="F204:F267" si="16">D204*0.85</f>
        <v>2.2359068011426201E-6</v>
      </c>
    </row>
    <row r="205" spans="1:6" x14ac:dyDescent="0.25">
      <c r="A205">
        <v>19.399999999999999</v>
      </c>
      <c r="B205">
        <f t="shared" ref="B205:B268" si="17">IF(A204&lt;$G$4,0,-$G$3*(C204)*(A205-A204))</f>
        <v>-8.0856423126132558E-9</v>
      </c>
      <c r="C205">
        <f t="shared" ref="C205:C268" si="18">C204+B205</f>
        <v>2.6143576810783438E-7</v>
      </c>
      <c r="D205">
        <f t="shared" ref="D205:D268" si="19">D204-B205</f>
        <v>2.6385642318921667E-6</v>
      </c>
      <c r="E205">
        <f t="shared" ref="E205:E268" si="20">SUM(C205:D205)</f>
        <v>2.900000000000001E-6</v>
      </c>
      <c r="F205">
        <f t="shared" si="16"/>
        <v>2.2427795971083418E-6</v>
      </c>
    </row>
    <row r="206" spans="1:6" x14ac:dyDescent="0.25">
      <c r="A206">
        <v>19.5</v>
      </c>
      <c r="B206">
        <f t="shared" si="17"/>
        <v>-7.843073043235142E-9</v>
      </c>
      <c r="C206">
        <f t="shared" si="18"/>
        <v>2.5359269506459925E-7</v>
      </c>
      <c r="D206">
        <f t="shared" si="19"/>
        <v>2.6464073049354018E-6</v>
      </c>
      <c r="E206">
        <f t="shared" si="20"/>
        <v>2.900000000000001E-6</v>
      </c>
      <c r="F206">
        <f t="shared" si="16"/>
        <v>2.2494462091950914E-6</v>
      </c>
    </row>
    <row r="207" spans="1:6" x14ac:dyDescent="0.25">
      <c r="A207">
        <v>19.600000000000001</v>
      </c>
      <c r="B207">
        <f t="shared" si="17"/>
        <v>-7.6077808519380857E-9</v>
      </c>
      <c r="C207">
        <f t="shared" si="18"/>
        <v>2.4598491421266114E-7</v>
      </c>
      <c r="D207">
        <f t="shared" si="19"/>
        <v>2.6540150857873399E-6</v>
      </c>
      <c r="E207">
        <f t="shared" si="20"/>
        <v>2.900000000000001E-6</v>
      </c>
      <c r="F207">
        <f t="shared" si="16"/>
        <v>2.2559128229192387E-6</v>
      </c>
    </row>
    <row r="208" spans="1:6" x14ac:dyDescent="0.25">
      <c r="A208">
        <v>19.7</v>
      </c>
      <c r="B208">
        <f t="shared" si="17"/>
        <v>-7.3795474263796775E-9</v>
      </c>
      <c r="C208">
        <f t="shared" si="18"/>
        <v>2.3860536678628148E-7</v>
      </c>
      <c r="D208">
        <f t="shared" si="19"/>
        <v>2.6613946332137195E-6</v>
      </c>
      <c r="E208">
        <f t="shared" si="20"/>
        <v>2.900000000000001E-6</v>
      </c>
      <c r="F208">
        <f t="shared" si="16"/>
        <v>2.2621854382316614E-6</v>
      </c>
    </row>
    <row r="209" spans="1:6" x14ac:dyDescent="0.25">
      <c r="A209">
        <v>19.8</v>
      </c>
      <c r="B209">
        <f t="shared" si="17"/>
        <v>-7.1581610035885464E-9</v>
      </c>
      <c r="C209">
        <f t="shared" si="18"/>
        <v>2.3144720578269293E-7</v>
      </c>
      <c r="D209">
        <f t="shared" si="19"/>
        <v>2.6685527942173082E-6</v>
      </c>
      <c r="E209">
        <f t="shared" si="20"/>
        <v>2.900000000000001E-6</v>
      </c>
      <c r="F209">
        <f t="shared" si="16"/>
        <v>2.2682698750847118E-6</v>
      </c>
    </row>
    <row r="210" spans="1:6" x14ac:dyDescent="0.25">
      <c r="A210">
        <v>19.899999999999999</v>
      </c>
      <c r="B210">
        <f t="shared" si="17"/>
        <v>-6.9434161734806392E-9</v>
      </c>
      <c r="C210">
        <f t="shared" si="18"/>
        <v>2.2450378960921229E-7</v>
      </c>
      <c r="D210">
        <f t="shared" si="19"/>
        <v>2.6754962103907889E-6</v>
      </c>
      <c r="E210">
        <f t="shared" si="20"/>
        <v>2.900000000000001E-6</v>
      </c>
      <c r="F210">
        <f t="shared" si="16"/>
        <v>2.2741717788321706E-6</v>
      </c>
    </row>
    <row r="211" spans="1:6" x14ac:dyDescent="0.25">
      <c r="A211">
        <v>20</v>
      </c>
      <c r="B211">
        <f t="shared" si="17"/>
        <v>-6.7351136882764637E-9</v>
      </c>
      <c r="C211">
        <f t="shared" si="18"/>
        <v>2.1776867592093581E-7</v>
      </c>
      <c r="D211">
        <f t="shared" si="19"/>
        <v>2.6822313240790655E-6</v>
      </c>
      <c r="E211">
        <f t="shared" si="20"/>
        <v>2.9000000000000015E-6</v>
      </c>
      <c r="F211">
        <f t="shared" si="16"/>
        <v>2.2798966254672055E-6</v>
      </c>
    </row>
    <row r="212" spans="1:6" x14ac:dyDescent="0.25">
      <c r="A212">
        <v>20.100000000000001</v>
      </c>
      <c r="B212">
        <f t="shared" si="17"/>
        <v>-6.5330602776281665E-9</v>
      </c>
      <c r="C212">
        <f t="shared" si="18"/>
        <v>2.1123561564330766E-7</v>
      </c>
      <c r="D212">
        <f t="shared" si="19"/>
        <v>2.6887643843566936E-6</v>
      </c>
      <c r="E212">
        <f t="shared" si="20"/>
        <v>2.900000000000001E-6</v>
      </c>
      <c r="F212">
        <f t="shared" si="16"/>
        <v>2.2854497267031893E-6</v>
      </c>
    </row>
    <row r="213" spans="1:6" x14ac:dyDescent="0.25">
      <c r="A213">
        <v>20.2</v>
      </c>
      <c r="B213">
        <f t="shared" si="17"/>
        <v>-6.337068469299095E-9</v>
      </c>
      <c r="C213">
        <f t="shared" si="18"/>
        <v>2.0489854717400856E-7</v>
      </c>
      <c r="D213">
        <f t="shared" si="19"/>
        <v>2.6951014528259927E-6</v>
      </c>
      <c r="E213">
        <f t="shared" si="20"/>
        <v>2.900000000000001E-6</v>
      </c>
      <c r="F213">
        <f t="shared" si="16"/>
        <v>2.2908362349020936E-6</v>
      </c>
    </row>
    <row r="214" spans="1:6" x14ac:dyDescent="0.25">
      <c r="A214">
        <v>20.3</v>
      </c>
      <c r="B214">
        <f t="shared" si="17"/>
        <v>-6.1469564152203447E-9</v>
      </c>
      <c r="C214">
        <f t="shared" si="18"/>
        <v>1.9875159075878821E-7</v>
      </c>
      <c r="D214">
        <f t="shared" si="19"/>
        <v>2.7012484092412132E-6</v>
      </c>
      <c r="E214">
        <f t="shared" si="20"/>
        <v>2.9000000000000015E-6</v>
      </c>
      <c r="F214">
        <f t="shared" si="16"/>
        <v>2.2960611478550312E-6</v>
      </c>
    </row>
    <row r="215" spans="1:6" x14ac:dyDescent="0.25">
      <c r="A215">
        <v>20.399999999999999</v>
      </c>
      <c r="B215">
        <f t="shared" si="17"/>
        <v>-5.9625477227635182E-9</v>
      </c>
      <c r="C215">
        <f t="shared" si="18"/>
        <v>1.927890430360247E-7</v>
      </c>
      <c r="D215">
        <f t="shared" si="19"/>
        <v>2.7072109569639769E-6</v>
      </c>
      <c r="E215">
        <f t="shared" si="20"/>
        <v>2.9000000000000015E-6</v>
      </c>
      <c r="F215">
        <f t="shared" si="16"/>
        <v>2.3011293134193802E-6</v>
      </c>
    </row>
    <row r="216" spans="1:6" x14ac:dyDescent="0.25">
      <c r="A216">
        <v>20.5</v>
      </c>
      <c r="B216">
        <f t="shared" si="17"/>
        <v>-5.7836712910808226E-9</v>
      </c>
      <c r="C216">
        <f t="shared" si="18"/>
        <v>1.8700537174494387E-7</v>
      </c>
      <c r="D216">
        <f t="shared" si="19"/>
        <v>2.7129946282550578E-6</v>
      </c>
      <c r="E216">
        <f t="shared" si="20"/>
        <v>2.9000000000000019E-6</v>
      </c>
      <c r="F216">
        <f t="shared" si="16"/>
        <v>2.3060454340167991E-6</v>
      </c>
    </row>
    <row r="217" spans="1:6" x14ac:dyDescent="0.25">
      <c r="A217">
        <v>20.6</v>
      </c>
      <c r="B217">
        <f t="shared" si="17"/>
        <v>-5.6101611523483951E-9</v>
      </c>
      <c r="C217">
        <f t="shared" si="18"/>
        <v>1.8139521059259548E-7</v>
      </c>
      <c r="D217">
        <f t="shared" si="19"/>
        <v>2.7186047894074063E-6</v>
      </c>
      <c r="E217">
        <f t="shared" si="20"/>
        <v>2.9000000000000019E-6</v>
      </c>
      <c r="F217">
        <f t="shared" si="16"/>
        <v>2.3108140709962954E-6</v>
      </c>
    </row>
    <row r="218" spans="1:6" x14ac:dyDescent="0.25">
      <c r="A218">
        <v>20.7</v>
      </c>
      <c r="B218">
        <f t="shared" si="17"/>
        <v>-5.4418563177777489E-9</v>
      </c>
      <c r="C218">
        <f t="shared" si="18"/>
        <v>1.7595335427481772E-7</v>
      </c>
      <c r="D218">
        <f t="shared" si="19"/>
        <v>2.7240466457251841E-6</v>
      </c>
      <c r="E218">
        <f t="shared" si="20"/>
        <v>2.9000000000000019E-6</v>
      </c>
      <c r="F218">
        <f t="shared" si="16"/>
        <v>2.3154396488664064E-6</v>
      </c>
    </row>
    <row r="219" spans="1:6" x14ac:dyDescent="0.25">
      <c r="A219">
        <v>20.8</v>
      </c>
      <c r="B219">
        <f t="shared" si="17"/>
        <v>-5.2786006282446062E-9</v>
      </c>
      <c r="C219">
        <f t="shared" si="18"/>
        <v>1.7067475364657311E-7</v>
      </c>
      <c r="D219">
        <f t="shared" si="19"/>
        <v>2.7293252463534285E-6</v>
      </c>
      <c r="E219">
        <f t="shared" si="20"/>
        <v>2.9000000000000015E-6</v>
      </c>
      <c r="F219">
        <f t="shared" si="16"/>
        <v>2.319926459400414E-6</v>
      </c>
    </row>
    <row r="220" spans="1:6" x14ac:dyDescent="0.25">
      <c r="A220">
        <v>20.9</v>
      </c>
      <c r="B220">
        <f t="shared" si="17"/>
        <v>-5.1202426093970845E-9</v>
      </c>
      <c r="C220">
        <f t="shared" si="18"/>
        <v>1.6555451103717604E-7</v>
      </c>
      <c r="D220">
        <f t="shared" si="19"/>
        <v>2.7344454889628256E-6</v>
      </c>
      <c r="E220">
        <f t="shared" si="20"/>
        <v>2.9000000000000015E-6</v>
      </c>
      <c r="F220">
        <f t="shared" si="16"/>
        <v>2.3242786656184017E-6</v>
      </c>
    </row>
    <row r="221" spans="1:6" x14ac:dyDescent="0.25">
      <c r="A221">
        <v>21</v>
      </c>
      <c r="B221">
        <f t="shared" si="17"/>
        <v>-4.9666353311153511E-9</v>
      </c>
      <c r="C221">
        <f t="shared" si="18"/>
        <v>1.6058787570606068E-7</v>
      </c>
      <c r="D221">
        <f t="shared" si="19"/>
        <v>2.7394121242939411E-6</v>
      </c>
      <c r="E221">
        <f t="shared" si="20"/>
        <v>2.9000000000000019E-6</v>
      </c>
      <c r="F221">
        <f t="shared" si="16"/>
        <v>2.32850030564985E-6</v>
      </c>
    </row>
    <row r="222" spans="1:6" x14ac:dyDescent="0.25">
      <c r="A222">
        <v>21.1</v>
      </c>
      <c r="B222">
        <f t="shared" si="17"/>
        <v>-4.8176362711818889E-9</v>
      </c>
      <c r="C222">
        <f t="shared" si="18"/>
        <v>1.5577023943487878E-7</v>
      </c>
      <c r="D222">
        <f t="shared" si="19"/>
        <v>2.7442297605651229E-6</v>
      </c>
      <c r="E222">
        <f t="shared" si="20"/>
        <v>2.9000000000000019E-6</v>
      </c>
      <c r="F222">
        <f t="shared" si="16"/>
        <v>2.3325952964803543E-6</v>
      </c>
    </row>
    <row r="223" spans="1:6" x14ac:dyDescent="0.25">
      <c r="A223">
        <v>21.2</v>
      </c>
      <c r="B223">
        <f t="shared" si="17"/>
        <v>-4.6731071830462635E-9</v>
      </c>
      <c r="C223">
        <f t="shared" si="18"/>
        <v>1.5109713225183253E-7</v>
      </c>
      <c r="D223">
        <f t="shared" si="19"/>
        <v>2.7489028677481694E-6</v>
      </c>
      <c r="E223">
        <f t="shared" si="20"/>
        <v>2.9000000000000019E-6</v>
      </c>
      <c r="F223">
        <f t="shared" si="16"/>
        <v>2.3365674375859441E-6</v>
      </c>
    </row>
    <row r="224" spans="1:6" x14ac:dyDescent="0.25">
      <c r="A224">
        <v>21.3</v>
      </c>
      <c r="B224">
        <f t="shared" si="17"/>
        <v>-4.5329139675550397E-9</v>
      </c>
      <c r="C224">
        <f t="shared" si="18"/>
        <v>1.4656421828427748E-7</v>
      </c>
      <c r="D224">
        <f t="shared" si="19"/>
        <v>2.7534357817157245E-6</v>
      </c>
      <c r="E224">
        <f t="shared" si="20"/>
        <v>2.9000000000000019E-6</v>
      </c>
      <c r="F224">
        <f t="shared" si="16"/>
        <v>2.3404204144583657E-6</v>
      </c>
    </row>
    <row r="225" spans="1:6" x14ac:dyDescent="0.25">
      <c r="A225">
        <v>21.4</v>
      </c>
      <c r="B225">
        <f t="shared" si="17"/>
        <v>-4.3969265485282308E-9</v>
      </c>
      <c r="C225">
        <f t="shared" si="18"/>
        <v>1.4216729173574926E-7</v>
      </c>
      <c r="D225">
        <f t="shared" si="19"/>
        <v>2.7578327082642528E-6</v>
      </c>
      <c r="E225">
        <f t="shared" si="20"/>
        <v>2.9000000000000019E-6</v>
      </c>
      <c r="F225">
        <f t="shared" si="16"/>
        <v>2.3441578020246147E-6</v>
      </c>
    </row>
    <row r="226" spans="1:6" x14ac:dyDescent="0.25">
      <c r="A226">
        <v>21.5</v>
      </c>
      <c r="B226">
        <f t="shared" si="17"/>
        <v>-4.2650187520725381E-9</v>
      </c>
      <c r="C226">
        <f t="shared" si="18"/>
        <v>1.3790227298367672E-7</v>
      </c>
      <c r="D226">
        <f t="shared" si="19"/>
        <v>2.7620977270163254E-6</v>
      </c>
      <c r="E226">
        <f t="shared" si="20"/>
        <v>2.9000000000000023E-6</v>
      </c>
      <c r="F226">
        <f t="shared" si="16"/>
        <v>2.3477830679638764E-6</v>
      </c>
    </row>
    <row r="227" spans="1:6" x14ac:dyDescent="0.25">
      <c r="A227">
        <v>21.6</v>
      </c>
      <c r="B227">
        <f t="shared" si="17"/>
        <v>-4.13706818951036E-9</v>
      </c>
      <c r="C227">
        <f t="shared" si="18"/>
        <v>1.3376520479416637E-7</v>
      </c>
      <c r="D227">
        <f t="shared" si="19"/>
        <v>2.7662347952058358E-6</v>
      </c>
      <c r="E227">
        <f t="shared" si="20"/>
        <v>2.9000000000000023E-6</v>
      </c>
      <c r="F227">
        <f t="shared" si="16"/>
        <v>2.3512995759249605E-6</v>
      </c>
    </row>
    <row r="228" spans="1:6" x14ac:dyDescent="0.25">
      <c r="A228">
        <v>21.7</v>
      </c>
      <c r="B228">
        <f t="shared" si="17"/>
        <v>-4.012956143824905E-9</v>
      </c>
      <c r="C228">
        <f t="shared" si="18"/>
        <v>1.2975224865034148E-7</v>
      </c>
      <c r="D228">
        <f t="shared" si="19"/>
        <v>2.7702477513496606E-6</v>
      </c>
      <c r="E228">
        <f t="shared" si="20"/>
        <v>2.9000000000000019E-6</v>
      </c>
      <c r="F228">
        <f t="shared" si="16"/>
        <v>2.3547105886472115E-6</v>
      </c>
    </row>
    <row r="229" spans="1:6" x14ac:dyDescent="0.25">
      <c r="A229">
        <v>21.8</v>
      </c>
      <c r="B229">
        <f t="shared" si="17"/>
        <v>-3.8925674595102998E-9</v>
      </c>
      <c r="C229">
        <f t="shared" si="18"/>
        <v>1.2585968119083117E-7</v>
      </c>
      <c r="D229">
        <f t="shared" si="19"/>
        <v>2.7741403188091708E-6</v>
      </c>
      <c r="E229">
        <f t="shared" si="20"/>
        <v>2.9000000000000019E-6</v>
      </c>
      <c r="F229">
        <f t="shared" si="16"/>
        <v>2.3580192709877949E-6</v>
      </c>
    </row>
    <row r="230" spans="1:6" x14ac:dyDescent="0.25">
      <c r="A230">
        <v>21.9</v>
      </c>
      <c r="B230">
        <f t="shared" si="17"/>
        <v>-3.775790435724854E-9</v>
      </c>
      <c r="C230">
        <f t="shared" si="18"/>
        <v>1.2208389075510631E-7</v>
      </c>
      <c r="D230">
        <f t="shared" si="19"/>
        <v>2.7779161092448954E-6</v>
      </c>
      <c r="E230">
        <f t="shared" si="20"/>
        <v>2.9000000000000019E-6</v>
      </c>
      <c r="F230">
        <f t="shared" si="16"/>
        <v>2.3612286928581611E-6</v>
      </c>
    </row>
    <row r="231" spans="1:6" x14ac:dyDescent="0.25">
      <c r="A231">
        <v>22</v>
      </c>
      <c r="B231">
        <f t="shared" si="17"/>
        <v>-3.6625167226532411E-9</v>
      </c>
      <c r="C231">
        <f t="shared" si="18"/>
        <v>1.1842137403245307E-7</v>
      </c>
      <c r="D231">
        <f t="shared" si="19"/>
        <v>2.7815786259675488E-6</v>
      </c>
      <c r="E231">
        <f t="shared" si="20"/>
        <v>2.9000000000000019E-6</v>
      </c>
      <c r="F231">
        <f t="shared" si="16"/>
        <v>2.3643418320724163E-6</v>
      </c>
    </row>
    <row r="232" spans="1:6" x14ac:dyDescent="0.25">
      <c r="A232">
        <v>22.1</v>
      </c>
      <c r="B232">
        <f t="shared" si="17"/>
        <v>-3.5526412209736428E-9</v>
      </c>
      <c r="C232">
        <f t="shared" si="18"/>
        <v>1.1486873281147943E-7</v>
      </c>
      <c r="D232">
        <f t="shared" si="19"/>
        <v>2.7851312671885227E-6</v>
      </c>
      <c r="E232">
        <f t="shared" si="20"/>
        <v>2.9000000000000023E-6</v>
      </c>
      <c r="F232">
        <f t="shared" si="16"/>
        <v>2.3673615771102441E-6</v>
      </c>
    </row>
    <row r="233" spans="1:6" x14ac:dyDescent="0.25">
      <c r="A233">
        <v>22.2</v>
      </c>
      <c r="B233">
        <f t="shared" si="17"/>
        <v>-3.4460619843443089E-9</v>
      </c>
      <c r="C233">
        <f t="shared" si="18"/>
        <v>1.1142267082713512E-7</v>
      </c>
      <c r="D233">
        <f t="shared" si="19"/>
        <v>2.7885773291728668E-6</v>
      </c>
      <c r="E233">
        <f t="shared" si="20"/>
        <v>2.9000000000000019E-6</v>
      </c>
      <c r="F233">
        <f t="shared" si="16"/>
        <v>2.3702907297969366E-6</v>
      </c>
    </row>
    <row r="234" spans="1:6" x14ac:dyDescent="0.25">
      <c r="A234">
        <v>22.3</v>
      </c>
      <c r="B234">
        <f t="shared" si="17"/>
        <v>-3.342680124814101E-9</v>
      </c>
      <c r="C234">
        <f t="shared" si="18"/>
        <v>1.0807999070232102E-7</v>
      </c>
      <c r="D234">
        <f t="shared" si="19"/>
        <v>2.7919200092976808E-6</v>
      </c>
      <c r="E234">
        <f t="shared" si="20"/>
        <v>2.9000000000000019E-6</v>
      </c>
      <c r="F234">
        <f t="shared" si="16"/>
        <v>2.3731320079030285E-6</v>
      </c>
    </row>
    <row r="235" spans="1:6" x14ac:dyDescent="0.25">
      <c r="A235">
        <v>22.4</v>
      </c>
      <c r="B235">
        <f t="shared" si="17"/>
        <v>-3.2423997210695614E-9</v>
      </c>
      <c r="C235">
        <f t="shared" si="18"/>
        <v>1.0483759098125146E-7</v>
      </c>
      <c r="D235">
        <f t="shared" si="19"/>
        <v>2.7951624090187502E-6</v>
      </c>
      <c r="E235">
        <f t="shared" si="20"/>
        <v>2.9000000000000015E-6</v>
      </c>
      <c r="F235">
        <f t="shared" si="16"/>
        <v>2.3758880476659377E-6</v>
      </c>
    </row>
    <row r="236" spans="1:6" x14ac:dyDescent="0.25">
      <c r="A236">
        <v>22.5</v>
      </c>
      <c r="B236">
        <f t="shared" si="17"/>
        <v>-3.1451277294375882E-9</v>
      </c>
      <c r="C236">
        <f t="shared" si="18"/>
        <v>1.0169246325181386E-7</v>
      </c>
      <c r="D236">
        <f t="shared" si="19"/>
        <v>2.7983075367481878E-6</v>
      </c>
      <c r="E236">
        <f t="shared" si="20"/>
        <v>2.9000000000000015E-6</v>
      </c>
      <c r="F236">
        <f t="shared" si="16"/>
        <v>2.3785614062359596E-6</v>
      </c>
    </row>
    <row r="237" spans="1:6" x14ac:dyDescent="0.25">
      <c r="A237">
        <v>22.6</v>
      </c>
      <c r="B237">
        <f t="shared" si="17"/>
        <v>-3.0507738975544589E-9</v>
      </c>
      <c r="C237">
        <f t="shared" si="18"/>
        <v>9.8641689354259408E-8</v>
      </c>
      <c r="D237">
        <f t="shared" si="19"/>
        <v>2.8013583106457421E-6</v>
      </c>
      <c r="E237">
        <f t="shared" si="20"/>
        <v>2.9000000000000015E-6</v>
      </c>
      <c r="F237">
        <f t="shared" si="16"/>
        <v>2.3811545640488807E-6</v>
      </c>
    </row>
    <row r="238" spans="1:6" x14ac:dyDescent="0.25">
      <c r="A238">
        <v>22.7</v>
      </c>
      <c r="B238">
        <f t="shared" si="17"/>
        <v>-2.9592506806277191E-9</v>
      </c>
      <c r="C238">
        <f t="shared" si="18"/>
        <v>9.5682438673631694E-8</v>
      </c>
      <c r="D238">
        <f t="shared" si="19"/>
        <v>2.8043175613263699E-6</v>
      </c>
      <c r="E238">
        <f t="shared" si="20"/>
        <v>2.9000000000000015E-6</v>
      </c>
      <c r="F238">
        <f t="shared" si="16"/>
        <v>2.3836699271274145E-6</v>
      </c>
    </row>
    <row r="239" spans="1:6" x14ac:dyDescent="0.25">
      <c r="A239">
        <v>22.8</v>
      </c>
      <c r="B239">
        <f t="shared" si="17"/>
        <v>-2.8704731602089912E-9</v>
      </c>
      <c r="C239">
        <f t="shared" si="18"/>
        <v>9.2811965513422698E-8</v>
      </c>
      <c r="D239">
        <f t="shared" si="19"/>
        <v>2.8071880344865789E-6</v>
      </c>
      <c r="E239">
        <f t="shared" si="20"/>
        <v>2.9000000000000015E-6</v>
      </c>
      <c r="F239">
        <f t="shared" si="16"/>
        <v>2.3861098293135922E-6</v>
      </c>
    </row>
    <row r="240" spans="1:6" x14ac:dyDescent="0.25">
      <c r="A240">
        <v>22.9</v>
      </c>
      <c r="B240">
        <f t="shared" si="17"/>
        <v>-2.7843589654026214E-9</v>
      </c>
      <c r="C240">
        <f t="shared" si="18"/>
        <v>9.0027606548020077E-8</v>
      </c>
      <c r="D240">
        <f t="shared" si="19"/>
        <v>2.8099723934519813E-6</v>
      </c>
      <c r="E240">
        <f t="shared" si="20"/>
        <v>2.9000000000000015E-6</v>
      </c>
      <c r="F240">
        <f t="shared" si="16"/>
        <v>2.3884765344341839E-6</v>
      </c>
    </row>
    <row r="241" spans="1:6" x14ac:dyDescent="0.25">
      <c r="A241">
        <v>23</v>
      </c>
      <c r="B241">
        <f t="shared" si="17"/>
        <v>-2.7008281964406405E-9</v>
      </c>
      <c r="C241">
        <f t="shared" si="18"/>
        <v>8.7326778351579435E-8</v>
      </c>
      <c r="D241">
        <f t="shared" si="19"/>
        <v>2.8126732216484219E-6</v>
      </c>
      <c r="E241">
        <f t="shared" si="20"/>
        <v>2.9000000000000015E-6</v>
      </c>
      <c r="F241">
        <f t="shared" si="16"/>
        <v>2.3907722384011585E-6</v>
      </c>
    </row>
    <row r="242" spans="1:6" x14ac:dyDescent="0.25">
      <c r="A242">
        <v>23.1</v>
      </c>
      <c r="B242">
        <f t="shared" si="17"/>
        <v>-2.6198033505474205E-9</v>
      </c>
      <c r="C242">
        <f t="shared" si="18"/>
        <v>8.4706975001032011E-8</v>
      </c>
      <c r="D242">
        <f t="shared" si="19"/>
        <v>2.8152930249989691E-6</v>
      </c>
      <c r="E242">
        <f t="shared" si="20"/>
        <v>2.900000000000001E-6</v>
      </c>
      <c r="F242">
        <f t="shared" si="16"/>
        <v>2.3929990712491237E-6</v>
      </c>
    </row>
    <row r="243" spans="1:6" x14ac:dyDescent="0.25">
      <c r="A243">
        <v>23.2</v>
      </c>
      <c r="B243">
        <f t="shared" si="17"/>
        <v>-2.5412092500309059E-9</v>
      </c>
      <c r="C243">
        <f t="shared" si="18"/>
        <v>8.2165765751001107E-8</v>
      </c>
      <c r="D243">
        <f t="shared" si="19"/>
        <v>2.817834234249E-6</v>
      </c>
      <c r="E243">
        <f t="shared" si="20"/>
        <v>2.900000000000001E-6</v>
      </c>
      <c r="F243">
        <f t="shared" si="16"/>
        <v>2.3951590991116499E-6</v>
      </c>
    </row>
    <row r="244" spans="1:6" x14ac:dyDescent="0.25">
      <c r="A244">
        <v>23.3</v>
      </c>
      <c r="B244">
        <f t="shared" si="17"/>
        <v>-2.4649729725300682E-9</v>
      </c>
      <c r="C244">
        <f t="shared" si="18"/>
        <v>7.9700792778471037E-8</v>
      </c>
      <c r="D244">
        <f t="shared" si="19"/>
        <v>2.8202992072215301E-6</v>
      </c>
      <c r="E244">
        <f t="shared" si="20"/>
        <v>2.900000000000001E-6</v>
      </c>
      <c r="F244">
        <f t="shared" si="16"/>
        <v>2.3972543261383006E-6</v>
      </c>
    </row>
    <row r="245" spans="1:6" x14ac:dyDescent="0.25">
      <c r="A245">
        <v>23.4</v>
      </c>
      <c r="B245">
        <f t="shared" si="17"/>
        <v>-2.3910237833540802E-9</v>
      </c>
      <c r="C245">
        <f t="shared" si="18"/>
        <v>7.7309768995116952E-8</v>
      </c>
      <c r="D245">
        <f t="shared" si="19"/>
        <v>2.8226902310048843E-6</v>
      </c>
      <c r="E245">
        <f t="shared" si="20"/>
        <v>2.9000000000000015E-6</v>
      </c>
      <c r="F245">
        <f t="shared" si="16"/>
        <v>2.3992866963541517E-6</v>
      </c>
    </row>
    <row r="246" spans="1:6" x14ac:dyDescent="0.25">
      <c r="A246">
        <v>23.5</v>
      </c>
      <c r="B246">
        <f t="shared" si="17"/>
        <v>-2.3192930698535415E-9</v>
      </c>
      <c r="C246">
        <f t="shared" si="18"/>
        <v>7.4990475925263416E-8</v>
      </c>
      <c r="D246">
        <f t="shared" si="19"/>
        <v>2.8250095240747378E-6</v>
      </c>
      <c r="E246">
        <f t="shared" si="20"/>
        <v>2.900000000000001E-6</v>
      </c>
      <c r="F246">
        <f t="shared" si="16"/>
        <v>2.4012580954635273E-6</v>
      </c>
    </row>
    <row r="247" spans="1:6" x14ac:dyDescent="0.25">
      <c r="A247">
        <v>23.6</v>
      </c>
      <c r="B247">
        <f t="shared" si="17"/>
        <v>-2.2497142777579341E-9</v>
      </c>
      <c r="C247">
        <f t="shared" si="18"/>
        <v>7.2740761647505478E-8</v>
      </c>
      <c r="D247">
        <f t="shared" si="19"/>
        <v>2.8272592383524959E-6</v>
      </c>
      <c r="E247">
        <f t="shared" si="20"/>
        <v>2.9000000000000015E-6</v>
      </c>
      <c r="F247">
        <f t="shared" si="16"/>
        <v>2.4031703525996216E-6</v>
      </c>
    </row>
    <row r="248" spans="1:6" x14ac:dyDescent="0.25">
      <c r="A248">
        <v>23.7</v>
      </c>
      <c r="B248">
        <f t="shared" si="17"/>
        <v>-2.1822228494251178E-9</v>
      </c>
      <c r="C248">
        <f t="shared" si="18"/>
        <v>7.0558538798080354E-8</v>
      </c>
      <c r="D248">
        <f t="shared" si="19"/>
        <v>2.8294414612019211E-6</v>
      </c>
      <c r="E248">
        <f t="shared" si="20"/>
        <v>2.9000000000000015E-6</v>
      </c>
      <c r="F248">
        <f t="shared" si="16"/>
        <v>2.4050252420216329E-6</v>
      </c>
    </row>
    <row r="249" spans="1:6" x14ac:dyDescent="0.25">
      <c r="A249">
        <v>23.8</v>
      </c>
      <c r="B249">
        <f t="shared" si="17"/>
        <v>-2.1167561639424407E-9</v>
      </c>
      <c r="C249">
        <f t="shared" si="18"/>
        <v>6.8441782634137914E-8</v>
      </c>
      <c r="D249">
        <f t="shared" si="19"/>
        <v>2.8315582173658637E-6</v>
      </c>
      <c r="E249">
        <f t="shared" si="20"/>
        <v>2.9000000000000015E-6</v>
      </c>
      <c r="F249">
        <f t="shared" si="16"/>
        <v>2.406824484760984E-6</v>
      </c>
    </row>
    <row r="250" spans="1:6" x14ac:dyDescent="0.25">
      <c r="A250">
        <v>23.9</v>
      </c>
      <c r="B250">
        <f t="shared" si="17"/>
        <v>-2.0532534790240935E-9</v>
      </c>
      <c r="C250">
        <f t="shared" si="18"/>
        <v>6.638852915511382E-8</v>
      </c>
      <c r="D250">
        <f t="shared" si="19"/>
        <v>2.8336114708448876E-6</v>
      </c>
      <c r="E250">
        <f t="shared" si="20"/>
        <v>2.9000000000000015E-6</v>
      </c>
      <c r="F250">
        <f t="shared" si="16"/>
        <v>2.4085697502181545E-6</v>
      </c>
    </row>
    <row r="251" spans="1:6" x14ac:dyDescent="0.25">
      <c r="A251">
        <v>24</v>
      </c>
      <c r="B251">
        <f t="shared" si="17"/>
        <v>-1.9916558746534428E-9</v>
      </c>
      <c r="C251">
        <f t="shared" si="18"/>
        <v>6.4396873280460371E-8</v>
      </c>
      <c r="D251">
        <f t="shared" si="19"/>
        <v>2.8356031267195411E-6</v>
      </c>
      <c r="E251">
        <f t="shared" si="20"/>
        <v>2.9000000000000015E-6</v>
      </c>
      <c r="F251">
        <f t="shared" si="16"/>
        <v>2.4102626577116097E-6</v>
      </c>
    </row>
    <row r="252" spans="1:6" x14ac:dyDescent="0.25">
      <c r="A252">
        <v>24.1</v>
      </c>
      <c r="B252">
        <f t="shared" si="17"/>
        <v>-1.9319061984138384E-9</v>
      </c>
      <c r="C252">
        <f t="shared" si="18"/>
        <v>6.2464967082046533E-8</v>
      </c>
      <c r="D252">
        <f t="shared" si="19"/>
        <v>2.837535032917955E-6</v>
      </c>
      <c r="E252">
        <f t="shared" si="20"/>
        <v>2.9000000000000015E-6</v>
      </c>
      <c r="F252">
        <f t="shared" si="16"/>
        <v>2.4119047779802615E-6</v>
      </c>
    </row>
    <row r="253" spans="1:6" x14ac:dyDescent="0.25">
      <c r="A253">
        <v>24.2</v>
      </c>
      <c r="B253">
        <f t="shared" si="17"/>
        <v>-1.8739490124613558E-9</v>
      </c>
      <c r="C253">
        <f t="shared" si="18"/>
        <v>6.0591018069585175E-8</v>
      </c>
      <c r="D253">
        <f t="shared" si="19"/>
        <v>2.8394089819304163E-6</v>
      </c>
      <c r="E253">
        <f t="shared" si="20"/>
        <v>2.9000000000000015E-6</v>
      </c>
      <c r="F253">
        <f t="shared" si="16"/>
        <v>2.4134976346408536E-6</v>
      </c>
    </row>
    <row r="254" spans="1:6" x14ac:dyDescent="0.25">
      <c r="A254">
        <v>24.3</v>
      </c>
      <c r="B254">
        <f t="shared" si="17"/>
        <v>-1.8177305420875812E-9</v>
      </c>
      <c r="C254">
        <f t="shared" si="18"/>
        <v>5.8773287527497591E-8</v>
      </c>
      <c r="D254">
        <f t="shared" si="19"/>
        <v>2.8412267124725037E-6</v>
      </c>
      <c r="E254">
        <f t="shared" si="20"/>
        <v>2.9000000000000015E-6</v>
      </c>
      <c r="F254">
        <f t="shared" si="16"/>
        <v>2.415042705601628E-6</v>
      </c>
    </row>
    <row r="255" spans="1:6" x14ac:dyDescent="0.25">
      <c r="A255">
        <v>24.4</v>
      </c>
      <c r="B255">
        <f t="shared" si="17"/>
        <v>-1.76319862582489E-9</v>
      </c>
      <c r="C255">
        <f t="shared" si="18"/>
        <v>5.7010088901672701E-8</v>
      </c>
      <c r="D255">
        <f t="shared" si="19"/>
        <v>2.8429899110983287E-6</v>
      </c>
      <c r="E255">
        <f t="shared" si="20"/>
        <v>2.9000000000000015E-6</v>
      </c>
      <c r="F255">
        <f t="shared" si="16"/>
        <v>2.4165414244335792E-6</v>
      </c>
    </row>
    <row r="256" spans="1:6" x14ac:dyDescent="0.25">
      <c r="A256">
        <v>24.5</v>
      </c>
      <c r="B256">
        <f t="shared" si="17"/>
        <v>-1.7103026670502054E-9</v>
      </c>
      <c r="C256">
        <f t="shared" si="18"/>
        <v>5.5299786234622498E-8</v>
      </c>
      <c r="D256">
        <f t="shared" si="19"/>
        <v>2.8447002137653788E-6</v>
      </c>
      <c r="E256">
        <f t="shared" si="20"/>
        <v>2.9000000000000015E-6</v>
      </c>
      <c r="F256">
        <f t="shared" si="16"/>
        <v>2.4179951817005718E-6</v>
      </c>
    </row>
    <row r="257" spans="1:6" x14ac:dyDescent="0.25">
      <c r="A257">
        <v>24.6</v>
      </c>
      <c r="B257">
        <f t="shared" si="17"/>
        <v>-1.6589935870386983E-9</v>
      </c>
      <c r="C257">
        <f t="shared" si="18"/>
        <v>5.3640792647583803E-8</v>
      </c>
      <c r="D257">
        <f t="shared" si="19"/>
        <v>2.8463592073524177E-6</v>
      </c>
      <c r="E257">
        <f t="shared" si="20"/>
        <v>2.9000000000000015E-6</v>
      </c>
      <c r="F257">
        <f t="shared" si="16"/>
        <v>2.4194053262495551E-6</v>
      </c>
    </row>
    <row r="258" spans="1:6" x14ac:dyDescent="0.25">
      <c r="A258">
        <v>24.7</v>
      </c>
      <c r="B258">
        <f t="shared" si="17"/>
        <v>-1.6092237794274798E-9</v>
      </c>
      <c r="C258">
        <f t="shared" si="18"/>
        <v>5.2031568868156321E-8</v>
      </c>
      <c r="D258">
        <f t="shared" si="19"/>
        <v>2.8479684311318454E-6</v>
      </c>
      <c r="E258">
        <f t="shared" si="20"/>
        <v>2.9000000000000019E-6</v>
      </c>
      <c r="F258">
        <f t="shared" si="16"/>
        <v>2.4207731664620684E-6</v>
      </c>
    </row>
    <row r="259" spans="1:6" x14ac:dyDescent="0.25">
      <c r="A259">
        <v>24.8</v>
      </c>
      <c r="B259">
        <f t="shared" si="17"/>
        <v>-1.5609470660447119E-9</v>
      </c>
      <c r="C259">
        <f t="shared" si="18"/>
        <v>5.0470621802111611E-8</v>
      </c>
      <c r="D259">
        <f t="shared" si="19"/>
        <v>2.8495293781978902E-6</v>
      </c>
      <c r="E259">
        <f t="shared" si="20"/>
        <v>2.9000000000000019E-6</v>
      </c>
      <c r="F259">
        <f t="shared" si="16"/>
        <v>2.4220999714682068E-6</v>
      </c>
    </row>
    <row r="260" spans="1:6" x14ac:dyDescent="0.25">
      <c r="A260">
        <v>24.9</v>
      </c>
      <c r="B260">
        <f t="shared" si="17"/>
        <v>-1.514118654063316E-9</v>
      </c>
      <c r="C260">
        <f t="shared" si="18"/>
        <v>4.8956503148048293E-8</v>
      </c>
      <c r="D260">
        <f t="shared" si="19"/>
        <v>2.8510434968519535E-6</v>
      </c>
      <c r="E260">
        <f t="shared" si="20"/>
        <v>2.9000000000000019E-6</v>
      </c>
      <c r="F260">
        <f t="shared" si="16"/>
        <v>2.4233869723241605E-6</v>
      </c>
    </row>
    <row r="261" spans="1:6" x14ac:dyDescent="0.25">
      <c r="A261">
        <v>25</v>
      </c>
      <c r="B261">
        <f t="shared" si="17"/>
        <v>-1.4686950944414695E-9</v>
      </c>
      <c r="C261">
        <f t="shared" si="18"/>
        <v>4.7487808053606822E-8</v>
      </c>
      <c r="D261">
        <f t="shared" si="19"/>
        <v>2.8525121919463951E-6</v>
      </c>
      <c r="E261">
        <f t="shared" si="20"/>
        <v>2.9000000000000019E-6</v>
      </c>
      <c r="F261">
        <f t="shared" si="16"/>
        <v>2.4246353631544358E-6</v>
      </c>
    </row>
    <row r="262" spans="1:6" x14ac:dyDescent="0.25">
      <c r="A262">
        <v>25.1</v>
      </c>
      <c r="B262">
        <f t="shared" si="17"/>
        <v>-1.424634241608225E-9</v>
      </c>
      <c r="C262">
        <f t="shared" si="18"/>
        <v>4.6063173811998598E-8</v>
      </c>
      <c r="D262">
        <f t="shared" si="19"/>
        <v>2.8539368261880035E-6</v>
      </c>
      <c r="E262">
        <f t="shared" si="20"/>
        <v>2.9000000000000019E-6</v>
      </c>
      <c r="F262">
        <f t="shared" si="16"/>
        <v>2.425846302259803E-6</v>
      </c>
    </row>
    <row r="263" spans="1:6" x14ac:dyDescent="0.25">
      <c r="A263">
        <v>25.2</v>
      </c>
      <c r="B263">
        <f t="shared" si="17"/>
        <v>-1.3818952143599285E-9</v>
      </c>
      <c r="C263">
        <f t="shared" si="18"/>
        <v>4.4681278597638672E-8</v>
      </c>
      <c r="D263">
        <f t="shared" si="19"/>
        <v>2.8553187214023636E-6</v>
      </c>
      <c r="E263">
        <f t="shared" si="20"/>
        <v>2.9000000000000023E-6</v>
      </c>
      <c r="F263">
        <f t="shared" si="16"/>
        <v>2.427020913192009E-6</v>
      </c>
    </row>
    <row r="264" spans="1:6" x14ac:dyDescent="0.25">
      <c r="A264">
        <v>25.3</v>
      </c>
      <c r="B264">
        <f t="shared" si="17"/>
        <v>-1.3404383579291793E-9</v>
      </c>
      <c r="C264">
        <f t="shared" si="18"/>
        <v>4.334084023970949E-8</v>
      </c>
      <c r="D264">
        <f t="shared" si="19"/>
        <v>2.8566591597602928E-6</v>
      </c>
      <c r="E264">
        <f t="shared" si="20"/>
        <v>2.9000000000000023E-6</v>
      </c>
      <c r="F264">
        <f t="shared" si="16"/>
        <v>2.4281602857962488E-6</v>
      </c>
    </row>
    <row r="265" spans="1:6" x14ac:dyDescent="0.25">
      <c r="A265">
        <v>25.4</v>
      </c>
      <c r="B265">
        <f t="shared" si="17"/>
        <v>-1.3002252071912569E-9</v>
      </c>
      <c r="C265">
        <f t="shared" si="18"/>
        <v>4.2040615032518235E-8</v>
      </c>
      <c r="D265">
        <f t="shared" si="19"/>
        <v>2.857959384967484E-6</v>
      </c>
      <c r="E265">
        <f t="shared" si="20"/>
        <v>2.9000000000000023E-6</v>
      </c>
      <c r="F265">
        <f t="shared" si="16"/>
        <v>2.4292654772223612E-6</v>
      </c>
    </row>
    <row r="266" spans="1:6" x14ac:dyDescent="0.25">
      <c r="A266">
        <v>25.5</v>
      </c>
      <c r="B266">
        <f t="shared" si="17"/>
        <v>-1.2612184509755649E-9</v>
      </c>
      <c r="C266">
        <f t="shared" si="18"/>
        <v>4.077939658154267E-8</v>
      </c>
      <c r="D266">
        <f t="shared" si="19"/>
        <v>2.8592206034184597E-6</v>
      </c>
      <c r="E266">
        <f t="shared" si="20"/>
        <v>2.9000000000000023E-6</v>
      </c>
      <c r="F266">
        <f t="shared" si="16"/>
        <v>2.4303375129056908E-6</v>
      </c>
    </row>
    <row r="267" spans="1:6" x14ac:dyDescent="0.25">
      <c r="A267">
        <v>25.6</v>
      </c>
      <c r="B267">
        <f t="shared" si="17"/>
        <v>-1.2233818974462976E-9</v>
      </c>
      <c r="C267">
        <f t="shared" si="18"/>
        <v>3.9556014684096371E-8</v>
      </c>
      <c r="D267">
        <f t="shared" si="19"/>
        <v>2.860443985315906E-6</v>
      </c>
      <c r="E267">
        <f t="shared" si="20"/>
        <v>2.9000000000000023E-6</v>
      </c>
      <c r="F267">
        <f t="shared" si="16"/>
        <v>2.4313773875185201E-6</v>
      </c>
    </row>
    <row r="268" spans="1:6" x14ac:dyDescent="0.25">
      <c r="A268">
        <v>25.7</v>
      </c>
      <c r="B268">
        <f t="shared" si="17"/>
        <v>-1.1866804405228658E-9</v>
      </c>
      <c r="C268">
        <f t="shared" si="18"/>
        <v>3.8369334243573507E-8</v>
      </c>
      <c r="D268">
        <f t="shared" si="19"/>
        <v>2.8616306657564288E-6</v>
      </c>
      <c r="E268">
        <f t="shared" si="20"/>
        <v>2.9000000000000023E-6</v>
      </c>
      <c r="F268">
        <f t="shared" ref="F268:F331" si="21">D268*0.85</f>
        <v>2.4323860658929645E-6</v>
      </c>
    </row>
    <row r="269" spans="1:6" x14ac:dyDescent="0.25">
      <c r="A269">
        <v>25.8</v>
      </c>
      <c r="B269">
        <f t="shared" ref="B269:B332" si="22">IF(A268&lt;$G$4,0,-$G$3*(C268)*(A269-A268))</f>
        <v>-1.1510800273072215E-9</v>
      </c>
      <c r="C269">
        <f t="shared" ref="C269:C332" si="23">C268+B269</f>
        <v>3.7218254216266283E-8</v>
      </c>
      <c r="D269">
        <f t="shared" ref="D269:D332" si="24">D268-B269</f>
        <v>2.862781745783736E-6</v>
      </c>
      <c r="E269">
        <f t="shared" ref="E269:E332" si="25">SUM(C269:D269)</f>
        <v>2.9000000000000023E-6</v>
      </c>
      <c r="F269">
        <f t="shared" si="21"/>
        <v>2.4333644839161757E-6</v>
      </c>
    </row>
    <row r="270" spans="1:6" x14ac:dyDescent="0.25">
      <c r="A270">
        <v>25.9</v>
      </c>
      <c r="B270">
        <f t="shared" si="22"/>
        <v>-1.1165476264879646E-9</v>
      </c>
      <c r="C270">
        <f t="shared" si="23"/>
        <v>3.6101706589778321E-8</v>
      </c>
      <c r="D270">
        <f t="shared" si="24"/>
        <v>2.8638982934102238E-6</v>
      </c>
      <c r="E270">
        <f t="shared" si="25"/>
        <v>2.9000000000000023E-6</v>
      </c>
      <c r="F270">
        <f t="shared" si="21"/>
        <v>2.4343135493986904E-6</v>
      </c>
    </row>
    <row r="271" spans="1:6" x14ac:dyDescent="0.25">
      <c r="A271">
        <v>26</v>
      </c>
      <c r="B271">
        <f t="shared" si="22"/>
        <v>-1.083051197693365E-9</v>
      </c>
      <c r="C271">
        <f t="shared" si="23"/>
        <v>3.5018655392084957E-8</v>
      </c>
      <c r="D271">
        <f t="shared" si="24"/>
        <v>2.864981344607917E-6</v>
      </c>
      <c r="E271">
        <f t="shared" si="25"/>
        <v>2.9000000000000019E-6</v>
      </c>
      <c r="F271">
        <f t="shared" si="21"/>
        <v>2.4352341429167293E-6</v>
      </c>
    </row>
    <row r="272" spans="1:6" x14ac:dyDescent="0.25">
      <c r="A272">
        <v>26.1</v>
      </c>
      <c r="B272">
        <f t="shared" si="22"/>
        <v>-1.0505596617625636E-9</v>
      </c>
      <c r="C272">
        <f t="shared" si="23"/>
        <v>3.3968095730322392E-8</v>
      </c>
      <c r="D272">
        <f t="shared" si="24"/>
        <v>2.8660319042696795E-6</v>
      </c>
      <c r="E272">
        <f t="shared" si="25"/>
        <v>2.9000000000000019E-6</v>
      </c>
      <c r="F272">
        <f t="shared" si="21"/>
        <v>2.4361271186292275E-6</v>
      </c>
    </row>
    <row r="273" spans="1:6" x14ac:dyDescent="0.25">
      <c r="A273">
        <v>26.2</v>
      </c>
      <c r="B273">
        <f t="shared" si="22"/>
        <v>-1.01904287190965E-9</v>
      </c>
      <c r="C273">
        <f t="shared" si="23"/>
        <v>3.2949052858412745E-8</v>
      </c>
      <c r="D273">
        <f t="shared" si="24"/>
        <v>2.8670509471415893E-6</v>
      </c>
      <c r="E273">
        <f t="shared" si="25"/>
        <v>2.9000000000000019E-6</v>
      </c>
      <c r="F273">
        <f t="shared" si="21"/>
        <v>2.4369933050703506E-6</v>
      </c>
    </row>
    <row r="274" spans="1:6" x14ac:dyDescent="0.25">
      <c r="A274">
        <v>26.3</v>
      </c>
      <c r="B274">
        <f t="shared" si="22"/>
        <v>-9.8847158575239638E-10</v>
      </c>
      <c r="C274">
        <f t="shared" si="23"/>
        <v>3.1960581272660349E-8</v>
      </c>
      <c r="D274">
        <f t="shared" si="24"/>
        <v>2.8680394187273416E-6</v>
      </c>
      <c r="E274">
        <f t="shared" si="25"/>
        <v>2.9000000000000019E-6</v>
      </c>
      <c r="F274">
        <f t="shared" si="21"/>
        <v>2.4378335059182401E-6</v>
      </c>
    </row>
    <row r="275" spans="1:6" x14ac:dyDescent="0.25">
      <c r="A275">
        <v>26.4</v>
      </c>
      <c r="B275">
        <f t="shared" si="22"/>
        <v>-9.5881743817979007E-10</v>
      </c>
      <c r="C275">
        <f t="shared" si="23"/>
        <v>3.1001763834480557E-8</v>
      </c>
      <c r="D275">
        <f t="shared" si="24"/>
        <v>2.8689982361655216E-6</v>
      </c>
      <c r="E275">
        <f t="shared" si="25"/>
        <v>2.9000000000000023E-6</v>
      </c>
      <c r="F275">
        <f t="shared" si="21"/>
        <v>2.4386485007406935E-6</v>
      </c>
    </row>
    <row r="276" spans="1:6" x14ac:dyDescent="0.25">
      <c r="A276">
        <v>26.5</v>
      </c>
      <c r="B276">
        <f t="shared" si="22"/>
        <v>-9.3005291503442981E-10</v>
      </c>
      <c r="C276">
        <f t="shared" si="23"/>
        <v>3.0071710919446125E-8</v>
      </c>
      <c r="D276">
        <f t="shared" si="24"/>
        <v>2.8699282890805561E-6</v>
      </c>
      <c r="E276">
        <f t="shared" si="25"/>
        <v>2.9000000000000023E-6</v>
      </c>
      <c r="F276">
        <f t="shared" si="21"/>
        <v>2.4394390457184728E-6</v>
      </c>
    </row>
    <row r="277" spans="1:6" x14ac:dyDescent="0.25">
      <c r="A277">
        <v>26.6</v>
      </c>
      <c r="B277">
        <f t="shared" si="22"/>
        <v>-9.0215132758339656E-10</v>
      </c>
      <c r="C277">
        <f t="shared" si="23"/>
        <v>2.9169559591862728E-8</v>
      </c>
      <c r="D277">
        <f t="shared" si="24"/>
        <v>2.8708304404081394E-6</v>
      </c>
      <c r="E277">
        <f t="shared" si="25"/>
        <v>2.9000000000000023E-6</v>
      </c>
      <c r="F277">
        <f t="shared" si="21"/>
        <v>2.4402058743469183E-6</v>
      </c>
    </row>
    <row r="278" spans="1:6" x14ac:dyDescent="0.25">
      <c r="A278">
        <v>26.7</v>
      </c>
      <c r="B278">
        <f t="shared" si="22"/>
        <v>-8.7508678775586313E-10</v>
      </c>
      <c r="C278">
        <f t="shared" si="23"/>
        <v>2.8294472804106866E-8</v>
      </c>
      <c r="D278">
        <f t="shared" si="24"/>
        <v>2.8717055271958952E-6</v>
      </c>
      <c r="E278">
        <f t="shared" si="25"/>
        <v>2.9000000000000019E-6</v>
      </c>
      <c r="F278">
        <f t="shared" si="21"/>
        <v>2.4409496981165109E-6</v>
      </c>
    </row>
    <row r="279" spans="1:6" x14ac:dyDescent="0.25">
      <c r="A279">
        <v>26.8</v>
      </c>
      <c r="B279">
        <f t="shared" si="22"/>
        <v>-8.48834184123218E-10</v>
      </c>
      <c r="C279">
        <f t="shared" si="23"/>
        <v>2.7445638619983648E-8</v>
      </c>
      <c r="D279">
        <f t="shared" si="24"/>
        <v>2.8725543613800185E-6</v>
      </c>
      <c r="E279">
        <f t="shared" si="25"/>
        <v>2.9000000000000023E-6</v>
      </c>
      <c r="F279">
        <f t="shared" si="21"/>
        <v>2.4416712071730155E-6</v>
      </c>
    </row>
    <row r="280" spans="1:6" x14ac:dyDescent="0.25">
      <c r="A280">
        <v>26.9</v>
      </c>
      <c r="B280">
        <f t="shared" si="22"/>
        <v>-8.2336915859949193E-10</v>
      </c>
      <c r="C280">
        <f t="shared" si="23"/>
        <v>2.6622269461384155E-8</v>
      </c>
      <c r="D280">
        <f t="shared" si="24"/>
        <v>2.8733777305386179E-6</v>
      </c>
      <c r="E280">
        <f t="shared" si="25"/>
        <v>2.9000000000000019E-6</v>
      </c>
      <c r="F280">
        <f t="shared" si="21"/>
        <v>2.4423710709578253E-6</v>
      </c>
    </row>
    <row r="281" spans="1:6" x14ac:dyDescent="0.25">
      <c r="A281">
        <v>27</v>
      </c>
      <c r="B281">
        <f t="shared" si="22"/>
        <v>-7.9866808384153608E-10</v>
      </c>
      <c r="C281">
        <f t="shared" si="23"/>
        <v>2.5823601377542618E-8</v>
      </c>
      <c r="D281">
        <f t="shared" si="24"/>
        <v>2.8741763986224592E-6</v>
      </c>
      <c r="E281">
        <f t="shared" si="25"/>
        <v>2.9000000000000019E-6</v>
      </c>
      <c r="F281">
        <f t="shared" si="21"/>
        <v>2.4430499388290901E-6</v>
      </c>
    </row>
    <row r="282" spans="1:6" x14ac:dyDescent="0.25">
      <c r="A282">
        <v>27.1</v>
      </c>
      <c r="B282">
        <f t="shared" si="22"/>
        <v>-7.7470804132628946E-10</v>
      </c>
      <c r="C282">
        <f t="shared" si="23"/>
        <v>2.5048893336216329E-8</v>
      </c>
      <c r="D282">
        <f t="shared" si="24"/>
        <v>2.8749511066637853E-6</v>
      </c>
      <c r="E282">
        <f t="shared" si="25"/>
        <v>2.9000000000000015E-6</v>
      </c>
      <c r="F282">
        <f t="shared" si="21"/>
        <v>2.4437084406642175E-6</v>
      </c>
    </row>
    <row r="283" spans="1:6" x14ac:dyDescent="0.25">
      <c r="A283">
        <v>27.2</v>
      </c>
      <c r="B283">
        <f t="shared" si="22"/>
        <v>-7.5146680008647378E-10</v>
      </c>
      <c r="C283">
        <f t="shared" si="23"/>
        <v>2.4297426536129854E-8</v>
      </c>
      <c r="D283">
        <f t="shared" si="24"/>
        <v>2.8757025734638718E-6</v>
      </c>
      <c r="E283">
        <f t="shared" si="25"/>
        <v>2.9000000000000019E-6</v>
      </c>
      <c r="F283">
        <f t="shared" si="21"/>
        <v>2.444347187444291E-6</v>
      </c>
    </row>
    <row r="284" spans="1:6" x14ac:dyDescent="0.25">
      <c r="A284">
        <v>27.3</v>
      </c>
      <c r="B284">
        <f t="shared" si="22"/>
        <v>-7.2892279608390598E-10</v>
      </c>
      <c r="C284">
        <f t="shared" si="23"/>
        <v>2.3568503740045947E-8</v>
      </c>
      <c r="D284">
        <f t="shared" si="24"/>
        <v>2.8764314962599557E-6</v>
      </c>
      <c r="E284">
        <f t="shared" si="25"/>
        <v>2.9000000000000015E-6</v>
      </c>
      <c r="F284">
        <f t="shared" si="21"/>
        <v>2.4449667718209623E-6</v>
      </c>
    </row>
    <row r="285" spans="1:6" x14ac:dyDescent="0.25">
      <c r="A285">
        <v>27.4</v>
      </c>
      <c r="B285">
        <f t="shared" si="22"/>
        <v>-7.0705511220136332E-10</v>
      </c>
      <c r="C285">
        <f t="shared" si="23"/>
        <v>2.2861448627844583E-8</v>
      </c>
      <c r="D285">
        <f t="shared" si="24"/>
        <v>2.8771385513721572E-6</v>
      </c>
      <c r="E285">
        <f t="shared" si="25"/>
        <v>2.9000000000000019E-6</v>
      </c>
      <c r="F285">
        <f t="shared" si="21"/>
        <v>2.4455677686663336E-6</v>
      </c>
    </row>
    <row r="286" spans="1:6" x14ac:dyDescent="0.25">
      <c r="A286">
        <v>27.5</v>
      </c>
      <c r="B286">
        <f t="shared" si="22"/>
        <v>-6.8584345883534716E-10</v>
      </c>
      <c r="C286">
        <f t="shared" si="23"/>
        <v>2.2175605169009234E-8</v>
      </c>
      <c r="D286">
        <f t="shared" si="24"/>
        <v>2.8778243948309927E-6</v>
      </c>
      <c r="E286">
        <f t="shared" si="25"/>
        <v>2.9000000000000019E-6</v>
      </c>
      <c r="F286">
        <f t="shared" si="21"/>
        <v>2.4461507356063435E-6</v>
      </c>
    </row>
    <row r="287" spans="1:6" x14ac:dyDescent="0.25">
      <c r="A287">
        <v>27.6</v>
      </c>
      <c r="B287">
        <f t="shared" si="22"/>
        <v>-6.6526815507028654E-10</v>
      </c>
      <c r="C287">
        <f t="shared" si="23"/>
        <v>2.1510337013938946E-8</v>
      </c>
      <c r="D287">
        <f t="shared" si="24"/>
        <v>2.8784896629860629E-6</v>
      </c>
      <c r="E287">
        <f t="shared" si="25"/>
        <v>2.9000000000000019E-6</v>
      </c>
      <c r="F287">
        <f t="shared" si="21"/>
        <v>2.4467162135381536E-6</v>
      </c>
    </row>
    <row r="288" spans="1:6" x14ac:dyDescent="0.25">
      <c r="A288">
        <v>27.7</v>
      </c>
      <c r="B288">
        <f t="shared" si="22"/>
        <v>-6.4531011041815468E-10</v>
      </c>
      <c r="C288">
        <f t="shared" si="23"/>
        <v>2.0865026903520791E-8</v>
      </c>
      <c r="D288">
        <f t="shared" si="24"/>
        <v>2.8791349730964811E-6</v>
      </c>
      <c r="E288">
        <f t="shared" si="25"/>
        <v>2.9000000000000019E-6</v>
      </c>
      <c r="F288">
        <f t="shared" si="21"/>
        <v>2.4472647271320087E-6</v>
      </c>
    </row>
    <row r="289" spans="1:6" x14ac:dyDescent="0.25">
      <c r="A289">
        <v>27.8</v>
      </c>
      <c r="B289">
        <f t="shared" si="22"/>
        <v>-6.2595080710563257E-10</v>
      </c>
      <c r="C289">
        <f t="shared" si="23"/>
        <v>2.0239076096415158E-8</v>
      </c>
      <c r="D289">
        <f t="shared" si="24"/>
        <v>2.8797609239035865E-6</v>
      </c>
      <c r="E289">
        <f t="shared" si="25"/>
        <v>2.9000000000000019E-6</v>
      </c>
      <c r="F289">
        <f t="shared" si="21"/>
        <v>2.4477967853180484E-6</v>
      </c>
    </row>
    <row r="290" spans="1:6" x14ac:dyDescent="0.25">
      <c r="A290">
        <v>27.9</v>
      </c>
      <c r="B290">
        <f t="shared" si="22"/>
        <v>-6.0717228289244175E-10</v>
      </c>
      <c r="C290">
        <f t="shared" si="23"/>
        <v>1.9631903813522715E-8</v>
      </c>
      <c r="D290">
        <f t="shared" si="24"/>
        <v>2.8803680961864788E-6</v>
      </c>
      <c r="E290">
        <f t="shared" si="25"/>
        <v>2.9000000000000015E-6</v>
      </c>
      <c r="F290">
        <f t="shared" si="21"/>
        <v>2.4483128817585069E-6</v>
      </c>
    </row>
    <row r="291" spans="1:6" x14ac:dyDescent="0.25">
      <c r="A291">
        <v>28</v>
      </c>
      <c r="B291">
        <f t="shared" si="22"/>
        <v>-5.8895711440568973E-10</v>
      </c>
      <c r="C291">
        <f t="shared" si="23"/>
        <v>1.9042946699117026E-8</v>
      </c>
      <c r="D291">
        <f t="shared" si="24"/>
        <v>2.8809570533008847E-6</v>
      </c>
      <c r="E291">
        <f t="shared" si="25"/>
        <v>2.9000000000000019E-6</v>
      </c>
      <c r="F291">
        <f t="shared" si="21"/>
        <v>2.4488134953057519E-6</v>
      </c>
    </row>
    <row r="292" spans="1:6" x14ac:dyDescent="0.25">
      <c r="A292">
        <v>28.1</v>
      </c>
      <c r="B292">
        <f t="shared" si="22"/>
        <v>-5.712884009735189E-10</v>
      </c>
      <c r="C292">
        <f t="shared" si="23"/>
        <v>1.8471658298143506E-8</v>
      </c>
      <c r="D292">
        <f t="shared" si="24"/>
        <v>2.8815283417018583E-6</v>
      </c>
      <c r="E292">
        <f t="shared" si="25"/>
        <v>2.9000000000000019E-6</v>
      </c>
      <c r="F292">
        <f t="shared" si="21"/>
        <v>2.4492990904465794E-6</v>
      </c>
    </row>
    <row r="293" spans="1:6" x14ac:dyDescent="0.25">
      <c r="A293">
        <v>28.2</v>
      </c>
      <c r="B293">
        <f t="shared" si="22"/>
        <v>-5.5414974894429339E-10</v>
      </c>
      <c r="C293">
        <f t="shared" si="23"/>
        <v>1.7917508549199213E-8</v>
      </c>
      <c r="D293">
        <f t="shared" si="24"/>
        <v>2.8820824914508028E-6</v>
      </c>
      <c r="E293">
        <f t="shared" si="25"/>
        <v>2.9000000000000019E-6</v>
      </c>
      <c r="F293">
        <f t="shared" si="21"/>
        <v>2.4497701177331821E-6</v>
      </c>
    </row>
    <row r="294" spans="1:6" x14ac:dyDescent="0.25">
      <c r="A294">
        <v>28.3</v>
      </c>
      <c r="B294">
        <f t="shared" si="22"/>
        <v>-5.3752525647598403E-10</v>
      </c>
      <c r="C294">
        <f t="shared" si="23"/>
        <v>1.737998329272323E-8</v>
      </c>
      <c r="D294">
        <f t="shared" si="24"/>
        <v>2.8826200167072788E-6</v>
      </c>
      <c r="E294">
        <f t="shared" si="25"/>
        <v>2.9000000000000019E-6</v>
      </c>
      <c r="F294">
        <f t="shared" si="21"/>
        <v>2.4502270142011871E-6</v>
      </c>
    </row>
    <row r="295" spans="1:6" x14ac:dyDescent="0.25">
      <c r="A295">
        <v>28.4</v>
      </c>
      <c r="B295">
        <f t="shared" si="22"/>
        <v>-5.2139949878168572E-10</v>
      </c>
      <c r="C295">
        <f t="shared" si="23"/>
        <v>1.6858583793941543E-8</v>
      </c>
      <c r="D295">
        <f t="shared" si="24"/>
        <v>2.8831414162060605E-6</v>
      </c>
      <c r="E295">
        <f t="shared" si="25"/>
        <v>2.9000000000000019E-6</v>
      </c>
      <c r="F295">
        <f t="shared" si="21"/>
        <v>2.4506702037751513E-6</v>
      </c>
    </row>
    <row r="296" spans="1:6" x14ac:dyDescent="0.25">
      <c r="A296">
        <v>28.5</v>
      </c>
      <c r="B296">
        <f t="shared" si="22"/>
        <v>-5.057575138182535E-10</v>
      </c>
      <c r="C296">
        <f t="shared" si="23"/>
        <v>1.635282628012329E-8</v>
      </c>
      <c r="D296">
        <f t="shared" si="24"/>
        <v>2.8836471737198786E-6</v>
      </c>
      <c r="E296">
        <f t="shared" si="25"/>
        <v>2.9000000000000019E-6</v>
      </c>
      <c r="F296">
        <f t="shared" si="21"/>
        <v>2.4511000976618969E-6</v>
      </c>
    </row>
    <row r="297" spans="1:6" x14ac:dyDescent="0.25">
      <c r="A297">
        <v>28.6</v>
      </c>
      <c r="B297">
        <f t="shared" si="22"/>
        <v>-4.9058478840370573E-10</v>
      </c>
      <c r="C297">
        <f t="shared" si="23"/>
        <v>1.5862241491719584E-8</v>
      </c>
      <c r="D297">
        <f t="shared" si="24"/>
        <v>2.8841377585082825E-6</v>
      </c>
      <c r="E297">
        <f t="shared" si="25"/>
        <v>2.9000000000000019E-6</v>
      </c>
      <c r="F297">
        <f t="shared" si="21"/>
        <v>2.4515170947320399E-6</v>
      </c>
    </row>
    <row r="298" spans="1:6" x14ac:dyDescent="0.25">
      <c r="A298">
        <v>28.7</v>
      </c>
      <c r="B298">
        <f t="shared" si="22"/>
        <v>-4.7586724475157736E-10</v>
      </c>
      <c r="C298">
        <f t="shared" si="23"/>
        <v>1.5386374246968006E-8</v>
      </c>
      <c r="D298">
        <f t="shared" si="24"/>
        <v>2.884613625753034E-6</v>
      </c>
      <c r="E298">
        <f t="shared" si="25"/>
        <v>2.9000000000000019E-6</v>
      </c>
      <c r="F298">
        <f t="shared" si="21"/>
        <v>2.4519215818900788E-6</v>
      </c>
    </row>
    <row r="299" spans="1:6" x14ac:dyDescent="0.25">
      <c r="A299">
        <v>28.8</v>
      </c>
      <c r="B299">
        <f t="shared" si="22"/>
        <v>-4.6159122740904673E-10</v>
      </c>
      <c r="C299">
        <f t="shared" si="23"/>
        <v>1.492478301955896E-8</v>
      </c>
      <c r="D299">
        <f t="shared" si="24"/>
        <v>2.8850752169804432E-6</v>
      </c>
      <c r="E299">
        <f t="shared" si="25"/>
        <v>2.9000000000000023E-6</v>
      </c>
      <c r="F299">
        <f t="shared" si="21"/>
        <v>2.4523139344333765E-6</v>
      </c>
    </row>
    <row r="300" spans="1:6" x14ac:dyDescent="0.25">
      <c r="A300">
        <v>28.9</v>
      </c>
      <c r="B300">
        <f t="shared" si="22"/>
        <v>-4.4774349058675926E-10</v>
      </c>
      <c r="C300">
        <f t="shared" si="23"/>
        <v>1.4477039528972202E-8</v>
      </c>
      <c r="D300">
        <f t="shared" si="24"/>
        <v>2.88552296047103E-6</v>
      </c>
      <c r="E300">
        <f t="shared" si="25"/>
        <v>2.9000000000000023E-6</v>
      </c>
      <c r="F300">
        <f t="shared" si="21"/>
        <v>2.4526945164003754E-6</v>
      </c>
    </row>
    <row r="301" spans="1:6" x14ac:dyDescent="0.25">
      <c r="A301">
        <v>29</v>
      </c>
      <c r="B301">
        <f t="shared" si="22"/>
        <v>-4.3431118586917221E-10</v>
      </c>
      <c r="C301">
        <f t="shared" si="23"/>
        <v>1.404272834310303E-8</v>
      </c>
      <c r="D301">
        <f t="shared" si="24"/>
        <v>2.8859572716568991E-6</v>
      </c>
      <c r="E301">
        <f t="shared" si="25"/>
        <v>2.9000000000000023E-6</v>
      </c>
      <c r="F301">
        <f t="shared" si="21"/>
        <v>2.4530636809083643E-6</v>
      </c>
    </row>
    <row r="302" spans="1:6" x14ac:dyDescent="0.25">
      <c r="A302">
        <v>29.1</v>
      </c>
      <c r="B302">
        <f t="shared" si="22"/>
        <v>-4.2128185029309686E-10</v>
      </c>
      <c r="C302">
        <f t="shared" si="23"/>
        <v>1.3621446492809933E-8</v>
      </c>
      <c r="D302">
        <f t="shared" si="24"/>
        <v>2.8863785535071924E-6</v>
      </c>
      <c r="E302">
        <f t="shared" si="25"/>
        <v>2.9000000000000023E-6</v>
      </c>
      <c r="F302">
        <f t="shared" si="21"/>
        <v>2.4534217704811135E-6</v>
      </c>
    </row>
    <row r="303" spans="1:6" x14ac:dyDescent="0.25">
      <c r="A303">
        <v>29.2</v>
      </c>
      <c r="B303">
        <f t="shared" si="22"/>
        <v>-4.0864339478428926E-10</v>
      </c>
      <c r="C303">
        <f t="shared" si="23"/>
        <v>1.3212803098025643E-8</v>
      </c>
      <c r="D303">
        <f t="shared" si="24"/>
        <v>2.8867871969019768E-6</v>
      </c>
      <c r="E303">
        <f t="shared" si="25"/>
        <v>2.9000000000000023E-6</v>
      </c>
      <c r="F303">
        <f t="shared" si="21"/>
        <v>2.4537691173666804E-6</v>
      </c>
    </row>
    <row r="304" spans="1:6" x14ac:dyDescent="0.25">
      <c r="A304">
        <v>29.3</v>
      </c>
      <c r="B304">
        <f t="shared" si="22"/>
        <v>-3.9638409294077489E-10</v>
      </c>
      <c r="C304">
        <f t="shared" si="23"/>
        <v>1.2816419005084868E-8</v>
      </c>
      <c r="D304">
        <f t="shared" si="24"/>
        <v>2.8871835809949175E-6</v>
      </c>
      <c r="E304">
        <f t="shared" si="25"/>
        <v>2.9000000000000023E-6</v>
      </c>
      <c r="F304">
        <f t="shared" si="21"/>
        <v>2.4541060438456797E-6</v>
      </c>
    </row>
    <row r="305" spans="1:6" x14ac:dyDescent="0.25">
      <c r="A305">
        <v>29.4</v>
      </c>
      <c r="B305">
        <f t="shared" si="22"/>
        <v>-3.844925701525378E-10</v>
      </c>
      <c r="C305">
        <f t="shared" si="23"/>
        <v>1.243192643493233E-8</v>
      </c>
      <c r="D305">
        <f t="shared" si="24"/>
        <v>2.8875680735650699E-6</v>
      </c>
      <c r="E305">
        <f t="shared" si="25"/>
        <v>2.9000000000000023E-6</v>
      </c>
      <c r="F305">
        <f t="shared" si="21"/>
        <v>2.4544328625303093E-6</v>
      </c>
    </row>
    <row r="306" spans="1:6" x14ac:dyDescent="0.25">
      <c r="A306">
        <v>29.5</v>
      </c>
      <c r="B306">
        <f t="shared" si="22"/>
        <v>-3.7295779304797517E-10</v>
      </c>
      <c r="C306">
        <f t="shared" si="23"/>
        <v>1.2058968641884355E-8</v>
      </c>
      <c r="D306">
        <f t="shared" si="24"/>
        <v>2.8879410313581177E-6</v>
      </c>
      <c r="E306">
        <f t="shared" si="25"/>
        <v>2.9000000000000019E-6</v>
      </c>
      <c r="F306">
        <f t="shared" si="21"/>
        <v>2.4547498766543999E-6</v>
      </c>
    </row>
    <row r="307" spans="1:6" x14ac:dyDescent="0.25">
      <c r="A307">
        <v>29.6</v>
      </c>
      <c r="B307">
        <f t="shared" si="22"/>
        <v>-3.6176905925653579E-10</v>
      </c>
      <c r="C307">
        <f t="shared" si="23"/>
        <v>1.169719958262782E-8</v>
      </c>
      <c r="D307">
        <f t="shared" si="24"/>
        <v>2.8883028004173741E-6</v>
      </c>
      <c r="E307">
        <f t="shared" si="25"/>
        <v>2.9000000000000019E-6</v>
      </c>
      <c r="F307">
        <f t="shared" si="21"/>
        <v>2.4550573803547679E-6</v>
      </c>
    </row>
    <row r="308" spans="1:6" x14ac:dyDescent="0.25">
      <c r="A308">
        <v>29.7</v>
      </c>
      <c r="B308">
        <f t="shared" si="22"/>
        <v>-3.509159874788271E-10</v>
      </c>
      <c r="C308">
        <f t="shared" si="23"/>
        <v>1.1346283595148993E-8</v>
      </c>
      <c r="D308">
        <f t="shared" si="24"/>
        <v>2.8886537164048532E-6</v>
      </c>
      <c r="E308">
        <f t="shared" si="25"/>
        <v>2.9000000000000023E-6</v>
      </c>
      <c r="F308">
        <f t="shared" si="21"/>
        <v>2.4553556589441251E-6</v>
      </c>
    </row>
    <row r="309" spans="1:6" x14ac:dyDescent="0.25">
      <c r="A309">
        <v>29.8</v>
      </c>
      <c r="B309">
        <f t="shared" si="22"/>
        <v>-3.4038850785447462E-10</v>
      </c>
      <c r="C309">
        <f t="shared" si="23"/>
        <v>1.1005895087294518E-8</v>
      </c>
      <c r="D309">
        <f t="shared" si="24"/>
        <v>2.8889941049127076E-6</v>
      </c>
      <c r="E309">
        <f t="shared" si="25"/>
        <v>2.9000000000000023E-6</v>
      </c>
      <c r="F309">
        <f t="shared" si="21"/>
        <v>2.4556449891758016E-6</v>
      </c>
    </row>
    <row r="310" spans="1:6" x14ac:dyDescent="0.25">
      <c r="A310">
        <v>29.9</v>
      </c>
      <c r="B310">
        <f t="shared" si="22"/>
        <v>-3.3017685261882846E-10</v>
      </c>
      <c r="C310">
        <f t="shared" si="23"/>
        <v>1.0675718234675689E-8</v>
      </c>
      <c r="D310">
        <f t="shared" si="24"/>
        <v>2.8893242817653264E-6</v>
      </c>
      <c r="E310">
        <f t="shared" si="25"/>
        <v>2.9000000000000019E-6</v>
      </c>
      <c r="F310">
        <f t="shared" si="21"/>
        <v>2.4559256395005274E-6</v>
      </c>
    </row>
    <row r="311" spans="1:6" x14ac:dyDescent="0.25">
      <c r="A311">
        <v>30</v>
      </c>
      <c r="B311">
        <f t="shared" si="22"/>
        <v>-3.2027154704027523E-10</v>
      </c>
      <c r="C311">
        <f t="shared" si="23"/>
        <v>1.0355446687635414E-8</v>
      </c>
      <c r="D311">
        <f t="shared" si="24"/>
        <v>2.8896445533123667E-6</v>
      </c>
      <c r="E311">
        <f t="shared" si="25"/>
        <v>2.9000000000000019E-6</v>
      </c>
      <c r="F311">
        <f t="shared" si="21"/>
        <v>2.4561978703155117E-6</v>
      </c>
    </row>
    <row r="312" spans="1:6" x14ac:dyDescent="0.25">
      <c r="A312">
        <v>30.1</v>
      </c>
      <c r="B312">
        <f t="shared" si="22"/>
        <v>-3.1066340062906686E-10</v>
      </c>
      <c r="C312">
        <f t="shared" si="23"/>
        <v>1.0044783287006348E-8</v>
      </c>
      <c r="D312">
        <f t="shared" si="24"/>
        <v>2.8899552167129959E-6</v>
      </c>
      <c r="E312">
        <f t="shared" si="25"/>
        <v>2.9000000000000023E-6</v>
      </c>
      <c r="F312">
        <f t="shared" si="21"/>
        <v>2.4564619342060466E-6</v>
      </c>
    </row>
    <row r="313" spans="1:6" x14ac:dyDescent="0.25">
      <c r="A313">
        <v>30.2</v>
      </c>
      <c r="B313">
        <f t="shared" si="22"/>
        <v>-3.01343498610184E-10</v>
      </c>
      <c r="C313">
        <f t="shared" si="23"/>
        <v>9.7434397883961643E-9</v>
      </c>
      <c r="D313">
        <f t="shared" si="24"/>
        <v>2.8902565602116063E-6</v>
      </c>
      <c r="E313">
        <f t="shared" si="25"/>
        <v>2.9000000000000023E-6</v>
      </c>
      <c r="F313">
        <f t="shared" si="21"/>
        <v>2.4567180761798654E-6</v>
      </c>
    </row>
    <row r="314" spans="1:6" x14ac:dyDescent="0.25">
      <c r="A314">
        <v>30.3</v>
      </c>
      <c r="B314">
        <f t="shared" si="22"/>
        <v>-2.9230319365188909E-10</v>
      </c>
      <c r="C314">
        <f t="shared" si="23"/>
        <v>9.451136594744275E-9</v>
      </c>
      <c r="D314">
        <f t="shared" si="24"/>
        <v>2.8905488634052583E-6</v>
      </c>
      <c r="E314">
        <f t="shared" si="25"/>
        <v>2.9000000000000027E-6</v>
      </c>
      <c r="F314">
        <f t="shared" si="21"/>
        <v>2.4569665338944693E-6</v>
      </c>
    </row>
    <row r="315" spans="1:6" x14ac:dyDescent="0.25">
      <c r="A315">
        <v>30.4</v>
      </c>
      <c r="B315">
        <f t="shared" si="22"/>
        <v>-2.8353409784232219E-10</v>
      </c>
      <c r="C315">
        <f t="shared" si="23"/>
        <v>9.1676024969019526E-9</v>
      </c>
      <c r="D315">
        <f t="shared" si="24"/>
        <v>2.8908323975031007E-6</v>
      </c>
      <c r="E315">
        <f t="shared" si="25"/>
        <v>2.9000000000000027E-6</v>
      </c>
      <c r="F315">
        <f t="shared" si="21"/>
        <v>2.4572075378776355E-6</v>
      </c>
    </row>
    <row r="316" spans="1:6" x14ac:dyDescent="0.25">
      <c r="A316">
        <v>30.5</v>
      </c>
      <c r="B316">
        <f t="shared" si="22"/>
        <v>-2.7502807490706247E-10</v>
      </c>
      <c r="C316">
        <f t="shared" si="23"/>
        <v>8.8925744219948903E-9</v>
      </c>
      <c r="D316">
        <f t="shared" si="24"/>
        <v>2.891107425578008E-6</v>
      </c>
      <c r="E316">
        <f t="shared" si="25"/>
        <v>2.9000000000000027E-6</v>
      </c>
      <c r="F316">
        <f t="shared" si="21"/>
        <v>2.4574413117413067E-6</v>
      </c>
    </row>
    <row r="317" spans="1:6" x14ac:dyDescent="0.25">
      <c r="A317">
        <v>30.6</v>
      </c>
      <c r="B317">
        <f t="shared" si="22"/>
        <v>-2.6677723265985049E-10</v>
      </c>
      <c r="C317">
        <f t="shared" si="23"/>
        <v>8.6257971893350401E-9</v>
      </c>
      <c r="D317">
        <f t="shared" si="24"/>
        <v>2.8913742028106679E-6</v>
      </c>
      <c r="E317">
        <f t="shared" si="25"/>
        <v>2.9000000000000027E-6</v>
      </c>
      <c r="F317">
        <f t="shared" si="21"/>
        <v>2.4576680723890676E-6</v>
      </c>
    </row>
    <row r="318" spans="1:6" x14ac:dyDescent="0.25">
      <c r="A318">
        <v>30.7</v>
      </c>
      <c r="B318">
        <f t="shared" si="22"/>
        <v>-2.587739156800457E-10</v>
      </c>
      <c r="C318">
        <f t="shared" si="23"/>
        <v>8.3670232736549945E-9</v>
      </c>
      <c r="D318">
        <f t="shared" si="24"/>
        <v>2.8916329767263479E-6</v>
      </c>
      <c r="E318">
        <f t="shared" si="25"/>
        <v>2.9000000000000027E-6</v>
      </c>
      <c r="F318">
        <f t="shared" si="21"/>
        <v>2.4578880302173954E-6</v>
      </c>
    </row>
    <row r="319" spans="1:6" x14ac:dyDescent="0.25">
      <c r="A319">
        <v>30.8</v>
      </c>
      <c r="B319">
        <f t="shared" si="22"/>
        <v>-2.5101069820965339E-10</v>
      </c>
      <c r="C319">
        <f t="shared" si="23"/>
        <v>8.1160125754453408E-9</v>
      </c>
      <c r="D319">
        <f t="shared" si="24"/>
        <v>2.8918839874245573E-6</v>
      </c>
      <c r="E319">
        <f t="shared" si="25"/>
        <v>2.9000000000000027E-6</v>
      </c>
      <c r="F319">
        <f t="shared" si="21"/>
        <v>2.4581013893108735E-6</v>
      </c>
    </row>
    <row r="320" spans="1:6" x14ac:dyDescent="0.25">
      <c r="A320">
        <v>30.9</v>
      </c>
      <c r="B320">
        <f t="shared" si="22"/>
        <v>-2.43480377263355E-10</v>
      </c>
      <c r="C320">
        <f t="shared" si="23"/>
        <v>7.8725321981819862E-9</v>
      </c>
      <c r="D320">
        <f t="shared" si="24"/>
        <v>2.8921274678018205E-6</v>
      </c>
      <c r="E320">
        <f t="shared" si="25"/>
        <v>2.9000000000000023E-6</v>
      </c>
      <c r="F320">
        <f t="shared" si="21"/>
        <v>2.4583083476315475E-6</v>
      </c>
    </row>
    <row r="321" spans="1:6" x14ac:dyDescent="0.25">
      <c r="A321">
        <v>31</v>
      </c>
      <c r="B321">
        <f t="shared" si="22"/>
        <v>-2.3617596594546291E-10</v>
      </c>
      <c r="C321">
        <f t="shared" si="23"/>
        <v>7.6363562322365229E-9</v>
      </c>
      <c r="D321">
        <f t="shared" si="24"/>
        <v>2.8923636437677659E-6</v>
      </c>
      <c r="E321">
        <f t="shared" si="25"/>
        <v>2.9000000000000023E-6</v>
      </c>
      <c r="F321">
        <f t="shared" si="21"/>
        <v>2.4585090972026011E-6</v>
      </c>
    </row>
    <row r="322" spans="1:6" x14ac:dyDescent="0.25">
      <c r="A322">
        <v>31.1</v>
      </c>
      <c r="B322">
        <f t="shared" si="22"/>
        <v>-2.2909068696709894E-10</v>
      </c>
      <c r="C322">
        <f t="shared" si="23"/>
        <v>7.4072655452694236E-9</v>
      </c>
      <c r="D322">
        <f t="shared" si="24"/>
        <v>2.8925927344547332E-6</v>
      </c>
      <c r="E322">
        <f t="shared" si="25"/>
        <v>2.9000000000000027E-6</v>
      </c>
      <c r="F322">
        <f t="shared" si="21"/>
        <v>2.458703824286523E-6</v>
      </c>
    </row>
    <row r="323" spans="1:6" x14ac:dyDescent="0.25">
      <c r="A323">
        <v>31.2</v>
      </c>
      <c r="B323">
        <f t="shared" si="22"/>
        <v>-2.2221796635807794E-10</v>
      </c>
      <c r="C323">
        <f t="shared" si="23"/>
        <v>7.185047578911346E-9</v>
      </c>
      <c r="D323">
        <f t="shared" si="24"/>
        <v>2.8928149524210911E-6</v>
      </c>
      <c r="E323">
        <f t="shared" si="25"/>
        <v>2.9000000000000023E-6</v>
      </c>
      <c r="F323">
        <f t="shared" si="21"/>
        <v>2.4588927095579275E-6</v>
      </c>
    </row>
    <row r="324" spans="1:6" x14ac:dyDescent="0.25">
      <c r="A324">
        <v>31.3</v>
      </c>
      <c r="B324">
        <f t="shared" si="22"/>
        <v>-2.1555142736734341E-10</v>
      </c>
      <c r="C324">
        <f t="shared" si="23"/>
        <v>6.9694961515440025E-9</v>
      </c>
      <c r="D324">
        <f t="shared" si="24"/>
        <v>2.8930305038484584E-6</v>
      </c>
      <c r="E324">
        <f t="shared" si="25"/>
        <v>2.9000000000000023E-6</v>
      </c>
      <c r="F324">
        <f t="shared" si="21"/>
        <v>2.4590759282711897E-6</v>
      </c>
    </row>
    <row r="325" spans="1:6" x14ac:dyDescent="0.25">
      <c r="A325">
        <v>31.4</v>
      </c>
      <c r="B325">
        <f t="shared" si="22"/>
        <v>-2.0908488454631562E-10</v>
      </c>
      <c r="C325">
        <f t="shared" si="23"/>
        <v>6.7604112669976866E-9</v>
      </c>
      <c r="D325">
        <f t="shared" si="24"/>
        <v>2.8932395887330047E-6</v>
      </c>
      <c r="E325">
        <f t="shared" si="25"/>
        <v>2.9000000000000023E-6</v>
      </c>
      <c r="F325">
        <f t="shared" si="21"/>
        <v>2.4592536504230537E-6</v>
      </c>
    </row>
    <row r="326" spans="1:6" x14ac:dyDescent="0.25">
      <c r="A326">
        <v>31.5</v>
      </c>
      <c r="B326">
        <f t="shared" si="22"/>
        <v>-2.0281233800993347E-10</v>
      </c>
      <c r="C326">
        <f t="shared" si="23"/>
        <v>6.5575989289877532E-9</v>
      </c>
      <c r="D326">
        <f t="shared" si="24"/>
        <v>2.8934424010710145E-6</v>
      </c>
      <c r="E326">
        <f t="shared" si="25"/>
        <v>2.9000000000000023E-6</v>
      </c>
      <c r="F326">
        <f t="shared" si="21"/>
        <v>2.4594260409103623E-6</v>
      </c>
    </row>
    <row r="327" spans="1:6" x14ac:dyDescent="0.25">
      <c r="A327">
        <v>31.6</v>
      </c>
      <c r="B327">
        <f t="shared" si="22"/>
        <v>-1.9672796786963537E-10</v>
      </c>
      <c r="C327">
        <f t="shared" si="23"/>
        <v>6.3608709611181181E-9</v>
      </c>
      <c r="D327">
        <f t="shared" si="24"/>
        <v>2.893639129038884E-6</v>
      </c>
      <c r="E327">
        <f t="shared" si="25"/>
        <v>2.9000000000000023E-6</v>
      </c>
      <c r="F327">
        <f t="shared" si="21"/>
        <v>2.4595932596830511E-6</v>
      </c>
    </row>
    <row r="328" spans="1:6" x14ac:dyDescent="0.25">
      <c r="A328">
        <v>31.7</v>
      </c>
      <c r="B328">
        <f t="shared" si="22"/>
        <v>-1.9082612883353948E-10</v>
      </c>
      <c r="C328">
        <f t="shared" si="23"/>
        <v>6.1700448322845783E-9</v>
      </c>
      <c r="D328">
        <f t="shared" si="24"/>
        <v>2.8938299551677177E-6</v>
      </c>
      <c r="E328">
        <f t="shared" si="25"/>
        <v>2.9000000000000023E-6</v>
      </c>
      <c r="F328">
        <f t="shared" si="21"/>
        <v>2.45975546189256E-6</v>
      </c>
    </row>
    <row r="329" spans="1:6" x14ac:dyDescent="0.25">
      <c r="A329">
        <v>31.8</v>
      </c>
      <c r="B329">
        <f t="shared" si="22"/>
        <v>-1.8510134496853998E-10</v>
      </c>
      <c r="C329">
        <f t="shared" si="23"/>
        <v>5.9849434873160386E-9</v>
      </c>
      <c r="D329">
        <f t="shared" si="24"/>
        <v>2.8940150565126863E-6</v>
      </c>
      <c r="E329">
        <f t="shared" si="25"/>
        <v>2.9000000000000023E-6</v>
      </c>
      <c r="F329">
        <f t="shared" si="21"/>
        <v>2.4599127980357833E-6</v>
      </c>
    </row>
    <row r="330" spans="1:6" x14ac:dyDescent="0.25">
      <c r="A330">
        <v>31.9</v>
      </c>
      <c r="B330">
        <f t="shared" si="22"/>
        <v>-1.7954830461947731E-10</v>
      </c>
      <c r="C330">
        <f t="shared" si="23"/>
        <v>5.8053951826965611E-9</v>
      </c>
      <c r="D330">
        <f t="shared" si="24"/>
        <v>2.894194604817306E-6</v>
      </c>
      <c r="E330">
        <f t="shared" si="25"/>
        <v>2.9000000000000027E-6</v>
      </c>
      <c r="F330">
        <f t="shared" si="21"/>
        <v>2.4600654140947102E-6</v>
      </c>
    </row>
    <row r="331" spans="1:6" x14ac:dyDescent="0.25">
      <c r="A331">
        <v>32</v>
      </c>
      <c r="B331">
        <f t="shared" si="22"/>
        <v>-1.741618554808993E-10</v>
      </c>
      <c r="C331">
        <f t="shared" si="23"/>
        <v>5.6312333272156616E-9</v>
      </c>
      <c r="D331">
        <f t="shared" si="24"/>
        <v>2.894368766672787E-6</v>
      </c>
      <c r="E331">
        <f t="shared" si="25"/>
        <v>2.9000000000000027E-6</v>
      </c>
      <c r="F331">
        <f t="shared" si="21"/>
        <v>2.460213451671869E-6</v>
      </c>
    </row>
    <row r="332" spans="1:6" x14ac:dyDescent="0.25">
      <c r="A332">
        <v>32.1</v>
      </c>
      <c r="B332">
        <f t="shared" si="22"/>
        <v>-1.6893699981647224E-10</v>
      </c>
      <c r="C332">
        <f t="shared" si="23"/>
        <v>5.4622963273991895E-9</v>
      </c>
      <c r="D332">
        <f t="shared" si="24"/>
        <v>2.8945377036726035E-6</v>
      </c>
      <c r="E332">
        <f t="shared" si="25"/>
        <v>2.9000000000000027E-6</v>
      </c>
      <c r="F332">
        <f t="shared" ref="F332:F395" si="26">D332*0.85</f>
        <v>2.4603570481217129E-6</v>
      </c>
    </row>
    <row r="333" spans="1:6" x14ac:dyDescent="0.25">
      <c r="A333">
        <v>32.200000000000003</v>
      </c>
      <c r="B333">
        <f t="shared" ref="B333:B396" si="27">IF(A332&lt;$G$4,0,-$G$3*(C332)*(A333-A332))</f>
        <v>-1.6386888982197801E-10</v>
      </c>
      <c r="C333">
        <f t="shared" ref="C333:C396" si="28">C332+B333</f>
        <v>5.2984274375772116E-9</v>
      </c>
      <c r="D333">
        <f t="shared" ref="D333:D396" si="29">D332-B333</f>
        <v>2.8947015725624254E-6</v>
      </c>
      <c r="E333">
        <f t="shared" ref="E333:E396" si="30">SUM(C333:D333)</f>
        <v>2.9000000000000027E-6</v>
      </c>
      <c r="F333">
        <f t="shared" si="26"/>
        <v>2.4604963366780616E-6</v>
      </c>
    </row>
    <row r="334" spans="1:6" x14ac:dyDescent="0.25">
      <c r="A334">
        <v>32.299999999999997</v>
      </c>
      <c r="B334">
        <f t="shared" si="27"/>
        <v>-1.5895282312730732E-10</v>
      </c>
      <c r="C334">
        <f t="shared" si="28"/>
        <v>5.1394746144499044E-9</v>
      </c>
      <c r="D334">
        <f t="shared" si="29"/>
        <v>2.8948605253855527E-6</v>
      </c>
      <c r="E334">
        <f t="shared" si="30"/>
        <v>2.9000000000000027E-6</v>
      </c>
      <c r="F334">
        <f t="shared" si="26"/>
        <v>2.4606314465777198E-6</v>
      </c>
    </row>
    <row r="335" spans="1:6" x14ac:dyDescent="0.25">
      <c r="A335">
        <v>32.4</v>
      </c>
      <c r="B335">
        <f t="shared" si="27"/>
        <v>-1.5418423843349931E-10</v>
      </c>
      <c r="C335">
        <f t="shared" si="28"/>
        <v>4.9852903760164048E-9</v>
      </c>
      <c r="D335">
        <f t="shared" si="29"/>
        <v>2.8950147096239864E-6</v>
      </c>
      <c r="E335">
        <f t="shared" si="30"/>
        <v>2.9000000000000027E-6</v>
      </c>
      <c r="F335">
        <f t="shared" si="26"/>
        <v>2.4607625031803882E-6</v>
      </c>
    </row>
    <row r="336" spans="1:6" x14ac:dyDescent="0.25">
      <c r="A336">
        <v>32.5</v>
      </c>
      <c r="B336">
        <f t="shared" si="27"/>
        <v>-1.4955871128049427E-10</v>
      </c>
      <c r="C336">
        <f t="shared" si="28"/>
        <v>4.8357316647359107E-9</v>
      </c>
      <c r="D336">
        <f t="shared" si="29"/>
        <v>2.8951642683352669E-6</v>
      </c>
      <c r="E336">
        <f t="shared" si="30"/>
        <v>2.9000000000000027E-6</v>
      </c>
      <c r="F336">
        <f t="shared" si="26"/>
        <v>2.460889628084977E-6</v>
      </c>
    </row>
    <row r="337" spans="1:6" x14ac:dyDescent="0.25">
      <c r="A337">
        <v>32.6</v>
      </c>
      <c r="B337">
        <f t="shared" si="27"/>
        <v>-1.4507194994207939E-10</v>
      </c>
      <c r="C337">
        <f t="shared" si="28"/>
        <v>4.6906597147938311E-9</v>
      </c>
      <c r="D337">
        <f t="shared" si="29"/>
        <v>2.8953093402852092E-6</v>
      </c>
      <c r="E337">
        <f t="shared" si="30"/>
        <v>2.9000000000000032E-6</v>
      </c>
      <c r="F337">
        <f t="shared" si="26"/>
        <v>2.4610129392424279E-6</v>
      </c>
    </row>
    <row r="338" spans="1:6" x14ac:dyDescent="0.25">
      <c r="A338">
        <v>32.700000000000003</v>
      </c>
      <c r="B338">
        <f t="shared" si="27"/>
        <v>-1.4071979144381693E-10</v>
      </c>
      <c r="C338">
        <f t="shared" si="28"/>
        <v>4.5499399233500142E-9</v>
      </c>
      <c r="D338">
        <f t="shared" si="29"/>
        <v>2.8954500600766528E-6</v>
      </c>
      <c r="E338">
        <f t="shared" si="30"/>
        <v>2.9000000000000027E-6</v>
      </c>
      <c r="F338">
        <f t="shared" si="26"/>
        <v>2.4611325510651547E-6</v>
      </c>
    </row>
    <row r="339" spans="1:6" x14ac:dyDescent="0.25">
      <c r="A339">
        <v>32.799999999999997</v>
      </c>
      <c r="B339">
        <f t="shared" si="27"/>
        <v>-1.3649819770049266E-10</v>
      </c>
      <c r="C339">
        <f t="shared" si="28"/>
        <v>4.4134417256495214E-9</v>
      </c>
      <c r="D339">
        <f t="shared" si="29"/>
        <v>2.8955865582743531E-6</v>
      </c>
      <c r="E339">
        <f t="shared" si="30"/>
        <v>2.9000000000000027E-6</v>
      </c>
      <c r="F339">
        <f t="shared" si="26"/>
        <v>2.4612485745332001E-6</v>
      </c>
    </row>
    <row r="340" spans="1:6" x14ac:dyDescent="0.25">
      <c r="A340">
        <v>32.9</v>
      </c>
      <c r="B340">
        <f t="shared" si="27"/>
        <v>-1.3240325176948753E-10</v>
      </c>
      <c r="C340">
        <f t="shared" si="28"/>
        <v>4.2810384738800337E-9</v>
      </c>
      <c r="D340">
        <f t="shared" si="29"/>
        <v>2.8957189615261228E-6</v>
      </c>
      <c r="E340">
        <f t="shared" si="30"/>
        <v>2.9000000000000027E-6</v>
      </c>
      <c r="F340">
        <f t="shared" si="26"/>
        <v>2.4613611172972041E-6</v>
      </c>
    </row>
    <row r="341" spans="1:6" x14ac:dyDescent="0.25">
      <c r="A341">
        <v>33</v>
      </c>
      <c r="B341">
        <f t="shared" si="27"/>
        <v>-1.2843115421640283E-10</v>
      </c>
      <c r="C341">
        <f t="shared" si="28"/>
        <v>4.1526073196636306E-9</v>
      </c>
      <c r="D341">
        <f t="shared" si="29"/>
        <v>2.8958473926803392E-6</v>
      </c>
      <c r="E341">
        <f t="shared" si="30"/>
        <v>2.9000000000000027E-6</v>
      </c>
      <c r="F341">
        <f t="shared" si="26"/>
        <v>2.4614702837782881E-6</v>
      </c>
    </row>
    <row r="342" spans="1:6" x14ac:dyDescent="0.25">
      <c r="A342">
        <v>33.1</v>
      </c>
      <c r="B342">
        <f t="shared" si="27"/>
        <v>-1.2457821958991066E-10</v>
      </c>
      <c r="C342">
        <f t="shared" si="28"/>
        <v>4.0280291000737199E-9</v>
      </c>
      <c r="D342">
        <f t="shared" si="29"/>
        <v>2.8959719708999289E-6</v>
      </c>
      <c r="E342">
        <f t="shared" si="30"/>
        <v>2.9000000000000027E-6</v>
      </c>
      <c r="F342">
        <f t="shared" si="26"/>
        <v>2.4615761752649396E-6</v>
      </c>
    </row>
    <row r="343" spans="1:6" x14ac:dyDescent="0.25">
      <c r="A343">
        <v>33.200000000000003</v>
      </c>
      <c r="B343">
        <f t="shared" si="27"/>
        <v>-1.2084087300221333E-10</v>
      </c>
      <c r="C343">
        <f t="shared" si="28"/>
        <v>3.9071882270715066E-9</v>
      </c>
      <c r="D343">
        <f t="shared" si="29"/>
        <v>2.8960928117729311E-6</v>
      </c>
      <c r="E343">
        <f t="shared" si="30"/>
        <v>2.9000000000000027E-6</v>
      </c>
      <c r="F343">
        <f t="shared" si="26"/>
        <v>2.4616788900069914E-6</v>
      </c>
    </row>
    <row r="344" spans="1:6" x14ac:dyDescent="0.25">
      <c r="A344">
        <v>33.299999999999997</v>
      </c>
      <c r="B344">
        <f t="shared" si="27"/>
        <v>-1.1721564681213853E-10</v>
      </c>
      <c r="C344">
        <f t="shared" si="28"/>
        <v>3.7899725802593685E-9</v>
      </c>
      <c r="D344">
        <f t="shared" si="29"/>
        <v>2.8962100274197433E-6</v>
      </c>
      <c r="E344">
        <f t="shared" si="30"/>
        <v>2.9000000000000027E-6</v>
      </c>
      <c r="F344">
        <f t="shared" si="26"/>
        <v>2.4617785233067818E-6</v>
      </c>
    </row>
    <row r="345" spans="1:6" x14ac:dyDescent="0.25">
      <c r="A345">
        <v>33.4</v>
      </c>
      <c r="B345">
        <f t="shared" si="27"/>
        <v>-1.1369917740778266E-10</v>
      </c>
      <c r="C345">
        <f t="shared" si="28"/>
        <v>3.6762734028515856E-9</v>
      </c>
      <c r="D345">
        <f t="shared" si="29"/>
        <v>2.896323726597151E-6</v>
      </c>
      <c r="E345">
        <f t="shared" si="30"/>
        <v>2.9000000000000027E-6</v>
      </c>
      <c r="F345">
        <f t="shared" si="26"/>
        <v>2.4618751676075783E-6</v>
      </c>
    </row>
    <row r="346" spans="1:6" x14ac:dyDescent="0.25">
      <c r="A346">
        <v>33.5</v>
      </c>
      <c r="B346">
        <f t="shared" si="27"/>
        <v>-1.1028820208554914E-10</v>
      </c>
      <c r="C346">
        <f t="shared" si="28"/>
        <v>3.5659852007660364E-9</v>
      </c>
      <c r="D346">
        <f t="shared" si="29"/>
        <v>2.8964340147992364E-6</v>
      </c>
      <c r="E346">
        <f t="shared" si="30"/>
        <v>2.9000000000000023E-6</v>
      </c>
      <c r="F346">
        <f t="shared" si="26"/>
        <v>2.4619689125793508E-6</v>
      </c>
    </row>
    <row r="347" spans="1:6" x14ac:dyDescent="0.25">
      <c r="A347">
        <v>33.6</v>
      </c>
      <c r="B347">
        <f t="shared" si="27"/>
        <v>-1.0697955602298261E-10</v>
      </c>
      <c r="C347">
        <f t="shared" si="28"/>
        <v>3.4590056447430537E-9</v>
      </c>
      <c r="D347">
        <f t="shared" si="29"/>
        <v>2.8965409943552596E-6</v>
      </c>
      <c r="E347">
        <f t="shared" si="30"/>
        <v>2.9000000000000027E-6</v>
      </c>
      <c r="F347">
        <f t="shared" si="26"/>
        <v>2.4620598452019704E-6</v>
      </c>
    </row>
    <row r="348" spans="1:6" x14ac:dyDescent="0.25">
      <c r="A348">
        <v>33.700000000000003</v>
      </c>
      <c r="B348">
        <f t="shared" si="27"/>
        <v>-1.0377016934229308E-10</v>
      </c>
      <c r="C348">
        <f t="shared" si="28"/>
        <v>3.3552354754007606E-9</v>
      </c>
      <c r="D348">
        <f t="shared" si="29"/>
        <v>2.8966447645246019E-6</v>
      </c>
      <c r="E348">
        <f t="shared" si="30"/>
        <v>2.9000000000000027E-6</v>
      </c>
      <c r="F348">
        <f t="shared" si="26"/>
        <v>2.4621480498459117E-6</v>
      </c>
    </row>
    <row r="349" spans="1:6" x14ac:dyDescent="0.25">
      <c r="A349">
        <v>33.799999999999997</v>
      </c>
      <c r="B349">
        <f t="shared" si="27"/>
        <v>-1.0065706426201709E-10</v>
      </c>
      <c r="C349">
        <f t="shared" si="28"/>
        <v>3.2545784111387435E-9</v>
      </c>
      <c r="D349">
        <f t="shared" si="29"/>
        <v>2.8967454215888641E-6</v>
      </c>
      <c r="E349">
        <f t="shared" si="30"/>
        <v>2.9000000000000027E-6</v>
      </c>
      <c r="F349">
        <f t="shared" si="26"/>
        <v>2.4622336083505343E-6</v>
      </c>
    </row>
    <row r="350" spans="1:6" x14ac:dyDescent="0.25">
      <c r="A350">
        <v>33.9</v>
      </c>
      <c r="B350">
        <f t="shared" si="27"/>
        <v>-9.7637352334163682E-11</v>
      </c>
      <c r="C350">
        <f t="shared" si="28"/>
        <v>3.1569410588045799E-9</v>
      </c>
      <c r="D350">
        <f t="shared" si="29"/>
        <v>2.8968430589411981E-6</v>
      </c>
      <c r="E350">
        <f t="shared" si="30"/>
        <v>2.9000000000000027E-6</v>
      </c>
      <c r="F350">
        <f t="shared" si="26"/>
        <v>2.4623166001000183E-6</v>
      </c>
    </row>
    <row r="351" spans="1:6" x14ac:dyDescent="0.25">
      <c r="A351">
        <v>34</v>
      </c>
      <c r="B351">
        <f t="shared" si="27"/>
        <v>-9.470823176413873E-11</v>
      </c>
      <c r="C351">
        <f t="shared" si="28"/>
        <v>3.0622328270404413E-9</v>
      </c>
      <c r="D351">
        <f t="shared" si="29"/>
        <v>2.8969377671729621E-6</v>
      </c>
      <c r="E351">
        <f t="shared" si="30"/>
        <v>2.9000000000000023E-6</v>
      </c>
      <c r="F351">
        <f t="shared" si="26"/>
        <v>2.4623971020970177E-6</v>
      </c>
    </row>
    <row r="352" spans="1:6" x14ac:dyDescent="0.25">
      <c r="A352">
        <v>34.1</v>
      </c>
      <c r="B352">
        <f t="shared" si="27"/>
        <v>-9.1866984811214546E-11</v>
      </c>
      <c r="C352">
        <f t="shared" si="28"/>
        <v>2.970365842229227E-9</v>
      </c>
      <c r="D352">
        <f t="shared" si="29"/>
        <v>2.8970296341577731E-6</v>
      </c>
      <c r="E352">
        <f t="shared" si="30"/>
        <v>2.9000000000000023E-6</v>
      </c>
      <c r="F352">
        <f t="shared" si="26"/>
        <v>2.4624751890341069E-6</v>
      </c>
    </row>
    <row r="353" spans="1:6" x14ac:dyDescent="0.25">
      <c r="A353">
        <v>34.200000000000003</v>
      </c>
      <c r="B353">
        <f t="shared" si="27"/>
        <v>-8.9110975266878067E-11</v>
      </c>
      <c r="C353">
        <f t="shared" si="28"/>
        <v>2.8812548669623489E-9</v>
      </c>
      <c r="D353">
        <f t="shared" si="29"/>
        <v>2.89711874513304E-6</v>
      </c>
      <c r="E353">
        <f t="shared" si="30"/>
        <v>2.9000000000000023E-6</v>
      </c>
      <c r="F353">
        <f t="shared" si="26"/>
        <v>2.4625509333630838E-6</v>
      </c>
    </row>
    <row r="354" spans="1:6" x14ac:dyDescent="0.25">
      <c r="A354">
        <v>34.299999999999997</v>
      </c>
      <c r="B354">
        <f t="shared" si="27"/>
        <v>-8.643764600886554E-11</v>
      </c>
      <c r="C354">
        <f t="shared" si="28"/>
        <v>2.7948172209534833E-9</v>
      </c>
      <c r="D354">
        <f t="shared" si="29"/>
        <v>2.8972051827790487E-6</v>
      </c>
      <c r="E354">
        <f t="shared" si="30"/>
        <v>2.9000000000000023E-6</v>
      </c>
      <c r="F354">
        <f t="shared" si="26"/>
        <v>2.4626244053621916E-6</v>
      </c>
    </row>
    <row r="355" spans="1:6" x14ac:dyDescent="0.25">
      <c r="A355">
        <v>34.4</v>
      </c>
      <c r="B355">
        <f t="shared" si="27"/>
        <v>-8.3844516628605697E-11</v>
      </c>
      <c r="C355">
        <f t="shared" si="28"/>
        <v>2.7109727043248777E-9</v>
      </c>
      <c r="D355">
        <f t="shared" si="29"/>
        <v>2.8972890272956775E-6</v>
      </c>
      <c r="E355">
        <f t="shared" si="30"/>
        <v>2.9000000000000023E-6</v>
      </c>
      <c r="F355">
        <f t="shared" si="26"/>
        <v>2.4626956732013258E-6</v>
      </c>
    </row>
    <row r="356" spans="1:6" x14ac:dyDescent="0.25">
      <c r="A356">
        <v>34.5</v>
      </c>
      <c r="B356">
        <f t="shared" si="27"/>
        <v>-8.1329181129747484E-11</v>
      </c>
      <c r="C356">
        <f t="shared" si="28"/>
        <v>2.6296435231951303E-9</v>
      </c>
      <c r="D356">
        <f t="shared" si="29"/>
        <v>2.8973703564768072E-6</v>
      </c>
      <c r="E356">
        <f t="shared" si="30"/>
        <v>2.9000000000000023E-6</v>
      </c>
      <c r="F356">
        <f t="shared" si="26"/>
        <v>2.4627648030052862E-6</v>
      </c>
    </row>
    <row r="357" spans="1:6" x14ac:dyDescent="0.25">
      <c r="A357">
        <v>34.6</v>
      </c>
      <c r="B357">
        <f t="shared" si="27"/>
        <v>-7.8889305695855019E-11</v>
      </c>
      <c r="C357">
        <f t="shared" si="28"/>
        <v>2.5507542174992753E-9</v>
      </c>
      <c r="D357">
        <f t="shared" si="29"/>
        <v>2.8974492457825028E-6</v>
      </c>
      <c r="E357">
        <f t="shared" si="30"/>
        <v>2.9000000000000019E-6</v>
      </c>
      <c r="F357">
        <f t="shared" si="26"/>
        <v>2.4628318589151273E-6</v>
      </c>
    </row>
    <row r="358" spans="1:6" x14ac:dyDescent="0.25">
      <c r="A358">
        <v>34.700000000000003</v>
      </c>
      <c r="B358">
        <f t="shared" si="27"/>
        <v>-7.6522626524979341E-11</v>
      </c>
      <c r="C358">
        <f t="shared" si="28"/>
        <v>2.4742315909742958E-9</v>
      </c>
      <c r="D358">
        <f t="shared" si="29"/>
        <v>2.8975257684090276E-6</v>
      </c>
      <c r="E358">
        <f t="shared" si="30"/>
        <v>2.9000000000000019E-6</v>
      </c>
      <c r="F358">
        <f t="shared" si="26"/>
        <v>2.4628969031476735E-6</v>
      </c>
    </row>
    <row r="359" spans="1:6" x14ac:dyDescent="0.25">
      <c r="A359">
        <v>34.799999999999997</v>
      </c>
      <c r="B359">
        <f t="shared" si="27"/>
        <v>-7.4226947729224657E-11</v>
      </c>
      <c r="C359">
        <f t="shared" si="28"/>
        <v>2.4000046432450713E-9</v>
      </c>
      <c r="D359">
        <f t="shared" si="29"/>
        <v>2.8975999953567568E-6</v>
      </c>
      <c r="E359">
        <f t="shared" si="30"/>
        <v>2.9000000000000019E-6</v>
      </c>
      <c r="F359">
        <f t="shared" si="26"/>
        <v>2.4629599960532433E-6</v>
      </c>
    </row>
    <row r="360" spans="1:6" x14ac:dyDescent="0.25">
      <c r="A360">
        <v>34.9</v>
      </c>
      <c r="B360">
        <f t="shared" si="27"/>
        <v>-7.2000139297353161E-11</v>
      </c>
      <c r="C360">
        <f t="shared" si="28"/>
        <v>2.3280045039477182E-9</v>
      </c>
      <c r="D360">
        <f t="shared" si="29"/>
        <v>2.8976719954960542E-6</v>
      </c>
      <c r="E360">
        <f t="shared" si="30"/>
        <v>2.9000000000000019E-6</v>
      </c>
      <c r="F360">
        <f t="shared" si="26"/>
        <v>2.4630211961716459E-6</v>
      </c>
    </row>
    <row r="361" spans="1:6" x14ac:dyDescent="0.25">
      <c r="A361">
        <v>35</v>
      </c>
      <c r="B361">
        <f t="shared" si="27"/>
        <v>-6.9840135118432536E-11</v>
      </c>
      <c r="C361">
        <f t="shared" si="28"/>
        <v>2.2581643688292857E-9</v>
      </c>
      <c r="D361">
        <f t="shared" si="29"/>
        <v>2.8977418356311726E-6</v>
      </c>
      <c r="E361">
        <f t="shared" si="30"/>
        <v>2.9000000000000019E-6</v>
      </c>
      <c r="F361">
        <f t="shared" si="26"/>
        <v>2.4630805602864966E-6</v>
      </c>
    </row>
    <row r="362" spans="1:6" x14ac:dyDescent="0.25">
      <c r="A362">
        <v>35.1</v>
      </c>
      <c r="B362">
        <f t="shared" si="27"/>
        <v>-6.7744931064879524E-11</v>
      </c>
      <c r="C362">
        <f t="shared" si="28"/>
        <v>2.1904194377644062E-9</v>
      </c>
      <c r="D362">
        <f t="shared" si="29"/>
        <v>2.8978095805622376E-6</v>
      </c>
      <c r="E362">
        <f t="shared" si="30"/>
        <v>2.9000000000000019E-6</v>
      </c>
      <c r="F362">
        <f t="shared" si="26"/>
        <v>2.4631381434779021E-6</v>
      </c>
    </row>
    <row r="363" spans="1:6" x14ac:dyDescent="0.25">
      <c r="A363">
        <v>35.200000000000003</v>
      </c>
      <c r="B363">
        <f t="shared" si="27"/>
        <v>-6.5712583132933117E-11</v>
      </c>
      <c r="C363">
        <f t="shared" si="28"/>
        <v>2.1247068546314732E-9</v>
      </c>
      <c r="D363">
        <f t="shared" si="29"/>
        <v>2.8978752931453706E-6</v>
      </c>
      <c r="E363">
        <f t="shared" si="30"/>
        <v>2.9000000000000023E-6</v>
      </c>
      <c r="F363">
        <f t="shared" si="26"/>
        <v>2.463193999173565E-6</v>
      </c>
    </row>
    <row r="364" spans="1:6" x14ac:dyDescent="0.25">
      <c r="A364">
        <v>35.299999999999997</v>
      </c>
      <c r="B364">
        <f t="shared" si="27"/>
        <v>-6.3741205638940577E-11</v>
      </c>
      <c r="C364">
        <f t="shared" si="28"/>
        <v>2.0609656489925325E-9</v>
      </c>
      <c r="D364">
        <f t="shared" si="29"/>
        <v>2.8979390343510098E-6</v>
      </c>
      <c r="E364">
        <f t="shared" si="30"/>
        <v>2.9000000000000023E-6</v>
      </c>
      <c r="F364">
        <f t="shared" si="26"/>
        <v>2.4632481791983581E-6</v>
      </c>
    </row>
    <row r="365" spans="1:6" x14ac:dyDescent="0.25">
      <c r="A365">
        <v>35.4</v>
      </c>
      <c r="B365">
        <f t="shared" si="27"/>
        <v>-6.1828969469776847E-11</v>
      </c>
      <c r="C365">
        <f t="shared" si="28"/>
        <v>1.9991366795227555E-9</v>
      </c>
      <c r="D365">
        <f t="shared" si="29"/>
        <v>2.8980008633204795E-6</v>
      </c>
      <c r="E365">
        <f t="shared" si="30"/>
        <v>2.9000000000000023E-6</v>
      </c>
      <c r="F365">
        <f t="shared" si="26"/>
        <v>2.4633007338224074E-6</v>
      </c>
    </row>
    <row r="366" spans="1:6" x14ac:dyDescent="0.25">
      <c r="A366">
        <v>35.5</v>
      </c>
      <c r="B366">
        <f t="shared" si="27"/>
        <v>-5.9974100385683522E-11</v>
      </c>
      <c r="C366">
        <f t="shared" si="28"/>
        <v>1.939162579137072E-9</v>
      </c>
      <c r="D366">
        <f t="shared" si="29"/>
        <v>2.8980608374208652E-6</v>
      </c>
      <c r="E366">
        <f t="shared" si="30"/>
        <v>2.9000000000000023E-6</v>
      </c>
      <c r="F366">
        <f t="shared" si="26"/>
        <v>2.4633517118077355E-6</v>
      </c>
    </row>
    <row r="367" spans="1:6" x14ac:dyDescent="0.25">
      <c r="A367">
        <v>35.6</v>
      </c>
      <c r="B367">
        <f t="shared" si="27"/>
        <v>-5.8174877374112984E-11</v>
      </c>
      <c r="C367">
        <f t="shared" si="28"/>
        <v>1.8809877017629591E-9</v>
      </c>
      <c r="D367">
        <f t="shared" si="29"/>
        <v>2.8981190122982392E-6</v>
      </c>
      <c r="E367">
        <f t="shared" si="30"/>
        <v>2.9000000000000023E-6</v>
      </c>
      <c r="F367">
        <f t="shared" si="26"/>
        <v>2.4634011604535031E-6</v>
      </c>
    </row>
    <row r="368" spans="1:6" x14ac:dyDescent="0.25">
      <c r="A368">
        <v>35.700000000000003</v>
      </c>
      <c r="B368">
        <f t="shared" si="27"/>
        <v>-5.6429631052889572E-11</v>
      </c>
      <c r="C368">
        <f t="shared" si="28"/>
        <v>1.8245580707100695E-9</v>
      </c>
      <c r="D368">
        <f t="shared" si="29"/>
        <v>2.8981754419292919E-6</v>
      </c>
      <c r="E368">
        <f t="shared" si="30"/>
        <v>2.9000000000000019E-6</v>
      </c>
      <c r="F368">
        <f t="shared" si="26"/>
        <v>2.463449125639898E-6</v>
      </c>
    </row>
    <row r="369" spans="1:6" x14ac:dyDescent="0.25">
      <c r="A369">
        <v>35.799999999999997</v>
      </c>
      <c r="B369">
        <f t="shared" si="27"/>
        <v>-5.473674212129897E-11</v>
      </c>
      <c r="C369">
        <f t="shared" si="28"/>
        <v>1.7698213285887704E-9</v>
      </c>
      <c r="D369">
        <f t="shared" si="29"/>
        <v>2.8982301786714134E-6</v>
      </c>
      <c r="E369">
        <f t="shared" si="30"/>
        <v>2.9000000000000023E-6</v>
      </c>
      <c r="F369">
        <f t="shared" si="26"/>
        <v>2.4634956518707014E-6</v>
      </c>
    </row>
    <row r="370" spans="1:6" x14ac:dyDescent="0.25">
      <c r="A370">
        <v>35.9</v>
      </c>
      <c r="B370">
        <f t="shared" si="27"/>
        <v>-5.309463985766387E-11</v>
      </c>
      <c r="C370">
        <f t="shared" si="28"/>
        <v>1.7167266887311067E-9</v>
      </c>
      <c r="D370">
        <f t="shared" si="29"/>
        <v>2.8982832733112711E-6</v>
      </c>
      <c r="E370">
        <f t="shared" si="30"/>
        <v>2.9000000000000023E-6</v>
      </c>
      <c r="F370">
        <f t="shared" si="26"/>
        <v>2.4635407823145805E-6</v>
      </c>
    </row>
    <row r="371" spans="1:6" x14ac:dyDescent="0.25">
      <c r="A371">
        <v>36</v>
      </c>
      <c r="B371">
        <f t="shared" si="27"/>
        <v>-5.1501800661933923E-11</v>
      </c>
      <c r="C371">
        <f t="shared" si="28"/>
        <v>1.6652248880691727E-9</v>
      </c>
      <c r="D371">
        <f t="shared" si="29"/>
        <v>2.8983347751119332E-6</v>
      </c>
      <c r="E371">
        <f t="shared" si="30"/>
        <v>2.9000000000000023E-6</v>
      </c>
      <c r="F371">
        <f t="shared" si="26"/>
        <v>2.4635845588451433E-6</v>
      </c>
    </row>
    <row r="372" spans="1:6" x14ac:dyDescent="0.25">
      <c r="A372">
        <v>36.1</v>
      </c>
      <c r="B372">
        <f t="shared" si="27"/>
        <v>-4.995674664207589E-11</v>
      </c>
      <c r="C372">
        <f t="shared" si="28"/>
        <v>1.6152681414270968E-9</v>
      </c>
      <c r="D372">
        <f t="shared" si="29"/>
        <v>2.8983847318585753E-6</v>
      </c>
      <c r="E372">
        <f t="shared" si="30"/>
        <v>2.9000000000000023E-6</v>
      </c>
      <c r="F372">
        <f t="shared" si="26"/>
        <v>2.4636270220797888E-6</v>
      </c>
    </row>
    <row r="373" spans="1:6" x14ac:dyDescent="0.25">
      <c r="A373">
        <v>36.200000000000003</v>
      </c>
      <c r="B373">
        <f t="shared" si="27"/>
        <v>-4.8458044242813591E-11</v>
      </c>
      <c r="C373">
        <f t="shared" si="28"/>
        <v>1.5668100971842831E-9</v>
      </c>
      <c r="D373">
        <f t="shared" si="29"/>
        <v>2.8984331899028182E-6</v>
      </c>
      <c r="E373">
        <f t="shared" si="30"/>
        <v>2.9000000000000023E-6</v>
      </c>
      <c r="F373">
        <f t="shared" si="26"/>
        <v>2.4636682114173952E-6</v>
      </c>
    </row>
    <row r="374" spans="1:6" x14ac:dyDescent="0.25">
      <c r="A374">
        <v>36.299999999999997</v>
      </c>
      <c r="B374">
        <f t="shared" si="27"/>
        <v>-4.7004302915525823E-11</v>
      </c>
      <c r="C374">
        <f t="shared" si="28"/>
        <v>1.5198057942687574E-9</v>
      </c>
      <c r="D374">
        <f t="shared" si="29"/>
        <v>2.8984801942057335E-6</v>
      </c>
      <c r="E374">
        <f t="shared" si="30"/>
        <v>2.9000000000000023E-6</v>
      </c>
      <c r="F374">
        <f t="shared" si="26"/>
        <v>2.4637081650748736E-6</v>
      </c>
    </row>
    <row r="375" spans="1:6" x14ac:dyDescent="0.25">
      <c r="A375">
        <v>36.4</v>
      </c>
      <c r="B375">
        <f t="shared" si="27"/>
        <v>-4.5594173828063369E-11</v>
      </c>
      <c r="C375">
        <f t="shared" si="28"/>
        <v>1.4742116204406939E-9</v>
      </c>
      <c r="D375">
        <f t="shared" si="29"/>
        <v>2.8985257883795616E-6</v>
      </c>
      <c r="E375">
        <f t="shared" si="30"/>
        <v>2.9000000000000023E-6</v>
      </c>
      <c r="F375">
        <f t="shared" si="26"/>
        <v>2.4637469201226273E-6</v>
      </c>
    </row>
    <row r="376" spans="1:6" x14ac:dyDescent="0.25">
      <c r="A376">
        <v>36.5</v>
      </c>
      <c r="B376">
        <f t="shared" si="27"/>
        <v>-4.4226348613221446E-11</v>
      </c>
      <c r="C376">
        <f t="shared" si="28"/>
        <v>1.4299852718274725E-9</v>
      </c>
      <c r="D376">
        <f t="shared" si="29"/>
        <v>2.8985700147281747E-6</v>
      </c>
      <c r="E376">
        <f t="shared" si="30"/>
        <v>2.9000000000000023E-6</v>
      </c>
      <c r="F376">
        <f t="shared" si="26"/>
        <v>2.4637845125189485E-6</v>
      </c>
    </row>
    <row r="377" spans="1:6" x14ac:dyDescent="0.25">
      <c r="A377">
        <v>36.6</v>
      </c>
      <c r="B377">
        <f t="shared" si="27"/>
        <v>-4.2899558154824783E-11</v>
      </c>
      <c r="C377">
        <f t="shared" si="28"/>
        <v>1.3870857136726477E-9</v>
      </c>
      <c r="D377">
        <f t="shared" si="29"/>
        <v>2.8986129142863295E-6</v>
      </c>
      <c r="E377">
        <f t="shared" si="30"/>
        <v>2.9000000000000023E-6</v>
      </c>
      <c r="F377">
        <f t="shared" si="26"/>
        <v>2.46382097714338E-6</v>
      </c>
    </row>
    <row r="378" spans="1:6" x14ac:dyDescent="0.25">
      <c r="A378">
        <v>36.700000000000003</v>
      </c>
      <c r="B378">
        <f t="shared" si="27"/>
        <v>-4.1612571410180025E-11</v>
      </c>
      <c r="C378">
        <f t="shared" si="28"/>
        <v>1.3454731422624676E-9</v>
      </c>
      <c r="D378">
        <f t="shared" si="29"/>
        <v>2.8986545268577397E-6</v>
      </c>
      <c r="E378">
        <f t="shared" si="30"/>
        <v>2.9000000000000023E-6</v>
      </c>
      <c r="F378">
        <f t="shared" si="26"/>
        <v>2.4638563478290788E-6</v>
      </c>
    </row>
    <row r="379" spans="1:6" x14ac:dyDescent="0.25">
      <c r="A379">
        <v>36.799999999999997</v>
      </c>
      <c r="B379">
        <f t="shared" si="27"/>
        <v>-4.0364194267871734E-11</v>
      </c>
      <c r="C379">
        <f t="shared" si="28"/>
        <v>1.3051089479945959E-9</v>
      </c>
      <c r="D379">
        <f t="shared" si="29"/>
        <v>2.8986948910520075E-6</v>
      </c>
      <c r="E379">
        <f t="shared" si="30"/>
        <v>2.9000000000000019E-6</v>
      </c>
      <c r="F379">
        <f t="shared" si="26"/>
        <v>2.4638906573942063E-6</v>
      </c>
    </row>
    <row r="380" spans="1:6" x14ac:dyDescent="0.25">
      <c r="A380">
        <v>36.9</v>
      </c>
      <c r="B380">
        <f t="shared" si="27"/>
        <v>-3.9153268439838429E-11</v>
      </c>
      <c r="C380">
        <f t="shared" si="28"/>
        <v>1.2659556795547574E-9</v>
      </c>
      <c r="D380">
        <f t="shared" si="29"/>
        <v>2.8987340443204475E-6</v>
      </c>
      <c r="E380">
        <f t="shared" si="30"/>
        <v>2.9000000000000023E-6</v>
      </c>
      <c r="F380">
        <f t="shared" si="26"/>
        <v>2.4639239376723804E-6</v>
      </c>
    </row>
    <row r="381" spans="1:6" x14ac:dyDescent="0.25">
      <c r="A381">
        <v>37</v>
      </c>
      <c r="B381">
        <f t="shared" si="27"/>
        <v>-3.7978670386643265E-11</v>
      </c>
      <c r="C381">
        <f t="shared" si="28"/>
        <v>1.2279770091681142E-9</v>
      </c>
      <c r="D381">
        <f t="shared" si="29"/>
        <v>2.8987720229908342E-6</v>
      </c>
      <c r="E381">
        <f t="shared" si="30"/>
        <v>2.9000000000000023E-6</v>
      </c>
      <c r="F381">
        <f t="shared" si="26"/>
        <v>2.4639562195422088E-6</v>
      </c>
    </row>
    <row r="382" spans="1:6" x14ac:dyDescent="0.25">
      <c r="A382">
        <v>37.1</v>
      </c>
      <c r="B382">
        <f t="shared" si="27"/>
        <v>-3.6839310275043953E-11</v>
      </c>
      <c r="C382">
        <f t="shared" si="28"/>
        <v>1.1911376988930702E-9</v>
      </c>
      <c r="D382">
        <f t="shared" si="29"/>
        <v>2.898808862301109E-6</v>
      </c>
      <c r="E382">
        <f t="shared" si="30"/>
        <v>2.9000000000000023E-6</v>
      </c>
      <c r="F382">
        <f t="shared" si="26"/>
        <v>2.4639875329559425E-6</v>
      </c>
    </row>
    <row r="383" spans="1:6" x14ac:dyDescent="0.25">
      <c r="A383">
        <v>37.200000000000003</v>
      </c>
      <c r="B383">
        <f t="shared" si="27"/>
        <v>-3.573413096679261E-11</v>
      </c>
      <c r="C383">
        <f t="shared" si="28"/>
        <v>1.1554035679262776E-9</v>
      </c>
      <c r="D383">
        <f t="shared" si="29"/>
        <v>2.8988445964320758E-6</v>
      </c>
      <c r="E383">
        <f t="shared" si="30"/>
        <v>2.9000000000000023E-6</v>
      </c>
      <c r="F383">
        <f t="shared" si="26"/>
        <v>2.4640179069672642E-6</v>
      </c>
    </row>
    <row r="384" spans="1:6" x14ac:dyDescent="0.25">
      <c r="A384">
        <v>37.299999999999997</v>
      </c>
      <c r="B384">
        <f t="shared" si="27"/>
        <v>-3.4662107037786355E-11</v>
      </c>
      <c r="C384">
        <f t="shared" si="28"/>
        <v>1.1207414608884911E-9</v>
      </c>
      <c r="D384">
        <f t="shared" si="29"/>
        <v>2.8988792585391134E-6</v>
      </c>
      <c r="E384">
        <f t="shared" si="30"/>
        <v>2.9000000000000019E-6</v>
      </c>
      <c r="F384">
        <f t="shared" si="26"/>
        <v>2.4640473697582463E-6</v>
      </c>
    </row>
    <row r="385" spans="1:6" x14ac:dyDescent="0.25">
      <c r="A385">
        <v>37.4</v>
      </c>
      <c r="B385">
        <f t="shared" si="27"/>
        <v>-3.3622243826655216E-11</v>
      </c>
      <c r="C385">
        <f t="shared" si="28"/>
        <v>1.087119217061836E-9</v>
      </c>
      <c r="D385">
        <f t="shared" si="29"/>
        <v>2.8989128807829401E-6</v>
      </c>
      <c r="E385">
        <f t="shared" si="30"/>
        <v>2.9000000000000019E-6</v>
      </c>
      <c r="F385">
        <f t="shared" si="26"/>
        <v>2.4640759486654992E-6</v>
      </c>
    </row>
    <row r="386" spans="1:6" x14ac:dyDescent="0.25">
      <c r="A386">
        <v>37.5</v>
      </c>
      <c r="B386">
        <f t="shared" si="27"/>
        <v>-3.2613576511855544E-11</v>
      </c>
      <c r="C386">
        <f t="shared" si="28"/>
        <v>1.0545056405499803E-9</v>
      </c>
      <c r="D386">
        <f t="shared" si="29"/>
        <v>2.8989454943594519E-6</v>
      </c>
      <c r="E386">
        <f t="shared" si="30"/>
        <v>2.9000000000000019E-6</v>
      </c>
      <c r="F386">
        <f t="shared" si="26"/>
        <v>2.464103670205534E-6</v>
      </c>
    </row>
    <row r="387" spans="1:6" x14ac:dyDescent="0.25">
      <c r="A387">
        <v>37.6</v>
      </c>
      <c r="B387">
        <f t="shared" si="27"/>
        <v>-3.1635169216499859E-11</v>
      </c>
      <c r="C387">
        <f t="shared" si="28"/>
        <v>1.0228704713334805E-9</v>
      </c>
      <c r="D387">
        <f t="shared" si="29"/>
        <v>2.8989771295286685E-6</v>
      </c>
      <c r="E387">
        <f t="shared" si="30"/>
        <v>2.9000000000000019E-6</v>
      </c>
      <c r="F387">
        <f t="shared" si="26"/>
        <v>2.4641305600993681E-6</v>
      </c>
    </row>
    <row r="388" spans="1:6" x14ac:dyDescent="0.25">
      <c r="A388">
        <v>37.700000000000003</v>
      </c>
      <c r="B388">
        <f t="shared" si="27"/>
        <v>-3.0686114140004854E-11</v>
      </c>
      <c r="C388">
        <f t="shared" si="28"/>
        <v>9.9218435719347561E-10</v>
      </c>
      <c r="D388">
        <f t="shared" si="29"/>
        <v>2.8990078156428084E-6</v>
      </c>
      <c r="E388">
        <f t="shared" si="30"/>
        <v>2.9000000000000019E-6</v>
      </c>
      <c r="F388">
        <f t="shared" si="26"/>
        <v>2.464156643296387E-6</v>
      </c>
    </row>
    <row r="389" spans="1:6" x14ac:dyDescent="0.25">
      <c r="A389">
        <v>37.799999999999997</v>
      </c>
      <c r="B389">
        <f t="shared" si="27"/>
        <v>-2.9765530715802574E-11</v>
      </c>
      <c r="C389">
        <f t="shared" si="28"/>
        <v>9.6241882647767308E-10</v>
      </c>
      <c r="D389">
        <f t="shared" si="29"/>
        <v>2.8990375811735244E-6</v>
      </c>
      <c r="E389">
        <f t="shared" si="30"/>
        <v>2.9000000000000019E-6</v>
      </c>
      <c r="F389">
        <f t="shared" si="26"/>
        <v>2.4641819439974955E-6</v>
      </c>
    </row>
    <row r="390" spans="1:6" x14ac:dyDescent="0.25">
      <c r="A390">
        <v>37.9</v>
      </c>
      <c r="B390">
        <f t="shared" si="27"/>
        <v>-2.8872564794330601E-11</v>
      </c>
      <c r="C390">
        <f t="shared" si="28"/>
        <v>9.3354626168334257E-10</v>
      </c>
      <c r="D390">
        <f t="shared" si="29"/>
        <v>2.8990664537383189E-6</v>
      </c>
      <c r="E390">
        <f t="shared" si="30"/>
        <v>2.9000000000000023E-6</v>
      </c>
      <c r="F390">
        <f t="shared" si="26"/>
        <v>2.4642064856775711E-6</v>
      </c>
    </row>
    <row r="391" spans="1:6" x14ac:dyDescent="0.25">
      <c r="A391">
        <v>38</v>
      </c>
      <c r="B391">
        <f t="shared" si="27"/>
        <v>-2.8006387850500673E-11</v>
      </c>
      <c r="C391">
        <f t="shared" si="28"/>
        <v>9.0553987383284187E-10</v>
      </c>
      <c r="D391">
        <f t="shared" si="29"/>
        <v>2.8990944601261695E-6</v>
      </c>
      <c r="E391">
        <f t="shared" si="30"/>
        <v>2.9000000000000023E-6</v>
      </c>
      <c r="F391">
        <f t="shared" si="26"/>
        <v>2.464230291107244E-6</v>
      </c>
    </row>
    <row r="392" spans="1:6" x14ac:dyDescent="0.25">
      <c r="A392">
        <v>38.1</v>
      </c>
      <c r="B392">
        <f t="shared" si="27"/>
        <v>-2.7166196214985643E-11</v>
      </c>
      <c r="C392">
        <f t="shared" si="28"/>
        <v>8.7837367761785621E-10</v>
      </c>
      <c r="D392">
        <f t="shared" si="29"/>
        <v>2.8991216263223843E-6</v>
      </c>
      <c r="E392">
        <f t="shared" si="30"/>
        <v>2.9000000000000023E-6</v>
      </c>
      <c r="F392">
        <f t="shared" si="26"/>
        <v>2.4642533823740268E-6</v>
      </c>
    </row>
    <row r="393" spans="1:6" x14ac:dyDescent="0.25">
      <c r="A393">
        <v>38.200000000000003</v>
      </c>
      <c r="B393">
        <f t="shared" si="27"/>
        <v>-2.6351210328536063E-11</v>
      </c>
      <c r="C393">
        <f t="shared" si="28"/>
        <v>8.520224672893201E-10</v>
      </c>
      <c r="D393">
        <f t="shared" si="29"/>
        <v>2.8991479775327128E-6</v>
      </c>
      <c r="E393">
        <f t="shared" si="30"/>
        <v>2.9000000000000019E-6</v>
      </c>
      <c r="F393">
        <f t="shared" si="26"/>
        <v>2.4642757809028059E-6</v>
      </c>
    </row>
    <row r="394" spans="1:6" x14ac:dyDescent="0.25">
      <c r="A394">
        <v>38.299999999999997</v>
      </c>
      <c r="B394">
        <f t="shared" si="27"/>
        <v>-2.5560674018678147E-11</v>
      </c>
      <c r="C394">
        <f t="shared" si="28"/>
        <v>8.2646179327064192E-10</v>
      </c>
      <c r="D394">
        <f t="shared" si="29"/>
        <v>2.8991735382067316E-6</v>
      </c>
      <c r="E394">
        <f t="shared" si="30"/>
        <v>2.9000000000000023E-6</v>
      </c>
      <c r="F394">
        <f t="shared" si="26"/>
        <v>2.4642975074757219E-6</v>
      </c>
    </row>
    <row r="395" spans="1:6" x14ac:dyDescent="0.25">
      <c r="A395">
        <v>38.4</v>
      </c>
      <c r="B395">
        <f t="shared" si="27"/>
        <v>-2.4793853798119606E-11</v>
      </c>
      <c r="C395">
        <f t="shared" si="28"/>
        <v>8.0166793947252234E-10</v>
      </c>
      <c r="D395">
        <f t="shared" si="29"/>
        <v>2.8991983320605298E-6</v>
      </c>
      <c r="E395">
        <f t="shared" si="30"/>
        <v>2.9000000000000023E-6</v>
      </c>
      <c r="F395">
        <f t="shared" si="26"/>
        <v>2.4643185822514503E-6</v>
      </c>
    </row>
    <row r="396" spans="1:6" x14ac:dyDescent="0.25">
      <c r="A396">
        <v>38.5</v>
      </c>
      <c r="B396">
        <f t="shared" si="27"/>
        <v>-2.4050038184176012E-11</v>
      </c>
      <c r="C396">
        <f t="shared" si="28"/>
        <v>7.7761790128834632E-10</v>
      </c>
      <c r="D396">
        <f t="shared" si="29"/>
        <v>2.8992223820987139E-6</v>
      </c>
      <c r="E396">
        <f t="shared" si="30"/>
        <v>2.9000000000000023E-6</v>
      </c>
      <c r="F396">
        <f t="shared" ref="F396:F459" si="31">D396*0.85</f>
        <v>2.4643390247839065E-6</v>
      </c>
    </row>
    <row r="397" spans="1:6" x14ac:dyDescent="0.25">
      <c r="A397">
        <v>38.6</v>
      </c>
      <c r="B397">
        <f t="shared" ref="B397:B460" si="32">IF(A396&lt;$G$4,0,-$G$3*(C396)*(A397-A396))</f>
        <v>-2.3328537038650722E-11</v>
      </c>
      <c r="C397">
        <f t="shared" ref="C397:C460" si="33">C396+B397</f>
        <v>7.5428936424969564E-10</v>
      </c>
      <c r="D397">
        <f t="shared" ref="D397:D460" si="34">D396-B397</f>
        <v>2.8992457106357526E-6</v>
      </c>
      <c r="E397">
        <f t="shared" ref="E397:E460" si="35">SUM(C397:D397)</f>
        <v>2.9000000000000023E-6</v>
      </c>
      <c r="F397">
        <f t="shared" si="31"/>
        <v>2.4643588540403896E-6</v>
      </c>
    </row>
    <row r="398" spans="1:6" x14ac:dyDescent="0.25">
      <c r="A398">
        <v>38.700000000000003</v>
      </c>
      <c r="B398">
        <f t="shared" si="32"/>
        <v>-2.2628680927491191E-11</v>
      </c>
      <c r="C398">
        <f t="shared" si="33"/>
        <v>7.3166068332220442E-10</v>
      </c>
      <c r="D398">
        <f t="shared" si="34"/>
        <v>2.8992683393166802E-6</v>
      </c>
      <c r="E398">
        <f t="shared" si="35"/>
        <v>2.9000000000000023E-6</v>
      </c>
      <c r="F398">
        <f t="shared" si="31"/>
        <v>2.4643780884191782E-6</v>
      </c>
    </row>
    <row r="399" spans="1:6" x14ac:dyDescent="0.25">
      <c r="A399">
        <v>38.799999999999997</v>
      </c>
      <c r="B399">
        <f t="shared" si="32"/>
        <v>-2.1949820499664884E-11</v>
      </c>
      <c r="C399">
        <f t="shared" si="33"/>
        <v>7.0971086282253953E-10</v>
      </c>
      <c r="D399">
        <f t="shared" si="34"/>
        <v>2.8992902891371797E-6</v>
      </c>
      <c r="E399">
        <f t="shared" si="35"/>
        <v>2.9000000000000023E-6</v>
      </c>
      <c r="F399">
        <f t="shared" si="31"/>
        <v>2.4643967457666025E-6</v>
      </c>
    </row>
    <row r="400" spans="1:6" x14ac:dyDescent="0.25">
      <c r="A400">
        <v>38.9</v>
      </c>
      <c r="B400">
        <f t="shared" si="32"/>
        <v>-2.1291325884676487E-11</v>
      </c>
      <c r="C400">
        <f t="shared" si="33"/>
        <v>6.8841953693786299E-10</v>
      </c>
      <c r="D400">
        <f t="shared" si="34"/>
        <v>2.8993115804630644E-6</v>
      </c>
      <c r="E400">
        <f t="shared" si="35"/>
        <v>2.9000000000000023E-6</v>
      </c>
      <c r="F400">
        <f t="shared" si="31"/>
        <v>2.4644148433936046E-6</v>
      </c>
    </row>
    <row r="401" spans="1:6" x14ac:dyDescent="0.25">
      <c r="A401">
        <v>39</v>
      </c>
      <c r="B401">
        <f t="shared" si="32"/>
        <v>-2.0652586108136182E-11</v>
      </c>
      <c r="C401">
        <f t="shared" si="33"/>
        <v>6.677669508297268E-10</v>
      </c>
      <c r="D401">
        <f t="shared" si="34"/>
        <v>2.8993322330491727E-6</v>
      </c>
      <c r="E401">
        <f t="shared" si="35"/>
        <v>2.9000000000000023E-6</v>
      </c>
      <c r="F401">
        <f t="shared" si="31"/>
        <v>2.4644323980917968E-6</v>
      </c>
    </row>
    <row r="402" spans="1:6" x14ac:dyDescent="0.25">
      <c r="A402">
        <v>39.1</v>
      </c>
      <c r="B402">
        <f t="shared" si="32"/>
        <v>-2.003300852489209E-11</v>
      </c>
      <c r="C402">
        <f t="shared" si="33"/>
        <v>6.4773394230483473E-10</v>
      </c>
      <c r="D402">
        <f t="shared" si="34"/>
        <v>2.8993522660576973E-6</v>
      </c>
      <c r="E402">
        <f t="shared" si="35"/>
        <v>2.9000000000000023E-6</v>
      </c>
      <c r="F402">
        <f t="shared" si="31"/>
        <v>2.4644494261490427E-6</v>
      </c>
    </row>
    <row r="403" spans="1:6" x14ac:dyDescent="0.25">
      <c r="A403">
        <v>39.200000000000003</v>
      </c>
      <c r="B403">
        <f t="shared" si="32"/>
        <v>-1.9432018269145316E-11</v>
      </c>
      <c r="C403">
        <f t="shared" si="33"/>
        <v>6.2830192403568937E-10</v>
      </c>
      <c r="D403">
        <f t="shared" si="34"/>
        <v>2.8993716980759663E-6</v>
      </c>
      <c r="E403">
        <f t="shared" si="35"/>
        <v>2.9000000000000019E-6</v>
      </c>
      <c r="F403">
        <f t="shared" si="31"/>
        <v>2.4644659433645711E-6</v>
      </c>
    </row>
    <row r="404" spans="1:6" x14ac:dyDescent="0.25">
      <c r="A404">
        <v>39.299999999999997</v>
      </c>
      <c r="B404">
        <f t="shared" si="32"/>
        <v>-1.8849057721069609E-11</v>
      </c>
      <c r="C404">
        <f t="shared" si="33"/>
        <v>6.0945286631461979E-10</v>
      </c>
      <c r="D404">
        <f t="shared" si="34"/>
        <v>2.8993905471336875E-6</v>
      </c>
      <c r="E404">
        <f t="shared" si="35"/>
        <v>2.9000000000000019E-6</v>
      </c>
      <c r="F404">
        <f t="shared" si="31"/>
        <v>2.4644819650636342E-6</v>
      </c>
    </row>
    <row r="405" spans="1:6" x14ac:dyDescent="0.25">
      <c r="A405">
        <v>39.4</v>
      </c>
      <c r="B405">
        <f t="shared" si="32"/>
        <v>-1.8283585989438855E-11</v>
      </c>
      <c r="C405">
        <f t="shared" si="33"/>
        <v>5.9116928032518097E-10</v>
      </c>
      <c r="D405">
        <f t="shared" si="34"/>
        <v>2.8994088307196771E-6</v>
      </c>
      <c r="E405">
        <f t="shared" si="35"/>
        <v>2.9000000000000023E-6</v>
      </c>
      <c r="F405">
        <f t="shared" si="31"/>
        <v>2.4644975061117253E-6</v>
      </c>
    </row>
    <row r="406" spans="1:6" x14ac:dyDescent="0.25">
      <c r="A406">
        <v>39.5</v>
      </c>
      <c r="B406">
        <f t="shared" si="32"/>
        <v>-1.7735078409755682E-11</v>
      </c>
      <c r="C406">
        <f t="shared" si="33"/>
        <v>5.7343420191542527E-10</v>
      </c>
      <c r="D406">
        <f t="shared" si="34"/>
        <v>2.899426565798087E-6</v>
      </c>
      <c r="E406">
        <f t="shared" si="35"/>
        <v>2.9000000000000023E-6</v>
      </c>
      <c r="F406">
        <f t="shared" si="31"/>
        <v>2.4645125809283737E-6</v>
      </c>
    </row>
    <row r="407" spans="1:6" x14ac:dyDescent="0.25">
      <c r="A407">
        <v>39.6</v>
      </c>
      <c r="B407">
        <f t="shared" si="32"/>
        <v>-1.7203026057463001E-11</v>
      </c>
      <c r="C407">
        <f t="shared" si="33"/>
        <v>5.5623117585796229E-10</v>
      </c>
      <c r="D407">
        <f t="shared" si="34"/>
        <v>2.8994437688241445E-6</v>
      </c>
      <c r="E407">
        <f t="shared" si="35"/>
        <v>2.9000000000000023E-6</v>
      </c>
      <c r="F407">
        <f t="shared" si="31"/>
        <v>2.4645272035005228E-6</v>
      </c>
    </row>
    <row r="408" spans="1:6" x14ac:dyDescent="0.25">
      <c r="A408">
        <v>39.700000000000003</v>
      </c>
      <c r="B408">
        <f t="shared" si="32"/>
        <v>-1.6686935275739104E-11</v>
      </c>
      <c r="C408">
        <f t="shared" si="33"/>
        <v>5.3954424058222322E-10</v>
      </c>
      <c r="D408">
        <f t="shared" si="34"/>
        <v>2.8994604557594203E-6</v>
      </c>
      <c r="E408">
        <f t="shared" si="35"/>
        <v>2.9000000000000023E-6</v>
      </c>
      <c r="F408">
        <f t="shared" si="31"/>
        <v>2.464541387395507E-6</v>
      </c>
    </row>
    <row r="409" spans="1:6" x14ac:dyDescent="0.25">
      <c r="A409">
        <v>39.799999999999997</v>
      </c>
      <c r="B409">
        <f t="shared" si="32"/>
        <v>-1.6186327217465777E-11</v>
      </c>
      <c r="C409">
        <f t="shared" si="33"/>
        <v>5.2335791336475746E-10</v>
      </c>
      <c r="D409">
        <f t="shared" si="34"/>
        <v>2.8994766420866376E-6</v>
      </c>
      <c r="E409">
        <f t="shared" si="35"/>
        <v>2.9000000000000023E-6</v>
      </c>
      <c r="F409">
        <f t="shared" si="31"/>
        <v>2.4645551457736421E-6</v>
      </c>
    </row>
    <row r="410" spans="1:6" x14ac:dyDescent="0.25">
      <c r="A410">
        <v>39.9</v>
      </c>
      <c r="B410">
        <f t="shared" si="32"/>
        <v>-1.5700737400942944E-11</v>
      </c>
      <c r="C410">
        <f t="shared" si="33"/>
        <v>5.0765717596381452E-10</v>
      </c>
      <c r="D410">
        <f t="shared" si="34"/>
        <v>2.8994923428240384E-6</v>
      </c>
      <c r="E410">
        <f t="shared" si="35"/>
        <v>2.9000000000000023E-6</v>
      </c>
      <c r="F410">
        <f t="shared" si="31"/>
        <v>2.4645684914004325E-6</v>
      </c>
    </row>
    <row r="411" spans="1:6" x14ac:dyDescent="0.25">
      <c r="A411">
        <v>40</v>
      </c>
      <c r="B411">
        <f t="shared" si="32"/>
        <v>-1.5229715278914652E-11</v>
      </c>
      <c r="C411">
        <f t="shared" si="33"/>
        <v>4.9242746068489984E-10</v>
      </c>
      <c r="D411">
        <f t="shared" si="34"/>
        <v>2.8995075725393172E-6</v>
      </c>
      <c r="E411">
        <f t="shared" si="35"/>
        <v>2.9000000000000019E-6</v>
      </c>
      <c r="F411">
        <f t="shared" si="31"/>
        <v>2.4645814366584195E-6</v>
      </c>
    </row>
    <row r="412" spans="1:6" x14ac:dyDescent="0.25">
      <c r="A412">
        <v>40.1</v>
      </c>
      <c r="B412">
        <f t="shared" si="32"/>
        <v>-1.4772823820547205E-11</v>
      </c>
      <c r="C412">
        <f t="shared" si="33"/>
        <v>4.7765463686435268E-10</v>
      </c>
      <c r="D412">
        <f t="shared" si="34"/>
        <v>2.8995223453631378E-6</v>
      </c>
      <c r="E412">
        <f t="shared" si="35"/>
        <v>2.9000000000000023E-6</v>
      </c>
      <c r="F412">
        <f t="shared" si="31"/>
        <v>2.4645939935586671E-6</v>
      </c>
    </row>
    <row r="413" spans="1:6" x14ac:dyDescent="0.25">
      <c r="A413">
        <v>40.200000000000003</v>
      </c>
      <c r="B413">
        <f t="shared" si="32"/>
        <v>-1.4329639105930784E-11</v>
      </c>
      <c r="C413">
        <f t="shared" si="33"/>
        <v>4.6332499775842191E-10</v>
      </c>
      <c r="D413">
        <f t="shared" si="34"/>
        <v>2.8995366750022439E-6</v>
      </c>
      <c r="E413">
        <f t="shared" si="35"/>
        <v>2.9000000000000023E-6</v>
      </c>
      <c r="F413">
        <f t="shared" si="31"/>
        <v>2.4646061737519073E-6</v>
      </c>
    </row>
    <row r="414" spans="1:6" x14ac:dyDescent="0.25">
      <c r="A414">
        <v>40.299999999999997</v>
      </c>
      <c r="B414">
        <f t="shared" si="32"/>
        <v>-1.3899749932751869E-11</v>
      </c>
      <c r="C414">
        <f t="shared" si="33"/>
        <v>4.4942524782567005E-10</v>
      </c>
      <c r="D414">
        <f t="shared" si="34"/>
        <v>2.8995505747521765E-6</v>
      </c>
      <c r="E414">
        <f t="shared" si="35"/>
        <v>2.9000000000000023E-6</v>
      </c>
      <c r="F414">
        <f t="shared" si="31"/>
        <v>2.46461798853935E-6</v>
      </c>
    </row>
    <row r="415" spans="1:6" x14ac:dyDescent="0.25">
      <c r="A415">
        <v>40.4</v>
      </c>
      <c r="B415">
        <f t="shared" si="32"/>
        <v>-1.3482757434770292E-11</v>
      </c>
      <c r="C415">
        <f t="shared" si="33"/>
        <v>4.3594249039089973E-10</v>
      </c>
      <c r="D415">
        <f t="shared" si="34"/>
        <v>2.8995640575096111E-6</v>
      </c>
      <c r="E415">
        <f t="shared" si="35"/>
        <v>2.9000000000000019E-6</v>
      </c>
      <c r="F415">
        <f t="shared" si="31"/>
        <v>2.4646294488831692E-6</v>
      </c>
    </row>
    <row r="416" spans="1:6" x14ac:dyDescent="0.25">
      <c r="A416">
        <v>40.5</v>
      </c>
      <c r="B416">
        <f t="shared" si="32"/>
        <v>-1.3078274711727178E-11</v>
      </c>
      <c r="C416">
        <f t="shared" si="33"/>
        <v>4.2286421567917255E-10</v>
      </c>
      <c r="D416">
        <f t="shared" si="34"/>
        <v>2.8995771357843228E-6</v>
      </c>
      <c r="E416">
        <f t="shared" si="35"/>
        <v>2.9000000000000019E-6</v>
      </c>
      <c r="F416">
        <f t="shared" si="31"/>
        <v>2.4646405654166743E-6</v>
      </c>
    </row>
    <row r="417" spans="1:6" x14ac:dyDescent="0.25">
      <c r="A417">
        <v>40.6</v>
      </c>
      <c r="B417">
        <f t="shared" si="32"/>
        <v>-1.2685926470375355E-11</v>
      </c>
      <c r="C417">
        <f t="shared" si="33"/>
        <v>4.101782892087972E-10</v>
      </c>
      <c r="D417">
        <f t="shared" si="34"/>
        <v>2.8995898217107932E-6</v>
      </c>
      <c r="E417">
        <f t="shared" si="35"/>
        <v>2.9000000000000019E-6</v>
      </c>
      <c r="F417">
        <f t="shared" si="31"/>
        <v>2.464651348454174E-6</v>
      </c>
    </row>
    <row r="418" spans="1:6" x14ac:dyDescent="0.25">
      <c r="A418">
        <v>40.700000000000003</v>
      </c>
      <c r="B418">
        <f t="shared" si="32"/>
        <v>-1.230534867626409E-11</v>
      </c>
      <c r="C418">
        <f t="shared" si="33"/>
        <v>3.978729405325331E-10</v>
      </c>
      <c r="D418">
        <f t="shared" si="34"/>
        <v>2.8996021270594693E-6</v>
      </c>
      <c r="E418">
        <f t="shared" si="35"/>
        <v>2.9000000000000019E-6</v>
      </c>
      <c r="F418">
        <f t="shared" si="31"/>
        <v>2.4646618080005487E-6</v>
      </c>
    </row>
    <row r="419" spans="1:6" x14ac:dyDescent="0.25">
      <c r="A419">
        <v>40.799999999999997</v>
      </c>
      <c r="B419">
        <f t="shared" si="32"/>
        <v>-1.1936188215975315E-11</v>
      </c>
      <c r="C419">
        <f t="shared" si="33"/>
        <v>3.8593675231655778E-10</v>
      </c>
      <c r="D419">
        <f t="shared" si="34"/>
        <v>2.8996140632476852E-6</v>
      </c>
      <c r="E419">
        <f t="shared" si="35"/>
        <v>2.9000000000000019E-6</v>
      </c>
      <c r="F419">
        <f t="shared" si="31"/>
        <v>2.4646719537605324E-6</v>
      </c>
    </row>
    <row r="420" spans="1:6" x14ac:dyDescent="0.25">
      <c r="A420">
        <v>40.9</v>
      </c>
      <c r="B420">
        <f t="shared" si="32"/>
        <v>-1.1578102569496896E-11</v>
      </c>
      <c r="C420">
        <f t="shared" si="33"/>
        <v>3.7435864974706091E-10</v>
      </c>
      <c r="D420">
        <f t="shared" si="34"/>
        <v>2.8996256413502548E-6</v>
      </c>
      <c r="E420">
        <f t="shared" si="35"/>
        <v>2.9000000000000019E-6</v>
      </c>
      <c r="F420">
        <f t="shared" si="31"/>
        <v>2.4646817951477166E-6</v>
      </c>
    </row>
    <row r="421" spans="1:6" x14ac:dyDescent="0.25">
      <c r="A421">
        <v>41</v>
      </c>
      <c r="B421">
        <f t="shared" si="32"/>
        <v>-1.1230759492411986E-11</v>
      </c>
      <c r="C421">
        <f t="shared" si="33"/>
        <v>3.6312789025464892E-10</v>
      </c>
      <c r="D421">
        <f t="shared" si="34"/>
        <v>2.8996368721097472E-6</v>
      </c>
      <c r="E421">
        <f t="shared" si="35"/>
        <v>2.9000000000000019E-6</v>
      </c>
      <c r="F421">
        <f t="shared" si="31"/>
        <v>2.4646913412932849E-6</v>
      </c>
    </row>
    <row r="422" spans="1:6" x14ac:dyDescent="0.25">
      <c r="A422">
        <v>41.1</v>
      </c>
      <c r="B422">
        <f t="shared" si="32"/>
        <v>-1.0893836707639623E-11</v>
      </c>
      <c r="C422">
        <f t="shared" si="33"/>
        <v>3.5223405354700928E-10</v>
      </c>
      <c r="D422">
        <f t="shared" si="34"/>
        <v>2.8996477659464548E-6</v>
      </c>
      <c r="E422">
        <f t="shared" si="35"/>
        <v>2.9000000000000019E-6</v>
      </c>
      <c r="F422">
        <f t="shared" si="31"/>
        <v>2.4647006010544865E-6</v>
      </c>
    </row>
    <row r="423" spans="1:6" x14ac:dyDescent="0.25">
      <c r="A423">
        <v>41.2</v>
      </c>
      <c r="B423">
        <f t="shared" si="32"/>
        <v>-1.0567021606410428E-11</v>
      </c>
      <c r="C423">
        <f t="shared" si="33"/>
        <v>3.4166703194059883E-10</v>
      </c>
      <c r="D423">
        <f t="shared" si="34"/>
        <v>2.8996583329680612E-6</v>
      </c>
      <c r="E423">
        <f t="shared" si="35"/>
        <v>2.9000000000000019E-6</v>
      </c>
      <c r="F423">
        <f t="shared" si="31"/>
        <v>2.4647095830228521E-6</v>
      </c>
    </row>
    <row r="424" spans="1:6" x14ac:dyDescent="0.25">
      <c r="A424">
        <v>41.3</v>
      </c>
      <c r="B424">
        <f t="shared" si="32"/>
        <v>-1.0250010958217382E-11</v>
      </c>
      <c r="C424">
        <f t="shared" si="33"/>
        <v>3.3141702098238145E-10</v>
      </c>
      <c r="D424">
        <f t="shared" si="34"/>
        <v>2.8996685829790194E-6</v>
      </c>
      <c r="E424">
        <f t="shared" si="35"/>
        <v>2.9000000000000019E-6</v>
      </c>
      <c r="F424">
        <f t="shared" si="31"/>
        <v>2.4647182955321665E-6</v>
      </c>
    </row>
    <row r="425" spans="1:6" x14ac:dyDescent="0.25">
      <c r="A425">
        <v>41.4</v>
      </c>
      <c r="B425">
        <f t="shared" si="32"/>
        <v>-9.9425106294715843E-12</v>
      </c>
      <c r="C425">
        <f t="shared" si="33"/>
        <v>3.2147451035290984E-10</v>
      </c>
      <c r="D425">
        <f t="shared" si="34"/>
        <v>2.8996785254896489E-6</v>
      </c>
      <c r="E425">
        <f t="shared" si="35"/>
        <v>2.9000000000000019E-6</v>
      </c>
      <c r="F425">
        <f t="shared" si="31"/>
        <v>2.4647267466662013E-6</v>
      </c>
    </row>
    <row r="426" spans="1:6" x14ac:dyDescent="0.25">
      <c r="A426">
        <v>41.5</v>
      </c>
      <c r="B426">
        <f t="shared" si="32"/>
        <v>-9.6442353105874326E-12</v>
      </c>
      <c r="C426">
        <f t="shared" si="33"/>
        <v>3.1183027504232242E-10</v>
      </c>
      <c r="D426">
        <f t="shared" si="34"/>
        <v>2.8996881697249595E-6</v>
      </c>
      <c r="E426">
        <f t="shared" si="35"/>
        <v>2.9000000000000019E-6</v>
      </c>
      <c r="F426">
        <f t="shared" si="31"/>
        <v>2.4647349442662157E-6</v>
      </c>
    </row>
    <row r="427" spans="1:6" x14ac:dyDescent="0.25">
      <c r="A427">
        <v>41.6</v>
      </c>
      <c r="B427">
        <f t="shared" si="32"/>
        <v>-9.3549082512698046E-12</v>
      </c>
      <c r="C427">
        <f t="shared" si="33"/>
        <v>3.0247536679105262E-10</v>
      </c>
      <c r="D427">
        <f t="shared" si="34"/>
        <v>2.8996975246332108E-6</v>
      </c>
      <c r="E427">
        <f t="shared" si="35"/>
        <v>2.9000000000000019E-6</v>
      </c>
      <c r="F427">
        <f t="shared" si="31"/>
        <v>2.4647428959382289E-6</v>
      </c>
    </row>
    <row r="428" spans="1:6" x14ac:dyDescent="0.25">
      <c r="A428">
        <v>41.7</v>
      </c>
      <c r="B428">
        <f t="shared" si="32"/>
        <v>-9.0742610037317073E-12</v>
      </c>
      <c r="C428">
        <f t="shared" si="33"/>
        <v>2.934011057873209E-10</v>
      </c>
      <c r="D428">
        <f t="shared" si="34"/>
        <v>2.8997065988942143E-6</v>
      </c>
      <c r="E428">
        <f t="shared" si="35"/>
        <v>2.9000000000000015E-6</v>
      </c>
      <c r="F428">
        <f t="shared" si="31"/>
        <v>2.4647506090600821E-6</v>
      </c>
    </row>
    <row r="429" spans="1:6" x14ac:dyDescent="0.25">
      <c r="A429">
        <v>41.8</v>
      </c>
      <c r="B429">
        <f t="shared" si="32"/>
        <v>-8.8020331736191266E-12</v>
      </c>
      <c r="C429">
        <f t="shared" si="33"/>
        <v>2.8459907261370175E-10</v>
      </c>
      <c r="D429">
        <f t="shared" si="34"/>
        <v>2.8997154009273879E-6</v>
      </c>
      <c r="E429">
        <f t="shared" si="35"/>
        <v>2.9000000000000015E-6</v>
      </c>
      <c r="F429">
        <f t="shared" si="31"/>
        <v>2.4647580907882797E-6</v>
      </c>
    </row>
    <row r="430" spans="1:6" x14ac:dyDescent="0.25">
      <c r="A430">
        <v>41.9</v>
      </c>
      <c r="B430">
        <f t="shared" si="32"/>
        <v>-8.5379721784111736E-12</v>
      </c>
      <c r="C430">
        <f t="shared" si="33"/>
        <v>2.7606110043529058E-10</v>
      </c>
      <c r="D430">
        <f t="shared" si="34"/>
        <v>2.8997239388995665E-6</v>
      </c>
      <c r="E430">
        <f t="shared" si="35"/>
        <v>2.9000000000000019E-6</v>
      </c>
      <c r="F430">
        <f t="shared" si="31"/>
        <v>2.4647653480646313E-6</v>
      </c>
    </row>
    <row r="431" spans="1:6" x14ac:dyDescent="0.25">
      <c r="A431">
        <v>42</v>
      </c>
      <c r="B431">
        <f t="shared" si="32"/>
        <v>-8.2818330130588338E-12</v>
      </c>
      <c r="C431">
        <f t="shared" si="33"/>
        <v>2.6777926742223176E-10</v>
      </c>
      <c r="D431">
        <f t="shared" si="34"/>
        <v>2.8997322207325797E-6</v>
      </c>
      <c r="E431">
        <f t="shared" si="35"/>
        <v>2.9000000000000019E-6</v>
      </c>
      <c r="F431">
        <f t="shared" si="31"/>
        <v>2.4647723876226925E-6</v>
      </c>
    </row>
    <row r="432" spans="1:6" x14ac:dyDescent="0.25">
      <c r="A432">
        <v>42.1</v>
      </c>
      <c r="B432">
        <f t="shared" si="32"/>
        <v>-8.0333780226670675E-12</v>
      </c>
      <c r="C432">
        <f t="shared" si="33"/>
        <v>2.5974588939956469E-10</v>
      </c>
      <c r="D432">
        <f t="shared" si="34"/>
        <v>2.8997402541106022E-6</v>
      </c>
      <c r="E432">
        <f t="shared" si="35"/>
        <v>2.9000000000000019E-6</v>
      </c>
      <c r="F432">
        <f t="shared" si="31"/>
        <v>2.464779215994012E-6</v>
      </c>
    </row>
    <row r="433" spans="1:6" x14ac:dyDescent="0.25">
      <c r="A433">
        <v>42.2</v>
      </c>
      <c r="B433">
        <f t="shared" si="32"/>
        <v>-7.7923766819870501E-12</v>
      </c>
      <c r="C433">
        <f t="shared" si="33"/>
        <v>2.5195351271757763E-10</v>
      </c>
      <c r="D433">
        <f t="shared" si="34"/>
        <v>2.899748046487284E-6</v>
      </c>
      <c r="E433">
        <f t="shared" si="35"/>
        <v>2.9000000000000015E-6</v>
      </c>
      <c r="F433">
        <f t="shared" si="31"/>
        <v>2.4647858395141914E-6</v>
      </c>
    </row>
    <row r="434" spans="1:6" x14ac:dyDescent="0.25">
      <c r="A434">
        <v>42.3</v>
      </c>
      <c r="B434">
        <f t="shared" si="32"/>
        <v>-7.5586053815268989E-12</v>
      </c>
      <c r="C434">
        <f t="shared" si="33"/>
        <v>2.4439490733605075E-10</v>
      </c>
      <c r="D434">
        <f t="shared" si="34"/>
        <v>2.8997556050926654E-6</v>
      </c>
      <c r="E434">
        <f t="shared" si="35"/>
        <v>2.9000000000000015E-6</v>
      </c>
      <c r="F434">
        <f t="shared" si="31"/>
        <v>2.4647922643287657E-6</v>
      </c>
    </row>
    <row r="435" spans="1:6" x14ac:dyDescent="0.25">
      <c r="A435">
        <v>42.4</v>
      </c>
      <c r="B435">
        <f t="shared" si="32"/>
        <v>-7.3318472200816274E-12</v>
      </c>
      <c r="C435">
        <f t="shared" si="33"/>
        <v>2.3706306011596911E-10</v>
      </c>
      <c r="D435">
        <f t="shared" si="34"/>
        <v>2.8997629369398855E-6</v>
      </c>
      <c r="E435">
        <f t="shared" si="35"/>
        <v>2.9000000000000015E-6</v>
      </c>
      <c r="F435">
        <f t="shared" si="31"/>
        <v>2.4647984963989027E-6</v>
      </c>
    </row>
    <row r="436" spans="1:6" x14ac:dyDescent="0.25">
      <c r="A436">
        <v>42.5</v>
      </c>
      <c r="B436">
        <f t="shared" si="32"/>
        <v>-7.1118918034791743E-12</v>
      </c>
      <c r="C436">
        <f t="shared" si="33"/>
        <v>2.2995116831248993E-10</v>
      </c>
      <c r="D436">
        <f t="shared" si="34"/>
        <v>2.8997700488316889E-6</v>
      </c>
      <c r="E436">
        <f t="shared" si="35"/>
        <v>2.9000000000000015E-6</v>
      </c>
      <c r="F436">
        <f t="shared" si="31"/>
        <v>2.4648045415069356E-6</v>
      </c>
    </row>
    <row r="437" spans="1:6" x14ac:dyDescent="0.25">
      <c r="A437">
        <v>42.6</v>
      </c>
      <c r="B437">
        <f t="shared" si="32"/>
        <v>-6.8985350493747962E-12</v>
      </c>
      <c r="C437">
        <f t="shared" si="33"/>
        <v>2.2305263326311512E-10</v>
      </c>
      <c r="D437">
        <f t="shared" si="34"/>
        <v>2.8997769473667382E-6</v>
      </c>
      <c r="E437">
        <f t="shared" si="35"/>
        <v>2.9000000000000015E-6</v>
      </c>
      <c r="F437">
        <f t="shared" si="31"/>
        <v>2.4648104052617273E-6</v>
      </c>
    </row>
    <row r="438" spans="1:6" x14ac:dyDescent="0.25">
      <c r="A438">
        <v>42.7</v>
      </c>
      <c r="B438">
        <f t="shared" si="32"/>
        <v>-6.6915789978935493E-12</v>
      </c>
      <c r="C438">
        <f t="shared" si="33"/>
        <v>2.1636105426522157E-10</v>
      </c>
      <c r="D438">
        <f t="shared" si="34"/>
        <v>2.8997836389457363E-6</v>
      </c>
      <c r="E438">
        <f t="shared" si="35"/>
        <v>2.9000000000000015E-6</v>
      </c>
      <c r="F438">
        <f t="shared" si="31"/>
        <v>2.4648160931038758E-6</v>
      </c>
    </row>
    <row r="439" spans="1:6" x14ac:dyDescent="0.25">
      <c r="A439">
        <v>42.8</v>
      </c>
      <c r="B439">
        <f t="shared" si="32"/>
        <v>-6.4908316279562775E-12</v>
      </c>
      <c r="C439">
        <f t="shared" si="33"/>
        <v>2.098702226372653E-10</v>
      </c>
      <c r="D439">
        <f t="shared" si="34"/>
        <v>2.8997901297773643E-6</v>
      </c>
      <c r="E439">
        <f t="shared" si="35"/>
        <v>2.9000000000000015E-6</v>
      </c>
      <c r="F439">
        <f t="shared" si="31"/>
        <v>2.4648216103107598E-6</v>
      </c>
    </row>
    <row r="440" spans="1:6" x14ac:dyDescent="0.25">
      <c r="A440">
        <v>42.9</v>
      </c>
      <c r="B440">
        <f t="shared" si="32"/>
        <v>-6.2961066791180476E-12</v>
      </c>
      <c r="C440">
        <f t="shared" si="33"/>
        <v>2.0357411595814724E-10</v>
      </c>
      <c r="D440">
        <f t="shared" si="34"/>
        <v>2.8997964258840434E-6</v>
      </c>
      <c r="E440">
        <f t="shared" si="35"/>
        <v>2.9000000000000015E-6</v>
      </c>
      <c r="F440">
        <f t="shared" si="31"/>
        <v>2.4648269620014369E-6</v>
      </c>
    </row>
    <row r="441" spans="1:6" x14ac:dyDescent="0.25">
      <c r="A441">
        <v>43</v>
      </c>
      <c r="B441">
        <f t="shared" si="32"/>
        <v>-6.1072234787445039E-12</v>
      </c>
      <c r="C441">
        <f t="shared" si="33"/>
        <v>1.9746689247940274E-10</v>
      </c>
      <c r="D441">
        <f t="shared" si="34"/>
        <v>2.8998025331075223E-6</v>
      </c>
      <c r="E441">
        <f t="shared" si="35"/>
        <v>2.9000000000000019E-6</v>
      </c>
      <c r="F441">
        <f t="shared" si="31"/>
        <v>2.4648321531413937E-6</v>
      </c>
    </row>
    <row r="442" spans="1:6" x14ac:dyDescent="0.25">
      <c r="A442">
        <v>43.1</v>
      </c>
      <c r="B442">
        <f t="shared" si="32"/>
        <v>-5.9240067743821656E-12</v>
      </c>
      <c r="C442">
        <f t="shared" si="33"/>
        <v>1.9154288570502059E-10</v>
      </c>
      <c r="D442">
        <f t="shared" si="34"/>
        <v>2.8998084571142968E-6</v>
      </c>
      <c r="E442">
        <f t="shared" si="35"/>
        <v>2.9000000000000019E-6</v>
      </c>
      <c r="F442">
        <f t="shared" si="31"/>
        <v>2.4648371885471523E-6</v>
      </c>
    </row>
    <row r="443" spans="1:6" x14ac:dyDescent="0.25">
      <c r="A443">
        <v>43.2</v>
      </c>
      <c r="B443">
        <f t="shared" si="32"/>
        <v>-5.7462865711506986E-12</v>
      </c>
      <c r="C443">
        <f t="shared" si="33"/>
        <v>1.8579659913386988E-10</v>
      </c>
      <c r="D443">
        <f t="shared" si="34"/>
        <v>2.8998142034008678E-6</v>
      </c>
      <c r="E443">
        <f t="shared" si="35"/>
        <v>2.9000000000000015E-6</v>
      </c>
      <c r="F443">
        <f t="shared" si="31"/>
        <v>2.4648420728907376E-6</v>
      </c>
    </row>
    <row r="444" spans="1:6" x14ac:dyDescent="0.25">
      <c r="A444">
        <v>43.3</v>
      </c>
      <c r="B444">
        <f t="shared" si="32"/>
        <v>-5.573897974015779E-12</v>
      </c>
      <c r="C444">
        <f t="shared" si="33"/>
        <v>1.802227011598541E-10</v>
      </c>
      <c r="D444">
        <f t="shared" si="34"/>
        <v>2.8998197772988419E-6</v>
      </c>
      <c r="E444">
        <f t="shared" si="35"/>
        <v>2.9000000000000019E-6</v>
      </c>
      <c r="F444">
        <f t="shared" si="31"/>
        <v>2.4648468107040155E-6</v>
      </c>
    </row>
    <row r="445" spans="1:6" x14ac:dyDescent="0.25">
      <c r="A445">
        <v>43.4</v>
      </c>
      <c r="B445">
        <f t="shared" si="32"/>
        <v>-5.4066810347956997E-12</v>
      </c>
      <c r="C445">
        <f t="shared" si="33"/>
        <v>1.7481602012505841E-10</v>
      </c>
      <c r="D445">
        <f t="shared" si="34"/>
        <v>2.8998251839798767E-6</v>
      </c>
      <c r="E445">
        <f t="shared" si="35"/>
        <v>2.9000000000000019E-6</v>
      </c>
      <c r="F445">
        <f t="shared" si="31"/>
        <v>2.4648514063828949E-6</v>
      </c>
    </row>
    <row r="446" spans="1:6" x14ac:dyDescent="0.25">
      <c r="A446">
        <v>43.5</v>
      </c>
      <c r="B446">
        <f t="shared" si="32"/>
        <v>-5.2444806037518265E-12</v>
      </c>
      <c r="C446">
        <f t="shared" si="33"/>
        <v>1.695715395213066E-10</v>
      </c>
      <c r="D446">
        <f t="shared" si="34"/>
        <v>2.8998304284604806E-6</v>
      </c>
      <c r="E446">
        <f t="shared" si="35"/>
        <v>2.9000000000000019E-6</v>
      </c>
      <c r="F446">
        <f t="shared" si="31"/>
        <v>2.4648558641914086E-6</v>
      </c>
    </row>
    <row r="447" spans="1:6" x14ac:dyDescent="0.25">
      <c r="A447">
        <v>43.6</v>
      </c>
      <c r="B447">
        <f t="shared" si="32"/>
        <v>-5.0871461856392697E-12</v>
      </c>
      <c r="C447">
        <f t="shared" si="33"/>
        <v>1.6448439333566734E-10</v>
      </c>
      <c r="D447">
        <f t="shared" si="34"/>
        <v>2.8998355156066661E-6</v>
      </c>
      <c r="E447">
        <f t="shared" si="35"/>
        <v>2.9000000000000019E-6</v>
      </c>
      <c r="F447">
        <f t="shared" si="31"/>
        <v>2.4648601882656663E-6</v>
      </c>
    </row>
    <row r="448" spans="1:6" x14ac:dyDescent="0.25">
      <c r="A448">
        <v>43.7</v>
      </c>
      <c r="B448">
        <f t="shared" si="32"/>
        <v>-4.9345318000700904E-12</v>
      </c>
      <c r="C448">
        <f t="shared" si="33"/>
        <v>1.5954986153559725E-10</v>
      </c>
      <c r="D448">
        <f t="shared" si="34"/>
        <v>2.8998404501384663E-6</v>
      </c>
      <c r="E448">
        <f t="shared" si="35"/>
        <v>2.9000000000000019E-6</v>
      </c>
      <c r="F448">
        <f t="shared" si="31"/>
        <v>2.4648643826176963E-6</v>
      </c>
    </row>
    <row r="449" spans="1:6" x14ac:dyDescent="0.25">
      <c r="A449">
        <v>43.8</v>
      </c>
      <c r="B449">
        <f t="shared" si="32"/>
        <v>-4.786495846067645E-12</v>
      </c>
      <c r="C449">
        <f t="shared" si="33"/>
        <v>1.547633656895296E-10</v>
      </c>
      <c r="D449">
        <f t="shared" si="34"/>
        <v>2.8998452366343124E-6</v>
      </c>
      <c r="E449">
        <f t="shared" si="35"/>
        <v>2.9000000000000019E-6</v>
      </c>
      <c r="F449">
        <f t="shared" si="31"/>
        <v>2.4648684511391653E-6</v>
      </c>
    </row>
    <row r="450" spans="1:6" x14ac:dyDescent="0.25">
      <c r="A450">
        <v>43.9</v>
      </c>
      <c r="B450">
        <f t="shared" si="32"/>
        <v>-4.6429009706859539E-12</v>
      </c>
      <c r="C450">
        <f t="shared" si="33"/>
        <v>1.5012046471884366E-10</v>
      </c>
      <c r="D450">
        <f t="shared" si="34"/>
        <v>2.8998498795352833E-6</v>
      </c>
      <c r="E450">
        <f t="shared" si="35"/>
        <v>2.9000000000000023E-6</v>
      </c>
      <c r="F450">
        <f t="shared" si="31"/>
        <v>2.4648723976049908E-6</v>
      </c>
    </row>
    <row r="451" spans="1:6" x14ac:dyDescent="0.25">
      <c r="A451">
        <v>44</v>
      </c>
      <c r="B451">
        <f t="shared" si="32"/>
        <v>-4.5036139415653737E-12</v>
      </c>
      <c r="C451">
        <f t="shared" si="33"/>
        <v>1.4561685077727829E-10</v>
      </c>
      <c r="D451">
        <f t="shared" si="34"/>
        <v>2.899854383149225E-6</v>
      </c>
      <c r="E451">
        <f t="shared" si="35"/>
        <v>2.9000000000000023E-6</v>
      </c>
      <c r="F451">
        <f t="shared" si="31"/>
        <v>2.4648762256768411E-6</v>
      </c>
    </row>
    <row r="452" spans="1:6" x14ac:dyDescent="0.25">
      <c r="A452">
        <v>44.1</v>
      </c>
      <c r="B452">
        <f t="shared" si="32"/>
        <v>-4.3685055233184107E-12</v>
      </c>
      <c r="C452">
        <f t="shared" si="33"/>
        <v>1.4124834525395988E-10</v>
      </c>
      <c r="D452">
        <f t="shared" si="34"/>
        <v>2.8998587516547484E-6</v>
      </c>
      <c r="E452">
        <f t="shared" si="35"/>
        <v>2.9000000000000023E-6</v>
      </c>
      <c r="F452">
        <f t="shared" si="31"/>
        <v>2.4648799389065359E-6</v>
      </c>
    </row>
    <row r="453" spans="1:6" x14ac:dyDescent="0.25">
      <c r="A453">
        <v>44.2</v>
      </c>
      <c r="B453">
        <f t="shared" si="32"/>
        <v>-4.2374503576188566E-12</v>
      </c>
      <c r="C453">
        <f t="shared" si="33"/>
        <v>1.3701089489634102E-10</v>
      </c>
      <c r="D453">
        <f t="shared" si="34"/>
        <v>2.8998629891051061E-6</v>
      </c>
      <c r="E453">
        <f t="shared" si="35"/>
        <v>2.9000000000000023E-6</v>
      </c>
      <c r="F453">
        <f t="shared" si="31"/>
        <v>2.4648835407393402E-6</v>
      </c>
    </row>
    <row r="454" spans="1:6" x14ac:dyDescent="0.25">
      <c r="A454">
        <v>44.3</v>
      </c>
      <c r="B454">
        <f t="shared" si="32"/>
        <v>-4.1103268468899969E-12</v>
      </c>
      <c r="C454">
        <f t="shared" si="33"/>
        <v>1.3290056804945102E-10</v>
      </c>
      <c r="D454">
        <f t="shared" si="34"/>
        <v>2.8998670994319531E-6</v>
      </c>
      <c r="E454">
        <f t="shared" si="35"/>
        <v>2.9000000000000027E-6</v>
      </c>
      <c r="F454">
        <f t="shared" si="31"/>
        <v>2.4648870345171599E-6</v>
      </c>
    </row>
    <row r="455" spans="1:6" x14ac:dyDescent="0.25">
      <c r="A455">
        <v>44.4</v>
      </c>
      <c r="B455">
        <f t="shared" si="32"/>
        <v>-3.9870170414835875E-12</v>
      </c>
      <c r="C455">
        <f t="shared" si="33"/>
        <v>1.2891355100796744E-10</v>
      </c>
      <c r="D455">
        <f t="shared" si="34"/>
        <v>2.8998710864489947E-6</v>
      </c>
      <c r="E455">
        <f t="shared" si="35"/>
        <v>2.9000000000000027E-6</v>
      </c>
      <c r="F455">
        <f t="shared" si="31"/>
        <v>2.4648904234816454E-6</v>
      </c>
    </row>
    <row r="456" spans="1:6" x14ac:dyDescent="0.25">
      <c r="A456">
        <v>44.5</v>
      </c>
      <c r="B456">
        <f t="shared" si="32"/>
        <v>-3.8674065302390785E-12</v>
      </c>
      <c r="C456">
        <f t="shared" si="33"/>
        <v>1.2504614447772836E-10</v>
      </c>
      <c r="D456">
        <f t="shared" si="34"/>
        <v>2.8998749538555249E-6</v>
      </c>
      <c r="E456">
        <f t="shared" si="35"/>
        <v>2.9000000000000027E-6</v>
      </c>
      <c r="F456">
        <f t="shared" si="31"/>
        <v>2.4648937107771961E-6</v>
      </c>
    </row>
    <row r="457" spans="1:6" x14ac:dyDescent="0.25">
      <c r="A457">
        <v>44.6</v>
      </c>
      <c r="B457">
        <f t="shared" si="32"/>
        <v>-3.7513843343319037E-12</v>
      </c>
      <c r="C457">
        <f t="shared" si="33"/>
        <v>1.2129476014339645E-10</v>
      </c>
      <c r="D457">
        <f t="shared" si="34"/>
        <v>2.8998787052398591E-6</v>
      </c>
      <c r="E457">
        <f t="shared" si="35"/>
        <v>2.9000000000000023E-6</v>
      </c>
      <c r="F457">
        <f t="shared" si="31"/>
        <v>2.4648968994538803E-6</v>
      </c>
    </row>
    <row r="458" spans="1:6" x14ac:dyDescent="0.25">
      <c r="A458">
        <v>44.7</v>
      </c>
      <c r="B458">
        <f t="shared" si="32"/>
        <v>-3.6388428043019449E-12</v>
      </c>
      <c r="C458">
        <f t="shared" si="33"/>
        <v>1.176559173390945E-10</v>
      </c>
      <c r="D458">
        <f t="shared" si="34"/>
        <v>2.8998823440826635E-6</v>
      </c>
      <c r="E458">
        <f t="shared" si="35"/>
        <v>2.9000000000000027E-6</v>
      </c>
      <c r="F458">
        <f t="shared" si="31"/>
        <v>2.4648999924702641E-6</v>
      </c>
    </row>
    <row r="459" spans="1:6" x14ac:dyDescent="0.25">
      <c r="A459">
        <v>44.8</v>
      </c>
      <c r="B459">
        <f t="shared" si="32"/>
        <v>-3.5296775201726339E-12</v>
      </c>
      <c r="C459">
        <f t="shared" si="33"/>
        <v>1.1412623981892186E-10</v>
      </c>
      <c r="D459">
        <f t="shared" si="34"/>
        <v>2.8998858737601836E-6</v>
      </c>
      <c r="E459">
        <f t="shared" si="35"/>
        <v>2.9000000000000023E-6</v>
      </c>
      <c r="F459">
        <f t="shared" si="31"/>
        <v>2.4649029926961558E-6</v>
      </c>
    </row>
    <row r="460" spans="1:6" x14ac:dyDescent="0.25">
      <c r="A460">
        <v>44.9</v>
      </c>
      <c r="B460">
        <f t="shared" si="32"/>
        <v>-3.4237871945677045E-12</v>
      </c>
      <c r="C460">
        <f t="shared" si="33"/>
        <v>1.1070245262435417E-10</v>
      </c>
      <c r="D460">
        <f t="shared" si="34"/>
        <v>2.8998892975473781E-6</v>
      </c>
      <c r="E460">
        <f t="shared" si="35"/>
        <v>2.9000000000000023E-6</v>
      </c>
      <c r="F460">
        <f t="shared" ref="F460:F505" si="36">D460*0.85</f>
        <v>2.4649059029152711E-6</v>
      </c>
    </row>
    <row r="461" spans="1:6" x14ac:dyDescent="0.25">
      <c r="A461">
        <v>45</v>
      </c>
      <c r="B461">
        <f t="shared" ref="B461:B505" si="37">IF(A460&lt;$G$4,0,-$G$3*(C460)*(A461-A460))</f>
        <v>-3.321073578730672E-12</v>
      </c>
      <c r="C461">
        <f t="shared" ref="C461:C505" si="38">C460+B461</f>
        <v>1.0738137904562349E-10</v>
      </c>
      <c r="D461">
        <f t="shared" ref="D461:D505" si="39">D460-B461</f>
        <v>2.899892618620957E-6</v>
      </c>
      <c r="E461">
        <f t="shared" ref="E461:E505" si="40">SUM(C461:D461)</f>
        <v>2.9000000000000027E-6</v>
      </c>
      <c r="F461">
        <f t="shared" si="36"/>
        <v>2.4649087258278134E-6</v>
      </c>
    </row>
    <row r="462" spans="1:6" x14ac:dyDescent="0.25">
      <c r="A462">
        <v>45.1</v>
      </c>
      <c r="B462">
        <f t="shared" si="37"/>
        <v>-3.2214413713687503E-12</v>
      </c>
      <c r="C462">
        <f t="shared" si="38"/>
        <v>1.0415993767425475E-10</v>
      </c>
      <c r="D462">
        <f t="shared" si="39"/>
        <v>2.8998958400623282E-6</v>
      </c>
      <c r="E462">
        <f t="shared" si="40"/>
        <v>2.9000000000000023E-6</v>
      </c>
      <c r="F462">
        <f t="shared" si="36"/>
        <v>2.4649114640529789E-6</v>
      </c>
    </row>
    <row r="463" spans="1:6" x14ac:dyDescent="0.25">
      <c r="A463">
        <v>45.2</v>
      </c>
      <c r="B463">
        <f t="shared" si="37"/>
        <v>-3.1247981302276869E-12</v>
      </c>
      <c r="C463">
        <f t="shared" si="38"/>
        <v>1.0103513954402706E-10</v>
      </c>
      <c r="D463">
        <f t="shared" si="39"/>
        <v>2.8998989648604584E-6</v>
      </c>
      <c r="E463">
        <f t="shared" si="40"/>
        <v>2.9000000000000023E-6</v>
      </c>
      <c r="F463">
        <f t="shared" si="36"/>
        <v>2.4649141201313895E-6</v>
      </c>
    </row>
    <row r="464" spans="1:6" x14ac:dyDescent="0.25">
      <c r="A464">
        <v>45.3</v>
      </c>
      <c r="B464">
        <f t="shared" si="37"/>
        <v>-3.0310541863206393E-12</v>
      </c>
      <c r="C464">
        <f t="shared" si="38"/>
        <v>9.8004085357706421E-11</v>
      </c>
      <c r="D464">
        <f t="shared" si="39"/>
        <v>2.8999019959146449E-6</v>
      </c>
      <c r="E464">
        <f t="shared" si="40"/>
        <v>2.9000000000000027E-6</v>
      </c>
      <c r="F464">
        <f t="shared" si="36"/>
        <v>2.4649166965274482E-6</v>
      </c>
    </row>
    <row r="465" spans="1:6" x14ac:dyDescent="0.25">
      <c r="A465">
        <v>45.4</v>
      </c>
      <c r="B465">
        <f t="shared" si="37"/>
        <v>-2.9401225607312347E-12</v>
      </c>
      <c r="C465">
        <f t="shared" si="38"/>
        <v>9.5063962796975187E-11</v>
      </c>
      <c r="D465">
        <f t="shared" si="39"/>
        <v>2.8999049360372056E-6</v>
      </c>
      <c r="E465">
        <f t="shared" si="40"/>
        <v>2.9000000000000027E-6</v>
      </c>
      <c r="F465">
        <f t="shared" si="36"/>
        <v>2.4649191956316246E-6</v>
      </c>
    </row>
    <row r="466" spans="1:6" x14ac:dyDescent="0.25">
      <c r="A466">
        <v>45.5</v>
      </c>
      <c r="B466">
        <f t="shared" si="37"/>
        <v>-2.8519188839092962E-12</v>
      </c>
      <c r="C466">
        <f t="shared" si="38"/>
        <v>9.2212043913065891E-11</v>
      </c>
      <c r="D466">
        <f t="shared" si="39"/>
        <v>2.8999077879560897E-6</v>
      </c>
      <c r="E466">
        <f t="shared" si="40"/>
        <v>2.9000000000000027E-6</v>
      </c>
      <c r="F466">
        <f t="shared" si="36"/>
        <v>2.4649216197626762E-6</v>
      </c>
    </row>
    <row r="467" spans="1:6" x14ac:dyDescent="0.25">
      <c r="A467">
        <v>45.6</v>
      </c>
      <c r="B467">
        <f t="shared" si="37"/>
        <v>-2.7663613173920159E-12</v>
      </c>
      <c r="C467">
        <f t="shared" si="38"/>
        <v>8.9445682595673879E-11</v>
      </c>
      <c r="D467">
        <f t="shared" si="39"/>
        <v>2.8999105543174069E-6</v>
      </c>
      <c r="E467">
        <f t="shared" si="40"/>
        <v>2.9000000000000027E-6</v>
      </c>
      <c r="F467">
        <f t="shared" si="36"/>
        <v>2.4649239711697959E-6</v>
      </c>
    </row>
    <row r="468" spans="1:6" x14ac:dyDescent="0.25">
      <c r="A468">
        <v>45.7</v>
      </c>
      <c r="B468">
        <f t="shared" si="37"/>
        <v>-2.6833704778702545E-12</v>
      </c>
      <c r="C468">
        <f t="shared" si="38"/>
        <v>8.6762312117803621E-11</v>
      </c>
      <c r="D468">
        <f t="shared" si="39"/>
        <v>2.8999132376878848E-6</v>
      </c>
      <c r="E468">
        <f t="shared" si="40"/>
        <v>2.9000000000000027E-6</v>
      </c>
      <c r="F468">
        <f t="shared" si="36"/>
        <v>2.4649262520347019E-6</v>
      </c>
    </row>
    <row r="469" spans="1:6" x14ac:dyDescent="0.25">
      <c r="A469">
        <v>45.8</v>
      </c>
      <c r="B469">
        <f t="shared" si="37"/>
        <v>-2.6028693635339607E-12</v>
      </c>
      <c r="C469">
        <f t="shared" si="38"/>
        <v>8.4159442754269654E-11</v>
      </c>
      <c r="D469">
        <f t="shared" si="39"/>
        <v>2.8999158405572484E-6</v>
      </c>
      <c r="E469">
        <f t="shared" si="40"/>
        <v>2.9000000000000027E-6</v>
      </c>
      <c r="F469">
        <f t="shared" si="36"/>
        <v>2.4649284644736611E-6</v>
      </c>
    </row>
    <row r="470" spans="1:6" x14ac:dyDescent="0.25">
      <c r="A470">
        <v>45.9</v>
      </c>
      <c r="B470">
        <f t="shared" si="37"/>
        <v>-2.5247832826281255E-12</v>
      </c>
      <c r="C470">
        <f t="shared" si="38"/>
        <v>8.1634659471641533E-11</v>
      </c>
      <c r="D470">
        <f t="shared" si="39"/>
        <v>2.8999183653405309E-6</v>
      </c>
      <c r="E470">
        <f t="shared" si="40"/>
        <v>2.9000000000000027E-6</v>
      </c>
      <c r="F470">
        <f t="shared" si="36"/>
        <v>2.4649306105394513E-6</v>
      </c>
    </row>
    <row r="471" spans="1:6" x14ac:dyDescent="0.25">
      <c r="A471">
        <v>46</v>
      </c>
      <c r="B471">
        <f t="shared" si="37"/>
        <v>-2.4490397841492809E-12</v>
      </c>
      <c r="C471">
        <f t="shared" si="38"/>
        <v>7.9185619687492255E-11</v>
      </c>
      <c r="D471">
        <f t="shared" si="39"/>
        <v>2.8999208143803151E-6</v>
      </c>
      <c r="E471">
        <f t="shared" si="40"/>
        <v>2.9000000000000027E-6</v>
      </c>
      <c r="F471">
        <f t="shared" si="36"/>
        <v>2.4649326922232676E-6</v>
      </c>
    </row>
    <row r="472" spans="1:6" x14ac:dyDescent="0.25">
      <c r="A472">
        <v>46.1</v>
      </c>
      <c r="B472">
        <f t="shared" si="37"/>
        <v>-2.3755685906248013E-12</v>
      </c>
      <c r="C472">
        <f t="shared" si="38"/>
        <v>7.6810051096867452E-11</v>
      </c>
      <c r="D472">
        <f t="shared" si="39"/>
        <v>2.8999231899489057E-6</v>
      </c>
      <c r="E472">
        <f t="shared" si="40"/>
        <v>2.9000000000000027E-6</v>
      </c>
      <c r="F472">
        <f t="shared" si="36"/>
        <v>2.4649347114565699E-6</v>
      </c>
    </row>
    <row r="473" spans="1:6" x14ac:dyDescent="0.25">
      <c r="A473">
        <v>46.2</v>
      </c>
      <c r="B473">
        <f t="shared" si="37"/>
        <v>-2.3043015329060564E-12</v>
      </c>
      <c r="C473">
        <f t="shared" si="38"/>
        <v>7.4505749563961394E-11</v>
      </c>
      <c r="D473">
        <f t="shared" si="39"/>
        <v>2.8999254942504388E-6</v>
      </c>
      <c r="E473">
        <f t="shared" si="40"/>
        <v>2.9000000000000027E-6</v>
      </c>
      <c r="F473">
        <f t="shared" si="36"/>
        <v>2.4649366701128728E-6</v>
      </c>
    </row>
    <row r="474" spans="1:6" x14ac:dyDescent="0.25">
      <c r="A474">
        <v>46.3</v>
      </c>
      <c r="B474">
        <f t="shared" si="37"/>
        <v>-2.2351724869187145E-12</v>
      </c>
      <c r="C474">
        <f t="shared" si="38"/>
        <v>7.2270577077042675E-11</v>
      </c>
      <c r="D474">
        <f t="shared" si="39"/>
        <v>2.8999277294229257E-6</v>
      </c>
      <c r="E474">
        <f t="shared" si="40"/>
        <v>2.9000000000000027E-6</v>
      </c>
      <c r="F474">
        <f t="shared" si="36"/>
        <v>2.4649385700094866E-6</v>
      </c>
    </row>
    <row r="475" spans="1:6" x14ac:dyDescent="0.25">
      <c r="A475">
        <v>46.4</v>
      </c>
      <c r="B475">
        <f t="shared" si="37"/>
        <v>-2.1681173123113111E-12</v>
      </c>
      <c r="C475">
        <f t="shared" si="38"/>
        <v>7.0102459764731358E-11</v>
      </c>
      <c r="D475">
        <f t="shared" si="39"/>
        <v>2.8999298975402379E-6</v>
      </c>
      <c r="E475">
        <f t="shared" si="40"/>
        <v>2.9000000000000027E-6</v>
      </c>
      <c r="F475">
        <f t="shared" si="36"/>
        <v>2.4649404129092022E-6</v>
      </c>
    </row>
    <row r="476" spans="1:6" x14ac:dyDescent="0.25">
      <c r="A476">
        <v>46.5</v>
      </c>
      <c r="B476">
        <f t="shared" si="37"/>
        <v>-2.1030737929419704E-12</v>
      </c>
      <c r="C476">
        <f t="shared" si="38"/>
        <v>6.7999385971789385E-11</v>
      </c>
      <c r="D476">
        <f t="shared" si="39"/>
        <v>2.8999320006140307E-6</v>
      </c>
      <c r="E476">
        <f t="shared" si="40"/>
        <v>2.9000000000000023E-6</v>
      </c>
      <c r="F476">
        <f t="shared" si="36"/>
        <v>2.4649422005219261E-6</v>
      </c>
    </row>
    <row r="477" spans="1:6" x14ac:dyDescent="0.25">
      <c r="A477">
        <v>46.6</v>
      </c>
      <c r="B477">
        <f t="shared" si="37"/>
        <v>-2.0399815791537105E-12</v>
      </c>
      <c r="C477">
        <f t="shared" si="38"/>
        <v>6.5959404392635678E-11</v>
      </c>
      <c r="D477">
        <f t="shared" si="39"/>
        <v>2.8999340405956101E-6</v>
      </c>
      <c r="E477">
        <f t="shared" si="40"/>
        <v>2.9000000000000027E-6</v>
      </c>
      <c r="F477">
        <f t="shared" si="36"/>
        <v>2.4649439345062684E-6</v>
      </c>
    </row>
    <row r="478" spans="1:6" x14ac:dyDescent="0.25">
      <c r="A478">
        <v>46.7</v>
      </c>
      <c r="B478">
        <f t="shared" si="37"/>
        <v>-1.9787821317790983E-12</v>
      </c>
      <c r="C478">
        <f t="shared" si="38"/>
        <v>6.3980622260856581E-11</v>
      </c>
      <c r="D478">
        <f t="shared" si="39"/>
        <v>2.8999360193777418E-6</v>
      </c>
      <c r="E478">
        <f t="shared" si="40"/>
        <v>2.9000000000000027E-6</v>
      </c>
      <c r="F478">
        <f t="shared" si="36"/>
        <v>2.4649456164710805E-6</v>
      </c>
    </row>
    <row r="479" spans="1:6" x14ac:dyDescent="0.25">
      <c r="A479">
        <v>46.8</v>
      </c>
      <c r="B479">
        <f t="shared" si="37"/>
        <v>-1.9194186678255883E-12</v>
      </c>
      <c r="C479">
        <f t="shared" si="38"/>
        <v>6.2061203593030991E-11</v>
      </c>
      <c r="D479">
        <f t="shared" si="39"/>
        <v>2.8999379387964098E-6</v>
      </c>
      <c r="E479">
        <f t="shared" si="40"/>
        <v>2.9000000000000027E-6</v>
      </c>
      <c r="F479">
        <f t="shared" si="36"/>
        <v>2.4649472479769482E-6</v>
      </c>
    </row>
    <row r="480" spans="1:6" x14ac:dyDescent="0.25">
      <c r="A480">
        <v>46.9</v>
      </c>
      <c r="B480">
        <f t="shared" si="37"/>
        <v>-1.8618361077909559E-12</v>
      </c>
      <c r="C480">
        <f t="shared" si="38"/>
        <v>6.0199367485240031E-11</v>
      </c>
      <c r="D480">
        <f t="shared" si="39"/>
        <v>2.8999398006325175E-6</v>
      </c>
      <c r="E480">
        <f t="shared" si="40"/>
        <v>2.9000000000000027E-6</v>
      </c>
      <c r="F480">
        <f t="shared" si="36"/>
        <v>2.46494883053764E-6</v>
      </c>
    </row>
    <row r="481" spans="1:6" x14ac:dyDescent="0.25">
      <c r="A481">
        <v>47</v>
      </c>
      <c r="B481">
        <f t="shared" si="37"/>
        <v>-1.8059810245572265E-12</v>
      </c>
      <c r="C481">
        <f t="shared" si="38"/>
        <v>5.8393386460682805E-11</v>
      </c>
      <c r="D481">
        <f t="shared" si="39"/>
        <v>2.8999416066135423E-6</v>
      </c>
      <c r="E481">
        <f t="shared" si="40"/>
        <v>2.9000000000000032E-6</v>
      </c>
      <c r="F481">
        <f t="shared" si="36"/>
        <v>2.4649503656215108E-6</v>
      </c>
    </row>
    <row r="482" spans="1:6" x14ac:dyDescent="0.25">
      <c r="A482">
        <v>47.1</v>
      </c>
      <c r="B482">
        <f t="shared" si="37"/>
        <v>-1.751801593820509E-12</v>
      </c>
      <c r="C482">
        <f t="shared" si="38"/>
        <v>5.6641584866862296E-11</v>
      </c>
      <c r="D482">
        <f t="shared" si="39"/>
        <v>2.8999433584151363E-6</v>
      </c>
      <c r="E482">
        <f t="shared" si="40"/>
        <v>2.9000000000000032E-6</v>
      </c>
      <c r="F482">
        <f t="shared" si="36"/>
        <v>2.4649518546528656E-6</v>
      </c>
    </row>
    <row r="483" spans="1:6" x14ac:dyDescent="0.25">
      <c r="A483">
        <v>47.2</v>
      </c>
      <c r="B483">
        <f t="shared" si="37"/>
        <v>-1.6992475460058928E-12</v>
      </c>
      <c r="C483">
        <f t="shared" si="38"/>
        <v>5.4942337320856404E-11</v>
      </c>
      <c r="D483">
        <f t="shared" si="39"/>
        <v>2.8999450576626824E-6</v>
      </c>
      <c r="E483">
        <f t="shared" si="40"/>
        <v>2.9000000000000032E-6</v>
      </c>
      <c r="F483">
        <f t="shared" si="36"/>
        <v>2.46495329901328E-6</v>
      </c>
    </row>
    <row r="484" spans="1:6" x14ac:dyDescent="0.25">
      <c r="A484">
        <v>47.3</v>
      </c>
      <c r="B484">
        <f t="shared" si="37"/>
        <v>-1.6482701196255982E-12</v>
      </c>
      <c r="C484">
        <f t="shared" si="38"/>
        <v>5.3294067201230806E-11</v>
      </c>
      <c r="D484">
        <f t="shared" si="39"/>
        <v>2.8999467059328021E-6</v>
      </c>
      <c r="E484">
        <f t="shared" si="40"/>
        <v>2.9000000000000032E-6</v>
      </c>
      <c r="F484">
        <f t="shared" si="36"/>
        <v>2.4649547000428816E-6</v>
      </c>
    </row>
    <row r="485" spans="1:6" x14ac:dyDescent="0.25">
      <c r="A485">
        <v>47.4</v>
      </c>
      <c r="B485">
        <f t="shared" si="37"/>
        <v>-1.598822016036947E-12</v>
      </c>
      <c r="C485">
        <f t="shared" si="38"/>
        <v>5.1695245185193856E-11</v>
      </c>
      <c r="D485">
        <f t="shared" si="39"/>
        <v>2.899948304754818E-6</v>
      </c>
      <c r="E485">
        <f t="shared" si="40"/>
        <v>2.9000000000000032E-6</v>
      </c>
      <c r="F485">
        <f t="shared" si="36"/>
        <v>2.4649560590415953E-6</v>
      </c>
    </row>
    <row r="486" spans="1:6" x14ac:dyDescent="0.25">
      <c r="A486">
        <v>47.5</v>
      </c>
      <c r="B486">
        <f t="shared" si="37"/>
        <v>-1.5508573555558375E-12</v>
      </c>
      <c r="C486">
        <f t="shared" si="38"/>
        <v>5.0144387829638018E-11</v>
      </c>
      <c r="D486">
        <f t="shared" si="39"/>
        <v>2.8999498556121737E-6</v>
      </c>
      <c r="E486">
        <f t="shared" si="40"/>
        <v>2.9000000000000032E-6</v>
      </c>
      <c r="F486">
        <f t="shared" si="36"/>
        <v>2.4649573772703475E-6</v>
      </c>
    </row>
    <row r="487" spans="1:6" x14ac:dyDescent="0.25">
      <c r="A487">
        <v>47.6</v>
      </c>
      <c r="B487">
        <f t="shared" si="37"/>
        <v>-1.5043316348891618E-12</v>
      </c>
      <c r="C487">
        <f t="shared" si="38"/>
        <v>4.8640056194748857E-11</v>
      </c>
      <c r="D487">
        <f t="shared" si="39"/>
        <v>2.8999513599438086E-6</v>
      </c>
      <c r="E487">
        <f t="shared" si="40"/>
        <v>2.9000000000000032E-6</v>
      </c>
      <c r="F487">
        <f t="shared" si="36"/>
        <v>2.4649586559522371E-6</v>
      </c>
    </row>
    <row r="488" spans="1:6" x14ac:dyDescent="0.25">
      <c r="A488">
        <v>47.7</v>
      </c>
      <c r="B488">
        <f t="shared" si="37"/>
        <v>-1.4592016858424864E-12</v>
      </c>
      <c r="C488">
        <f t="shared" si="38"/>
        <v>4.7180854508906368E-11</v>
      </c>
      <c r="D488">
        <f t="shared" si="39"/>
        <v>2.8999528191454942E-6</v>
      </c>
      <c r="E488">
        <f t="shared" si="40"/>
        <v>2.9000000000000032E-6</v>
      </c>
      <c r="F488">
        <f t="shared" si="36"/>
        <v>2.4649598962736699E-6</v>
      </c>
    </row>
    <row r="489" spans="1:6" x14ac:dyDescent="0.25">
      <c r="A489">
        <v>47.8</v>
      </c>
      <c r="B489">
        <f t="shared" si="37"/>
        <v>-1.4154256352671106E-12</v>
      </c>
      <c r="C489">
        <f t="shared" si="38"/>
        <v>4.5765428873639255E-11</v>
      </c>
      <c r="D489">
        <f t="shared" si="39"/>
        <v>2.8999542345711293E-6</v>
      </c>
      <c r="E489">
        <f t="shared" si="40"/>
        <v>2.9000000000000032E-6</v>
      </c>
      <c r="F489">
        <f t="shared" si="36"/>
        <v>2.4649610993854598E-6</v>
      </c>
    </row>
    <row r="490" spans="1:6" x14ac:dyDescent="0.25">
      <c r="A490">
        <v>47.9</v>
      </c>
      <c r="B490">
        <f t="shared" si="37"/>
        <v>-1.3729628662091971E-12</v>
      </c>
      <c r="C490">
        <f t="shared" si="38"/>
        <v>4.4392466007430056E-11</v>
      </c>
      <c r="D490">
        <f t="shared" si="39"/>
        <v>2.8999556075339956E-6</v>
      </c>
      <c r="E490">
        <f t="shared" si="40"/>
        <v>2.9000000000000032E-6</v>
      </c>
      <c r="F490">
        <f t="shared" si="36"/>
        <v>2.464962266403896E-6</v>
      </c>
    </row>
    <row r="491" spans="1:6" x14ac:dyDescent="0.25">
      <c r="A491">
        <v>48</v>
      </c>
      <c r="B491">
        <f t="shared" si="37"/>
        <v>-1.3317739802229205E-12</v>
      </c>
      <c r="C491">
        <f t="shared" si="38"/>
        <v>4.3060692027207137E-11</v>
      </c>
      <c r="D491">
        <f t="shared" si="39"/>
        <v>2.8999569393079756E-6</v>
      </c>
      <c r="E491">
        <f t="shared" si="40"/>
        <v>2.9000000000000027E-6</v>
      </c>
      <c r="F491">
        <f t="shared" si="36"/>
        <v>2.4649633984117793E-6</v>
      </c>
    </row>
    <row r="492" spans="1:6" x14ac:dyDescent="0.25">
      <c r="A492">
        <v>48.1</v>
      </c>
      <c r="B492">
        <f t="shared" si="37"/>
        <v>-1.2918207608162323E-12</v>
      </c>
      <c r="C492">
        <f t="shared" si="38"/>
        <v>4.1768871266390902E-11</v>
      </c>
      <c r="D492">
        <f t="shared" si="39"/>
        <v>2.8999582311287363E-6</v>
      </c>
      <c r="E492">
        <f t="shared" si="40"/>
        <v>2.9000000000000027E-6</v>
      </c>
      <c r="F492">
        <f t="shared" si="36"/>
        <v>2.4649644964594257E-6</v>
      </c>
    </row>
    <row r="493" spans="1:6" x14ac:dyDescent="0.25">
      <c r="A493">
        <v>48.2</v>
      </c>
      <c r="B493">
        <f t="shared" si="37"/>
        <v>-1.2530661379917448E-12</v>
      </c>
      <c r="C493">
        <f t="shared" si="38"/>
        <v>4.0515805128399157E-11</v>
      </c>
      <c r="D493">
        <f t="shared" si="39"/>
        <v>2.8999594841948741E-6</v>
      </c>
      <c r="E493">
        <f t="shared" si="40"/>
        <v>2.9000000000000023E-6</v>
      </c>
      <c r="F493">
        <f t="shared" si="36"/>
        <v>2.4649655615656427E-6</v>
      </c>
    </row>
    <row r="494" spans="1:6" x14ac:dyDescent="0.25">
      <c r="A494">
        <v>48.3</v>
      </c>
      <c r="B494">
        <f t="shared" si="37"/>
        <v>-1.2154741538519055E-12</v>
      </c>
      <c r="C494">
        <f t="shared" si="38"/>
        <v>3.9300330974547252E-11</v>
      </c>
      <c r="D494">
        <f t="shared" si="39"/>
        <v>2.8999606996690277E-6</v>
      </c>
      <c r="E494">
        <f t="shared" si="40"/>
        <v>2.9000000000000023E-6</v>
      </c>
      <c r="F494">
        <f t="shared" si="36"/>
        <v>2.4649665947186734E-6</v>
      </c>
    </row>
    <row r="495" spans="1:6" x14ac:dyDescent="0.25">
      <c r="A495">
        <v>48.4</v>
      </c>
      <c r="B495">
        <f t="shared" si="37"/>
        <v>-1.1790099292364344E-12</v>
      </c>
      <c r="C495">
        <f t="shared" si="38"/>
        <v>3.8121321045310815E-11</v>
      </c>
      <c r="D495">
        <f t="shared" si="39"/>
        <v>2.8999618786789568E-6</v>
      </c>
      <c r="E495">
        <f t="shared" si="40"/>
        <v>2.9000000000000023E-6</v>
      </c>
      <c r="F495">
        <f t="shared" si="36"/>
        <v>2.4649675968771131E-6</v>
      </c>
    </row>
    <row r="496" spans="1:6" x14ac:dyDescent="0.25">
      <c r="A496">
        <v>48.5</v>
      </c>
      <c r="B496">
        <f t="shared" si="37"/>
        <v>-1.1436396313593407E-12</v>
      </c>
      <c r="C496">
        <f t="shared" si="38"/>
        <v>3.6977681413951471E-11</v>
      </c>
      <c r="D496">
        <f t="shared" si="39"/>
        <v>2.8999630223185882E-6</v>
      </c>
      <c r="E496">
        <f t="shared" si="40"/>
        <v>2.9000000000000023E-6</v>
      </c>
      <c r="F496">
        <f t="shared" si="36"/>
        <v>2.4649685689707997E-6</v>
      </c>
    </row>
    <row r="497" spans="1:6" x14ac:dyDescent="0.25">
      <c r="A497">
        <v>48.6</v>
      </c>
      <c r="B497">
        <f t="shared" si="37"/>
        <v>-1.1093304424185598E-12</v>
      </c>
      <c r="C497">
        <f t="shared" si="38"/>
        <v>3.5868350971532908E-11</v>
      </c>
      <c r="D497">
        <f t="shared" si="39"/>
        <v>2.8999641316490307E-6</v>
      </c>
      <c r="E497">
        <f t="shared" si="40"/>
        <v>2.9000000000000023E-6</v>
      </c>
      <c r="F497">
        <f t="shared" si="36"/>
        <v>2.4649695119016761E-6</v>
      </c>
    </row>
    <row r="498" spans="1:6" x14ac:dyDescent="0.25">
      <c r="A498">
        <v>48.7</v>
      </c>
      <c r="B498">
        <f t="shared" si="37"/>
        <v>-1.0760505291460024E-12</v>
      </c>
      <c r="C498">
        <f t="shared" si="38"/>
        <v>3.4792300442386906E-11</v>
      </c>
      <c r="D498">
        <f t="shared" si="39"/>
        <v>2.8999652076995597E-6</v>
      </c>
      <c r="E498">
        <f t="shared" si="40"/>
        <v>2.9000000000000023E-6</v>
      </c>
      <c r="F498">
        <f t="shared" si="36"/>
        <v>2.4649704265446259E-6</v>
      </c>
    </row>
    <row r="499" spans="1:6" x14ac:dyDescent="0.25">
      <c r="A499">
        <v>48.8</v>
      </c>
      <c r="B499">
        <f t="shared" si="37"/>
        <v>-1.0437690132715478E-12</v>
      </c>
      <c r="C499">
        <f t="shared" si="38"/>
        <v>3.374853142911536E-11</v>
      </c>
      <c r="D499">
        <f t="shared" si="39"/>
        <v>2.899966251468573E-6</v>
      </c>
      <c r="E499">
        <f t="shared" si="40"/>
        <v>2.9000000000000019E-6</v>
      </c>
      <c r="F499">
        <f t="shared" si="36"/>
        <v>2.4649713137482868E-6</v>
      </c>
    </row>
    <row r="500" spans="1:6" x14ac:dyDescent="0.25">
      <c r="A500">
        <v>48.9</v>
      </c>
      <c r="B500">
        <f t="shared" si="37"/>
        <v>-1.0124559428734751E-12</v>
      </c>
      <c r="C500">
        <f t="shared" si="38"/>
        <v>3.2736075486241887E-11</v>
      </c>
      <c r="D500">
        <f t="shared" si="39"/>
        <v>2.8999672639245158E-6</v>
      </c>
      <c r="E500">
        <f t="shared" si="40"/>
        <v>2.9000000000000019E-6</v>
      </c>
      <c r="F500">
        <f t="shared" si="36"/>
        <v>2.4649721743358386E-6</v>
      </c>
    </row>
    <row r="501" spans="1:6" x14ac:dyDescent="0.25">
      <c r="A501">
        <v>49</v>
      </c>
      <c r="B501">
        <f t="shared" si="37"/>
        <v>-9.8208226458727061E-13</v>
      </c>
      <c r="C501">
        <f t="shared" si="38"/>
        <v>3.1753993221654617E-11</v>
      </c>
      <c r="D501">
        <f t="shared" si="39"/>
        <v>2.8999682460067805E-6</v>
      </c>
      <c r="E501">
        <f t="shared" si="40"/>
        <v>2.9000000000000023E-6</v>
      </c>
      <c r="F501">
        <f t="shared" si="36"/>
        <v>2.4649730091057634E-6</v>
      </c>
    </row>
    <row r="502" spans="1:6" x14ac:dyDescent="0.25">
      <c r="A502">
        <v>49.1</v>
      </c>
      <c r="B502">
        <f t="shared" si="37"/>
        <v>-9.5261979664965207E-13</v>
      </c>
      <c r="C502">
        <f t="shared" si="38"/>
        <v>3.0801373425004963E-11</v>
      </c>
      <c r="D502">
        <f t="shared" si="39"/>
        <v>2.899969198626577E-6</v>
      </c>
      <c r="E502">
        <f t="shared" si="40"/>
        <v>2.9000000000000019E-6</v>
      </c>
      <c r="F502">
        <f t="shared" si="36"/>
        <v>2.4649738188325904E-6</v>
      </c>
    </row>
    <row r="503" spans="1:6" x14ac:dyDescent="0.25">
      <c r="A503">
        <v>49.2</v>
      </c>
      <c r="B503">
        <f t="shared" si="37"/>
        <v>-9.2404120275016213E-13</v>
      </c>
      <c r="C503">
        <f t="shared" si="38"/>
        <v>2.9877332222254799E-11</v>
      </c>
      <c r="D503">
        <f t="shared" si="39"/>
        <v>2.8999701226677796E-6</v>
      </c>
      <c r="E503">
        <f t="shared" si="40"/>
        <v>2.9000000000000019E-6</v>
      </c>
      <c r="F503">
        <f t="shared" si="36"/>
        <v>2.4649746042676128E-6</v>
      </c>
    </row>
    <row r="504" spans="1:6" x14ac:dyDescent="0.25">
      <c r="A504">
        <v>49.3</v>
      </c>
      <c r="B504">
        <f t="shared" si="37"/>
        <v>-8.9631996666759295E-13</v>
      </c>
      <c r="C504">
        <f t="shared" si="38"/>
        <v>2.8981012255587205E-11</v>
      </c>
      <c r="D504">
        <f t="shared" si="39"/>
        <v>2.8999710189877462E-6</v>
      </c>
      <c r="E504">
        <f t="shared" si="40"/>
        <v>2.9000000000000019E-6</v>
      </c>
      <c r="F504">
        <f t="shared" si="36"/>
        <v>2.4649753661395842E-6</v>
      </c>
    </row>
    <row r="505" spans="1:6" x14ac:dyDescent="0.25">
      <c r="A505">
        <v>49.4</v>
      </c>
      <c r="B505">
        <f t="shared" si="37"/>
        <v>-8.6943036766762859E-13</v>
      </c>
      <c r="C505">
        <f t="shared" si="38"/>
        <v>2.8111581887919576E-11</v>
      </c>
      <c r="D505">
        <f t="shared" si="39"/>
        <v>2.899971888418114E-6</v>
      </c>
      <c r="E505">
        <f t="shared" si="40"/>
        <v>2.9000000000000019E-6</v>
      </c>
      <c r="F505">
        <f t="shared" si="36"/>
        <v>2.4649761051553968E-6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2"/>
  <sheetViews>
    <sheetView tabSelected="1" zoomScale="66" zoomScaleNormal="66" workbookViewId="0">
      <selection sqref="A1:G4096"/>
    </sheetView>
  </sheetViews>
  <sheetFormatPr defaultColWidth="9.140625" defaultRowHeight="15" x14ac:dyDescent="0.25"/>
  <cols>
    <col min="1" max="9" width="11" customWidth="1"/>
    <col min="10" max="13" width="11" style="3" customWidth="1"/>
    <col min="14" max="16" width="11" style="6" customWidth="1"/>
    <col min="17" max="17" width="12" customWidth="1"/>
    <col min="20" max="20" width="10.85546875" customWidth="1"/>
    <col min="21" max="21" width="11.28515625" customWidth="1"/>
  </cols>
  <sheetData>
    <row r="1" spans="1:21" s="2" customFormat="1" ht="27" customHeight="1" x14ac:dyDescent="0.25">
      <c r="A1" s="53" t="s">
        <v>0</v>
      </c>
      <c r="B1" s="53" t="s">
        <v>1</v>
      </c>
      <c r="C1" s="53" t="s">
        <v>2</v>
      </c>
      <c r="D1" s="53" t="s">
        <v>3</v>
      </c>
      <c r="E1" s="53" t="s">
        <v>9</v>
      </c>
      <c r="F1" s="8" t="s">
        <v>10</v>
      </c>
      <c r="G1" s="8" t="s">
        <v>12</v>
      </c>
      <c r="H1" s="53" t="s">
        <v>11</v>
      </c>
      <c r="I1" s="53" t="s">
        <v>31</v>
      </c>
      <c r="J1" s="54" t="s">
        <v>24</v>
      </c>
      <c r="K1" s="54" t="s">
        <v>23</v>
      </c>
      <c r="L1" s="54" t="s">
        <v>22</v>
      </c>
      <c r="M1" s="54" t="s">
        <v>32</v>
      </c>
      <c r="N1" s="55" t="s">
        <v>21</v>
      </c>
      <c r="O1" s="55" t="s">
        <v>20</v>
      </c>
      <c r="P1" s="55" t="s">
        <v>19</v>
      </c>
      <c r="Q1" s="53" t="s">
        <v>18</v>
      </c>
    </row>
    <row r="2" spans="1:21" x14ac:dyDescent="0.25">
      <c r="A2">
        <v>0</v>
      </c>
      <c r="B2" s="1">
        <v>7.0000000000000007E-2</v>
      </c>
      <c r="C2" s="1">
        <v>0</v>
      </c>
      <c r="D2">
        <v>0</v>
      </c>
      <c r="E2" s="1">
        <v>7.6999999999999999E-2</v>
      </c>
      <c r="F2" s="1">
        <v>0</v>
      </c>
      <c r="G2" s="1">
        <v>7.23</v>
      </c>
      <c r="H2" s="1">
        <v>6.9080999999999995E-8</v>
      </c>
      <c r="I2" s="1">
        <f>H2</f>
        <v>6.9080999999999995E-8</v>
      </c>
      <c r="J2" s="3">
        <v>0</v>
      </c>
      <c r="K2" s="4">
        <v>0</v>
      </c>
      <c r="L2" s="4">
        <v>0</v>
      </c>
      <c r="M2" s="4">
        <v>0</v>
      </c>
      <c r="N2" s="5">
        <v>1.7999999999999999E-6</v>
      </c>
      <c r="O2" s="5">
        <v>0</v>
      </c>
      <c r="P2" s="6">
        <v>0</v>
      </c>
      <c r="Q2" s="1">
        <f>N2+O2+P2</f>
        <v>1.7999999999999999E-6</v>
      </c>
    </row>
    <row r="3" spans="1:21" ht="15.75" thickBot="1" x14ac:dyDescent="0.3">
      <c r="A3" s="1">
        <v>0.05</v>
      </c>
      <c r="B3" s="1">
        <v>7.0000000000000007E-2</v>
      </c>
      <c r="C3" s="1">
        <v>0</v>
      </c>
      <c r="D3" s="1">
        <v>0</v>
      </c>
      <c r="E3" s="1">
        <v>7.6999999999999999E-2</v>
      </c>
      <c r="F3" s="1">
        <v>0</v>
      </c>
      <c r="G3" s="1">
        <v>7.23</v>
      </c>
      <c r="H3" s="1">
        <v>6.9080999999999995E-8</v>
      </c>
      <c r="I3" s="1">
        <f t="shared" ref="I3:I66" si="0">H3</f>
        <v>6.9080999999999995E-8</v>
      </c>
      <c r="J3" s="4">
        <f>(-$T$4*F2^2*N2)*(A3-A2)</f>
        <v>0</v>
      </c>
      <c r="K3" s="4">
        <f>-O2*$T$7*(A3-A2)</f>
        <v>0</v>
      </c>
      <c r="L3" s="4">
        <f>-$T$5*F2*E2*(A3-A2)*N2</f>
        <v>0</v>
      </c>
      <c r="M3" s="4">
        <f>-P2*$T$8*I2*(A3-A2)</f>
        <v>0</v>
      </c>
      <c r="N3" s="5">
        <f>N2+J3-K3+L3</f>
        <v>1.7999999999999999E-6</v>
      </c>
      <c r="O3" s="5">
        <f>-J3+O2+K3-M3</f>
        <v>0</v>
      </c>
      <c r="P3" s="5">
        <f>P2-L3+M3</f>
        <v>0</v>
      </c>
      <c r="Q3" s="1">
        <f t="shared" ref="Q3:Q66" si="1">N3+O3+P3</f>
        <v>1.7999999999999999E-6</v>
      </c>
      <c r="T3" t="s">
        <v>129</v>
      </c>
      <c r="U3" s="1" t="s">
        <v>130</v>
      </c>
    </row>
    <row r="4" spans="1:21" x14ac:dyDescent="0.25">
      <c r="A4" s="1">
        <v>0.1</v>
      </c>
      <c r="B4" s="1">
        <v>7.0000000000000007E-2</v>
      </c>
      <c r="C4" s="1">
        <v>0</v>
      </c>
      <c r="D4" s="1">
        <v>0</v>
      </c>
      <c r="E4" s="1">
        <v>7.6999999999999999E-2</v>
      </c>
      <c r="F4" s="1">
        <v>0</v>
      </c>
      <c r="G4" s="1">
        <v>7.23</v>
      </c>
      <c r="H4" s="1">
        <v>6.9080999999999995E-8</v>
      </c>
      <c r="I4" s="1">
        <f t="shared" si="0"/>
        <v>6.9080999999999995E-8</v>
      </c>
      <c r="J4" s="4">
        <f t="shared" ref="J4:J66" si="2">(-$T$4*F3^2*N3)*(A4-A3)</f>
        <v>0</v>
      </c>
      <c r="K4" s="4">
        <f t="shared" ref="K4:K66" si="3">-O3*$T$7*(A4-A3)</f>
        <v>0</v>
      </c>
      <c r="L4" s="4">
        <f t="shared" ref="L4:L66" si="4">-$T$5*F3*E3*(A4-A3)*N3</f>
        <v>0</v>
      </c>
      <c r="M4" s="4">
        <f>-P3*$T$8*I3*(A4-A3)</f>
        <v>0</v>
      </c>
      <c r="N4" s="5">
        <f t="shared" ref="N4:N67" si="5">N3+J4-K4+L4</f>
        <v>1.7999999999999999E-6</v>
      </c>
      <c r="O4" s="5">
        <f t="shared" ref="O4:O67" si="6">-J4+O3+K4-M4</f>
        <v>0</v>
      </c>
      <c r="P4" s="5">
        <f t="shared" ref="P4:P67" si="7">P3-L4+M4</f>
        <v>0</v>
      </c>
      <c r="Q4" s="1">
        <f t="shared" si="1"/>
        <v>1.7999999999999999E-6</v>
      </c>
      <c r="S4" s="25" t="s">
        <v>5</v>
      </c>
      <c r="T4" s="20">
        <v>2000000000000</v>
      </c>
      <c r="U4" s="20">
        <v>2500000000000</v>
      </c>
    </row>
    <row r="5" spans="1:21" x14ac:dyDescent="0.25">
      <c r="A5" s="1">
        <v>0.15</v>
      </c>
      <c r="B5" s="1">
        <v>7.0000000000000007E-2</v>
      </c>
      <c r="C5" s="1">
        <v>0</v>
      </c>
      <c r="D5" s="1">
        <v>0</v>
      </c>
      <c r="E5" s="1">
        <v>7.6999999999999999E-2</v>
      </c>
      <c r="F5" s="1">
        <v>0</v>
      </c>
      <c r="G5" s="1">
        <v>7.23</v>
      </c>
      <c r="H5" s="1">
        <v>6.9080999999999995E-8</v>
      </c>
      <c r="I5" s="1">
        <f t="shared" si="0"/>
        <v>6.9080999999999995E-8</v>
      </c>
      <c r="J5" s="4">
        <f t="shared" si="2"/>
        <v>0</v>
      </c>
      <c r="K5" s="4">
        <f t="shared" si="3"/>
        <v>0</v>
      </c>
      <c r="L5" s="4">
        <f t="shared" si="4"/>
        <v>0</v>
      </c>
      <c r="M5" s="4">
        <f t="shared" ref="M5:M67" si="8">-P4*$T$8*I4*(A5-A4)</f>
        <v>0</v>
      </c>
      <c r="N5" s="5">
        <f t="shared" si="5"/>
        <v>1.7999999999999999E-6</v>
      </c>
      <c r="O5" s="5">
        <f t="shared" si="6"/>
        <v>0</v>
      </c>
      <c r="P5" s="5">
        <f t="shared" si="7"/>
        <v>0</v>
      </c>
      <c r="Q5" s="1">
        <f t="shared" si="1"/>
        <v>1.7999999999999999E-6</v>
      </c>
      <c r="S5" s="26" t="s">
        <v>8</v>
      </c>
      <c r="T5" s="21">
        <v>83000000</v>
      </c>
      <c r="U5" s="21">
        <v>500000000</v>
      </c>
    </row>
    <row r="6" spans="1:21" x14ac:dyDescent="0.25">
      <c r="A6" s="1">
        <v>0.2</v>
      </c>
      <c r="B6" s="1">
        <v>7.0000000000000007E-2</v>
      </c>
      <c r="C6" s="1">
        <v>0</v>
      </c>
      <c r="D6" s="1">
        <v>0</v>
      </c>
      <c r="E6" s="1">
        <v>7.6999999999999999E-2</v>
      </c>
      <c r="F6" s="1">
        <v>0</v>
      </c>
      <c r="G6" s="1">
        <v>7.23</v>
      </c>
      <c r="H6" s="1">
        <v>6.9080999999999995E-8</v>
      </c>
      <c r="I6" s="1">
        <f t="shared" si="0"/>
        <v>6.9080999999999995E-8</v>
      </c>
      <c r="J6" s="4">
        <f t="shared" si="2"/>
        <v>0</v>
      </c>
      <c r="K6" s="4">
        <f t="shared" si="3"/>
        <v>0</v>
      </c>
      <c r="L6" s="4">
        <f t="shared" si="4"/>
        <v>0</v>
      </c>
      <c r="M6" s="4">
        <f t="shared" si="8"/>
        <v>0</v>
      </c>
      <c r="N6" s="5">
        <f t="shared" si="5"/>
        <v>1.7999999999999999E-6</v>
      </c>
      <c r="O6" s="5">
        <f t="shared" si="6"/>
        <v>0</v>
      </c>
      <c r="P6" s="5">
        <f t="shared" si="7"/>
        <v>0</v>
      </c>
      <c r="Q6" s="1">
        <f t="shared" si="1"/>
        <v>1.7999999999999999E-6</v>
      </c>
      <c r="S6" s="26"/>
      <c r="T6" s="22"/>
      <c r="U6" s="22"/>
    </row>
    <row r="7" spans="1:21" x14ac:dyDescent="0.25">
      <c r="A7" s="1">
        <v>0.25</v>
      </c>
      <c r="B7" s="1">
        <v>7.0000000000000007E-2</v>
      </c>
      <c r="C7" s="1">
        <v>0</v>
      </c>
      <c r="D7" s="1">
        <v>0</v>
      </c>
      <c r="E7" s="1">
        <v>7.6999999999999999E-2</v>
      </c>
      <c r="F7" s="1">
        <v>0</v>
      </c>
      <c r="G7" s="1">
        <v>7.23</v>
      </c>
      <c r="H7" s="1">
        <v>6.9080999999999995E-8</v>
      </c>
      <c r="I7" s="1">
        <f t="shared" si="0"/>
        <v>6.9080999999999995E-8</v>
      </c>
      <c r="J7" s="4">
        <f t="shared" si="2"/>
        <v>0</v>
      </c>
      <c r="K7" s="4">
        <f t="shared" si="3"/>
        <v>0</v>
      </c>
      <c r="L7" s="4">
        <f t="shared" si="4"/>
        <v>0</v>
      </c>
      <c r="M7" s="4">
        <f t="shared" si="8"/>
        <v>0</v>
      </c>
      <c r="N7" s="5">
        <f t="shared" si="5"/>
        <v>1.7999999999999999E-6</v>
      </c>
      <c r="O7" s="5">
        <f t="shared" si="6"/>
        <v>0</v>
      </c>
      <c r="P7" s="5">
        <f t="shared" si="7"/>
        <v>0</v>
      </c>
      <c r="Q7" s="1">
        <f t="shared" si="1"/>
        <v>1.7999999999999999E-6</v>
      </c>
      <c r="S7" s="26" t="s">
        <v>6</v>
      </c>
      <c r="T7" s="21">
        <v>0.39</v>
      </c>
      <c r="U7" s="21">
        <v>0.35</v>
      </c>
    </row>
    <row r="8" spans="1:21" ht="15.75" thickBot="1" x14ac:dyDescent="0.3">
      <c r="A8" s="1">
        <v>0.3</v>
      </c>
      <c r="B8" s="1">
        <v>7.0000000000000007E-2</v>
      </c>
      <c r="C8" s="1">
        <v>0</v>
      </c>
      <c r="D8" s="1">
        <v>0</v>
      </c>
      <c r="E8" s="1">
        <v>7.6999999999999999E-2</v>
      </c>
      <c r="F8" s="1">
        <v>0</v>
      </c>
      <c r="G8" s="1">
        <v>7.23</v>
      </c>
      <c r="H8" s="1">
        <v>6.9080999999999995E-8</v>
      </c>
      <c r="I8" s="1">
        <f t="shared" si="0"/>
        <v>6.9080999999999995E-8</v>
      </c>
      <c r="J8" s="4">
        <f t="shared" si="2"/>
        <v>0</v>
      </c>
      <c r="K8" s="4">
        <f t="shared" si="3"/>
        <v>0</v>
      </c>
      <c r="L8" s="4">
        <f t="shared" si="4"/>
        <v>0</v>
      </c>
      <c r="M8" s="4">
        <f t="shared" si="8"/>
        <v>0</v>
      </c>
      <c r="N8" s="5">
        <f t="shared" si="5"/>
        <v>1.7999999999999999E-6</v>
      </c>
      <c r="O8" s="5">
        <f t="shared" si="6"/>
        <v>0</v>
      </c>
      <c r="P8" s="5">
        <f t="shared" si="7"/>
        <v>0</v>
      </c>
      <c r="Q8" s="1">
        <f t="shared" si="1"/>
        <v>1.7999999999999999E-6</v>
      </c>
      <c r="S8" s="27" t="s">
        <v>8</v>
      </c>
      <c r="T8" s="24">
        <v>2100000</v>
      </c>
      <c r="U8" s="24">
        <v>6000000</v>
      </c>
    </row>
    <row r="9" spans="1:21" x14ac:dyDescent="0.25">
      <c r="A9" s="1">
        <v>0.35</v>
      </c>
      <c r="B9" s="1">
        <v>7.0000000000000007E-2</v>
      </c>
      <c r="C9" s="1">
        <v>0</v>
      </c>
      <c r="D9" s="1">
        <v>0</v>
      </c>
      <c r="E9" s="1">
        <v>7.6999999999999999E-2</v>
      </c>
      <c r="F9" s="1">
        <v>0</v>
      </c>
      <c r="G9" s="1">
        <v>7.23</v>
      </c>
      <c r="H9" s="1">
        <v>6.9080999999999995E-8</v>
      </c>
      <c r="I9" s="1">
        <f t="shared" si="0"/>
        <v>6.9080999999999995E-8</v>
      </c>
      <c r="J9" s="4">
        <f t="shared" si="2"/>
        <v>0</v>
      </c>
      <c r="K9" s="4">
        <f>-O8*$T$7*(A9-A8)</f>
        <v>0</v>
      </c>
      <c r="L9" s="4">
        <f t="shared" si="4"/>
        <v>0</v>
      </c>
      <c r="M9" s="4">
        <f t="shared" si="8"/>
        <v>0</v>
      </c>
      <c r="N9" s="5">
        <f t="shared" si="5"/>
        <v>1.7999999999999999E-6</v>
      </c>
      <c r="O9" s="5">
        <f t="shared" si="6"/>
        <v>0</v>
      </c>
      <c r="P9" s="5">
        <f t="shared" si="7"/>
        <v>0</v>
      </c>
      <c r="Q9" s="1">
        <f t="shared" si="1"/>
        <v>1.7999999999999999E-6</v>
      </c>
    </row>
    <row r="10" spans="1:21" x14ac:dyDescent="0.25">
      <c r="A10" s="1">
        <v>0.4</v>
      </c>
      <c r="B10" s="1">
        <v>7.0000000000000007E-2</v>
      </c>
      <c r="C10" s="1">
        <v>0</v>
      </c>
      <c r="D10" s="1">
        <v>0</v>
      </c>
      <c r="E10" s="1">
        <v>7.6999999999999999E-2</v>
      </c>
      <c r="F10" s="1">
        <v>0</v>
      </c>
      <c r="G10" s="1">
        <v>7.23</v>
      </c>
      <c r="H10" s="1">
        <v>6.9080999999999995E-8</v>
      </c>
      <c r="I10" s="1">
        <f t="shared" si="0"/>
        <v>6.9080999999999995E-8</v>
      </c>
      <c r="J10" s="4">
        <f t="shared" si="2"/>
        <v>0</v>
      </c>
      <c r="K10" s="4">
        <f t="shared" si="3"/>
        <v>0</v>
      </c>
      <c r="L10" s="4">
        <f t="shared" si="4"/>
        <v>0</v>
      </c>
      <c r="M10" s="4">
        <f t="shared" si="8"/>
        <v>0</v>
      </c>
      <c r="N10" s="5">
        <f t="shared" si="5"/>
        <v>1.7999999999999999E-6</v>
      </c>
      <c r="O10" s="5">
        <f t="shared" si="6"/>
        <v>0</v>
      </c>
      <c r="P10" s="5">
        <f t="shared" si="7"/>
        <v>0</v>
      </c>
      <c r="Q10" s="1">
        <f t="shared" si="1"/>
        <v>1.7999999999999999E-6</v>
      </c>
      <c r="T10" s="1"/>
    </row>
    <row r="11" spans="1:21" x14ac:dyDescent="0.25">
      <c r="A11" s="1">
        <v>0.45</v>
      </c>
      <c r="B11" s="1">
        <v>7.0000000000000007E-2</v>
      </c>
      <c r="C11" s="1">
        <v>0</v>
      </c>
      <c r="D11" s="1">
        <v>0</v>
      </c>
      <c r="E11" s="1">
        <v>7.6999999999999999E-2</v>
      </c>
      <c r="F11" s="1">
        <v>0</v>
      </c>
      <c r="G11" s="1">
        <v>7.23</v>
      </c>
      <c r="H11" s="1">
        <v>6.9080999999999995E-8</v>
      </c>
      <c r="I11" s="1">
        <f t="shared" si="0"/>
        <v>6.9080999999999995E-8</v>
      </c>
      <c r="J11" s="4">
        <f t="shared" si="2"/>
        <v>0</v>
      </c>
      <c r="K11" s="4">
        <f t="shared" si="3"/>
        <v>0</v>
      </c>
      <c r="L11" s="4">
        <f t="shared" si="4"/>
        <v>0</v>
      </c>
      <c r="M11" s="4">
        <f t="shared" si="8"/>
        <v>0</v>
      </c>
      <c r="N11" s="5">
        <f t="shared" si="5"/>
        <v>1.7999999999999999E-6</v>
      </c>
      <c r="O11" s="5">
        <f t="shared" si="6"/>
        <v>0</v>
      </c>
      <c r="P11" s="5">
        <f t="shared" si="7"/>
        <v>0</v>
      </c>
      <c r="Q11" s="1">
        <f t="shared" si="1"/>
        <v>1.7999999999999999E-6</v>
      </c>
      <c r="T11" s="1"/>
    </row>
    <row r="12" spans="1:21" x14ac:dyDescent="0.25">
      <c r="A12" s="1">
        <v>0.5</v>
      </c>
      <c r="B12" s="1">
        <v>7.0000000000000007E-2</v>
      </c>
      <c r="C12" s="1">
        <v>0</v>
      </c>
      <c r="D12" s="1">
        <v>0</v>
      </c>
      <c r="E12" s="1">
        <v>7.6999999999999999E-2</v>
      </c>
      <c r="F12" s="1">
        <v>0</v>
      </c>
      <c r="G12" s="1">
        <v>7.23</v>
      </c>
      <c r="H12" s="1">
        <v>6.9080999999999995E-8</v>
      </c>
      <c r="I12" s="1">
        <f t="shared" si="0"/>
        <v>6.9080999999999995E-8</v>
      </c>
      <c r="J12" s="4">
        <f t="shared" si="2"/>
        <v>0</v>
      </c>
      <c r="K12" s="4">
        <f t="shared" si="3"/>
        <v>0</v>
      </c>
      <c r="L12" s="4">
        <f t="shared" si="4"/>
        <v>0</v>
      </c>
      <c r="M12" s="4">
        <f t="shared" si="8"/>
        <v>0</v>
      </c>
      <c r="N12" s="5">
        <f t="shared" si="5"/>
        <v>1.7999999999999999E-6</v>
      </c>
      <c r="O12" s="5">
        <f t="shared" si="6"/>
        <v>0</v>
      </c>
      <c r="P12" s="5">
        <f t="shared" si="7"/>
        <v>0</v>
      </c>
      <c r="Q12" s="1">
        <f t="shared" si="1"/>
        <v>1.7999999999999999E-6</v>
      </c>
      <c r="T12" s="1"/>
    </row>
    <row r="13" spans="1:21" x14ac:dyDescent="0.25">
      <c r="A13" s="1">
        <v>0.55000000000000004</v>
      </c>
      <c r="B13" s="1">
        <v>7.0000000000000007E-2</v>
      </c>
      <c r="C13" s="1">
        <v>0</v>
      </c>
      <c r="D13" s="1">
        <v>0</v>
      </c>
      <c r="E13" s="1">
        <v>7.6999999999999999E-2</v>
      </c>
      <c r="F13" s="1">
        <v>0</v>
      </c>
      <c r="G13" s="1">
        <v>7.23</v>
      </c>
      <c r="H13" s="1">
        <v>6.9080999999999995E-8</v>
      </c>
      <c r="I13" s="1">
        <f t="shared" si="0"/>
        <v>6.9080999999999995E-8</v>
      </c>
      <c r="J13" s="4">
        <f t="shared" si="2"/>
        <v>0</v>
      </c>
      <c r="K13" s="4">
        <f t="shared" si="3"/>
        <v>0</v>
      </c>
      <c r="L13" s="4">
        <f t="shared" si="4"/>
        <v>0</v>
      </c>
      <c r="M13" s="4">
        <f t="shared" si="8"/>
        <v>0</v>
      </c>
      <c r="N13" s="5">
        <f t="shared" si="5"/>
        <v>1.7999999999999999E-6</v>
      </c>
      <c r="O13" s="5">
        <f t="shared" si="6"/>
        <v>0</v>
      </c>
      <c r="P13" s="5">
        <f t="shared" si="7"/>
        <v>0</v>
      </c>
      <c r="Q13" s="1">
        <f t="shared" si="1"/>
        <v>1.7999999999999999E-6</v>
      </c>
    </row>
    <row r="14" spans="1:21" x14ac:dyDescent="0.25">
      <c r="A14" s="1">
        <v>0.6</v>
      </c>
      <c r="B14" s="1">
        <v>7.0000000000000007E-2</v>
      </c>
      <c r="C14" s="1">
        <v>0</v>
      </c>
      <c r="D14" s="1">
        <v>0</v>
      </c>
      <c r="E14" s="1">
        <v>7.6999999999999999E-2</v>
      </c>
      <c r="F14" s="1">
        <v>0</v>
      </c>
      <c r="G14" s="1">
        <v>7.23</v>
      </c>
      <c r="H14" s="1">
        <v>6.9080999999999995E-8</v>
      </c>
      <c r="I14" s="1">
        <f t="shared" si="0"/>
        <v>6.9080999999999995E-8</v>
      </c>
      <c r="J14" s="4">
        <f t="shared" si="2"/>
        <v>0</v>
      </c>
      <c r="K14" s="4">
        <f t="shared" si="3"/>
        <v>0</v>
      </c>
      <c r="L14" s="4">
        <f t="shared" si="4"/>
        <v>0</v>
      </c>
      <c r="M14" s="4">
        <f t="shared" si="8"/>
        <v>0</v>
      </c>
      <c r="N14" s="5">
        <f t="shared" si="5"/>
        <v>1.7999999999999999E-6</v>
      </c>
      <c r="O14" s="5">
        <f t="shared" si="6"/>
        <v>0</v>
      </c>
      <c r="P14" s="5">
        <f t="shared" si="7"/>
        <v>0</v>
      </c>
      <c r="Q14" s="1">
        <f t="shared" si="1"/>
        <v>1.7999999999999999E-6</v>
      </c>
      <c r="T14" s="1"/>
    </row>
    <row r="15" spans="1:21" ht="15" customHeight="1" x14ac:dyDescent="0.25">
      <c r="A15" s="1">
        <v>0.65</v>
      </c>
      <c r="B15" s="1">
        <v>7.0000000000000007E-2</v>
      </c>
      <c r="C15" s="1">
        <v>0</v>
      </c>
      <c r="D15" s="1">
        <v>0</v>
      </c>
      <c r="E15" s="1">
        <v>7.6999999999999999E-2</v>
      </c>
      <c r="F15" s="1">
        <v>0</v>
      </c>
      <c r="G15" s="1">
        <v>7.23</v>
      </c>
      <c r="H15" s="1">
        <v>6.9080999999999995E-8</v>
      </c>
      <c r="I15" s="1">
        <f t="shared" si="0"/>
        <v>6.9080999999999995E-8</v>
      </c>
      <c r="J15" s="4">
        <f t="shared" si="2"/>
        <v>0</v>
      </c>
      <c r="K15" s="4">
        <f t="shared" si="3"/>
        <v>0</v>
      </c>
      <c r="L15" s="4">
        <f t="shared" si="4"/>
        <v>0</v>
      </c>
      <c r="M15" s="4">
        <f t="shared" si="8"/>
        <v>0</v>
      </c>
      <c r="N15" s="5">
        <f t="shared" si="5"/>
        <v>1.7999999999999999E-6</v>
      </c>
      <c r="O15" s="5">
        <f t="shared" si="6"/>
        <v>0</v>
      </c>
      <c r="P15" s="5">
        <f t="shared" si="7"/>
        <v>0</v>
      </c>
      <c r="Q15" s="1">
        <f t="shared" si="1"/>
        <v>1.7999999999999999E-6</v>
      </c>
      <c r="S15" s="56" t="s">
        <v>131</v>
      </c>
      <c r="T15" s="56"/>
      <c r="U15" s="56"/>
    </row>
    <row r="16" spans="1:21" x14ac:dyDescent="0.25">
      <c r="A16" s="1">
        <v>0.7</v>
      </c>
      <c r="B16" s="1">
        <v>7.0000000000000007E-2</v>
      </c>
      <c r="C16" s="1">
        <v>0</v>
      </c>
      <c r="D16" s="1">
        <v>0</v>
      </c>
      <c r="E16" s="1">
        <v>7.6999999999999999E-2</v>
      </c>
      <c r="F16" s="1">
        <v>0</v>
      </c>
      <c r="G16" s="1">
        <v>7.23</v>
      </c>
      <c r="H16" s="1">
        <v>6.9080999999999995E-8</v>
      </c>
      <c r="I16" s="1">
        <f t="shared" si="0"/>
        <v>6.9080999999999995E-8</v>
      </c>
      <c r="J16" s="4">
        <f t="shared" si="2"/>
        <v>0</v>
      </c>
      <c r="K16" s="4">
        <f t="shared" si="3"/>
        <v>0</v>
      </c>
      <c r="L16" s="4">
        <f t="shared" si="4"/>
        <v>0</v>
      </c>
      <c r="M16" s="4">
        <f t="shared" si="8"/>
        <v>0</v>
      </c>
      <c r="N16" s="5">
        <f t="shared" si="5"/>
        <v>1.7999999999999999E-6</v>
      </c>
      <c r="O16" s="5">
        <f t="shared" si="6"/>
        <v>0</v>
      </c>
      <c r="P16" s="5">
        <f t="shared" si="7"/>
        <v>0</v>
      </c>
      <c r="Q16" s="1">
        <f t="shared" si="1"/>
        <v>1.7999999999999999E-6</v>
      </c>
      <c r="S16" s="56"/>
      <c r="T16" s="56"/>
      <c r="U16" s="56"/>
    </row>
    <row r="17" spans="1:21" x14ac:dyDescent="0.25">
      <c r="A17" s="1">
        <v>0.75</v>
      </c>
      <c r="B17" s="1">
        <v>7.0000000000000007E-2</v>
      </c>
      <c r="C17" s="1">
        <v>0</v>
      </c>
      <c r="D17" s="1">
        <v>0</v>
      </c>
      <c r="E17" s="1">
        <v>7.6999999999999999E-2</v>
      </c>
      <c r="F17" s="1">
        <v>0</v>
      </c>
      <c r="G17" s="1">
        <v>7.23</v>
      </c>
      <c r="H17" s="1">
        <v>6.9080999999999995E-8</v>
      </c>
      <c r="I17" s="1">
        <f t="shared" si="0"/>
        <v>6.9080999999999995E-8</v>
      </c>
      <c r="J17" s="4">
        <f t="shared" si="2"/>
        <v>0</v>
      </c>
      <c r="K17" s="4">
        <f t="shared" si="3"/>
        <v>0</v>
      </c>
      <c r="L17" s="4">
        <f t="shared" si="4"/>
        <v>0</v>
      </c>
      <c r="M17" s="4">
        <f t="shared" si="8"/>
        <v>0</v>
      </c>
      <c r="N17" s="5">
        <f t="shared" si="5"/>
        <v>1.7999999999999999E-6</v>
      </c>
      <c r="O17" s="5">
        <f t="shared" si="6"/>
        <v>0</v>
      </c>
      <c r="P17" s="5">
        <f t="shared" si="7"/>
        <v>0</v>
      </c>
      <c r="Q17" s="1">
        <f t="shared" si="1"/>
        <v>1.7999999999999999E-6</v>
      </c>
      <c r="S17" s="56"/>
      <c r="T17" s="56"/>
      <c r="U17" s="56"/>
    </row>
    <row r="18" spans="1:21" x14ac:dyDescent="0.25">
      <c r="A18" s="1">
        <v>0.8</v>
      </c>
      <c r="B18" s="1">
        <v>7.0000000000000007E-2</v>
      </c>
      <c r="C18" s="1">
        <v>0</v>
      </c>
      <c r="D18" s="1">
        <v>0</v>
      </c>
      <c r="E18" s="1">
        <v>7.6999999999999999E-2</v>
      </c>
      <c r="F18" s="1">
        <v>0</v>
      </c>
      <c r="G18" s="1">
        <v>7.23</v>
      </c>
      <c r="H18" s="1">
        <v>6.9080999999999995E-8</v>
      </c>
      <c r="I18" s="1">
        <f t="shared" si="0"/>
        <v>6.9080999999999995E-8</v>
      </c>
      <c r="J18" s="4">
        <f t="shared" si="2"/>
        <v>0</v>
      </c>
      <c r="K18" s="4">
        <f t="shared" si="3"/>
        <v>0</v>
      </c>
      <c r="L18" s="4">
        <f t="shared" si="4"/>
        <v>0</v>
      </c>
      <c r="M18" s="4">
        <f t="shared" si="8"/>
        <v>0</v>
      </c>
      <c r="N18" s="5">
        <f t="shared" si="5"/>
        <v>1.7999999999999999E-6</v>
      </c>
      <c r="O18" s="5">
        <f t="shared" si="6"/>
        <v>0</v>
      </c>
      <c r="P18" s="5">
        <f t="shared" si="7"/>
        <v>0</v>
      </c>
      <c r="Q18" s="1">
        <f t="shared" si="1"/>
        <v>1.7999999999999999E-6</v>
      </c>
      <c r="S18" s="56"/>
      <c r="T18" s="56"/>
      <c r="U18" s="56"/>
    </row>
    <row r="19" spans="1:21" x14ac:dyDescent="0.25">
      <c r="A19" s="1">
        <v>0.85</v>
      </c>
      <c r="B19" s="1">
        <v>7.0000000000000007E-2</v>
      </c>
      <c r="C19" s="1">
        <v>0</v>
      </c>
      <c r="D19" s="1">
        <v>0</v>
      </c>
      <c r="E19" s="1">
        <v>7.6999999999999999E-2</v>
      </c>
      <c r="F19" s="1">
        <v>0</v>
      </c>
      <c r="G19" s="1">
        <v>7.23</v>
      </c>
      <c r="H19" s="1">
        <v>6.9080999999999995E-8</v>
      </c>
      <c r="I19" s="1">
        <f t="shared" si="0"/>
        <v>6.9080999999999995E-8</v>
      </c>
      <c r="J19" s="4">
        <f t="shared" si="2"/>
        <v>0</v>
      </c>
      <c r="K19" s="4">
        <f t="shared" si="3"/>
        <v>0</v>
      </c>
      <c r="L19" s="4">
        <f t="shared" si="4"/>
        <v>0</v>
      </c>
      <c r="M19" s="4">
        <f t="shared" si="8"/>
        <v>0</v>
      </c>
      <c r="N19" s="5">
        <f t="shared" si="5"/>
        <v>1.7999999999999999E-6</v>
      </c>
      <c r="O19" s="5">
        <f t="shared" si="6"/>
        <v>0</v>
      </c>
      <c r="P19" s="5">
        <f t="shared" si="7"/>
        <v>0</v>
      </c>
      <c r="Q19" s="1">
        <f t="shared" si="1"/>
        <v>1.7999999999999999E-6</v>
      </c>
      <c r="S19" s="56"/>
      <c r="T19" s="56"/>
      <c r="U19" s="56"/>
    </row>
    <row r="20" spans="1:21" x14ac:dyDescent="0.25">
      <c r="A20" s="1">
        <v>0.9</v>
      </c>
      <c r="B20" s="1">
        <v>7.0000000000000007E-2</v>
      </c>
      <c r="C20" s="1">
        <v>0</v>
      </c>
      <c r="D20" s="1">
        <v>0</v>
      </c>
      <c r="E20" s="1">
        <v>7.6999999999999999E-2</v>
      </c>
      <c r="F20" s="1">
        <v>0</v>
      </c>
      <c r="G20" s="1">
        <v>7.23</v>
      </c>
      <c r="H20" s="1">
        <v>6.9080999999999995E-8</v>
      </c>
      <c r="I20" s="1">
        <f t="shared" si="0"/>
        <v>6.9080999999999995E-8</v>
      </c>
      <c r="J20" s="4">
        <f t="shared" si="2"/>
        <v>0</v>
      </c>
      <c r="K20" s="4">
        <f t="shared" si="3"/>
        <v>0</v>
      </c>
      <c r="L20" s="4">
        <f t="shared" si="4"/>
        <v>0</v>
      </c>
      <c r="M20" s="4">
        <f t="shared" si="8"/>
        <v>0</v>
      </c>
      <c r="N20" s="5">
        <f t="shared" si="5"/>
        <v>1.7999999999999999E-6</v>
      </c>
      <c r="O20" s="5">
        <f t="shared" si="6"/>
        <v>0</v>
      </c>
      <c r="P20" s="5">
        <f t="shared" si="7"/>
        <v>0</v>
      </c>
      <c r="Q20" s="1">
        <f t="shared" si="1"/>
        <v>1.7999999999999999E-6</v>
      </c>
      <c r="S20" s="56"/>
      <c r="T20" s="56"/>
      <c r="U20" s="56"/>
    </row>
    <row r="21" spans="1:21" x14ac:dyDescent="0.25">
      <c r="A21" s="1">
        <v>0.95</v>
      </c>
      <c r="B21" s="1">
        <v>7.0000000000000007E-2</v>
      </c>
      <c r="C21" s="1">
        <v>0</v>
      </c>
      <c r="D21" s="1">
        <v>0</v>
      </c>
      <c r="E21" s="1">
        <v>7.6999999999999999E-2</v>
      </c>
      <c r="F21" s="1">
        <v>0</v>
      </c>
      <c r="G21" s="1">
        <v>7.23</v>
      </c>
      <c r="H21" s="1">
        <v>6.9080999999999995E-8</v>
      </c>
      <c r="I21" s="1">
        <f t="shared" si="0"/>
        <v>6.9080999999999995E-8</v>
      </c>
      <c r="J21" s="4">
        <f t="shared" si="2"/>
        <v>0</v>
      </c>
      <c r="K21" s="4">
        <f t="shared" si="3"/>
        <v>0</v>
      </c>
      <c r="L21" s="4">
        <f t="shared" si="4"/>
        <v>0</v>
      </c>
      <c r="M21" s="4">
        <f t="shared" si="8"/>
        <v>0</v>
      </c>
      <c r="N21" s="5">
        <f t="shared" si="5"/>
        <v>1.7999999999999999E-6</v>
      </c>
      <c r="O21" s="5">
        <f t="shared" si="6"/>
        <v>0</v>
      </c>
      <c r="P21" s="5">
        <f t="shared" si="7"/>
        <v>0</v>
      </c>
      <c r="Q21" s="1">
        <f t="shared" si="1"/>
        <v>1.7999999999999999E-6</v>
      </c>
      <c r="S21" s="56"/>
      <c r="T21" s="56"/>
      <c r="U21" s="56"/>
    </row>
    <row r="22" spans="1:21" x14ac:dyDescent="0.25">
      <c r="A22" s="1">
        <v>1</v>
      </c>
      <c r="B22" s="1">
        <v>7.0000000000000007E-2</v>
      </c>
      <c r="C22" s="1">
        <v>0</v>
      </c>
      <c r="D22" s="1">
        <v>0</v>
      </c>
      <c r="E22" s="1">
        <v>7.6999999999999999E-2</v>
      </c>
      <c r="F22" s="1">
        <v>0</v>
      </c>
      <c r="G22" s="1">
        <v>7.23</v>
      </c>
      <c r="H22" s="1">
        <v>6.9080999999999995E-8</v>
      </c>
      <c r="I22" s="1">
        <f t="shared" si="0"/>
        <v>6.9080999999999995E-8</v>
      </c>
      <c r="J22" s="4">
        <f t="shared" si="2"/>
        <v>0</v>
      </c>
      <c r="K22" s="4">
        <f t="shared" si="3"/>
        <v>0</v>
      </c>
      <c r="L22" s="4">
        <f t="shared" si="4"/>
        <v>0</v>
      </c>
      <c r="M22" s="4">
        <f t="shared" si="8"/>
        <v>0</v>
      </c>
      <c r="N22" s="5">
        <f t="shared" si="5"/>
        <v>1.7999999999999999E-6</v>
      </c>
      <c r="O22" s="5">
        <f t="shared" si="6"/>
        <v>0</v>
      </c>
      <c r="P22" s="5">
        <f t="shared" si="7"/>
        <v>0</v>
      </c>
      <c r="Q22" s="1">
        <f t="shared" si="1"/>
        <v>1.7999999999999999E-6</v>
      </c>
      <c r="S22" s="56"/>
      <c r="T22" s="56"/>
      <c r="U22" s="56"/>
    </row>
    <row r="23" spans="1:21" x14ac:dyDescent="0.25">
      <c r="A23" s="1">
        <v>1.05</v>
      </c>
      <c r="B23" s="1">
        <v>7.0000000000000007E-2</v>
      </c>
      <c r="C23" s="1">
        <v>0</v>
      </c>
      <c r="D23" s="1">
        <v>0</v>
      </c>
      <c r="E23" s="1">
        <v>7.6999999999999999E-2</v>
      </c>
      <c r="F23" s="1">
        <v>0</v>
      </c>
      <c r="G23" s="1">
        <v>7.23</v>
      </c>
      <c r="H23" s="1">
        <v>6.9080999999999995E-8</v>
      </c>
      <c r="I23" s="1">
        <f t="shared" si="0"/>
        <v>6.9080999999999995E-8</v>
      </c>
      <c r="J23" s="4">
        <f t="shared" si="2"/>
        <v>0</v>
      </c>
      <c r="K23" s="4">
        <f t="shared" si="3"/>
        <v>0</v>
      </c>
      <c r="L23" s="4">
        <f t="shared" si="4"/>
        <v>0</v>
      </c>
      <c r="M23" s="4">
        <f t="shared" si="8"/>
        <v>0</v>
      </c>
      <c r="N23" s="5">
        <f t="shared" si="5"/>
        <v>1.7999999999999999E-6</v>
      </c>
      <c r="O23" s="5">
        <f t="shared" si="6"/>
        <v>0</v>
      </c>
      <c r="P23" s="5">
        <f t="shared" si="7"/>
        <v>0</v>
      </c>
      <c r="Q23" s="1">
        <f t="shared" si="1"/>
        <v>1.7999999999999999E-6</v>
      </c>
      <c r="S23" s="56"/>
      <c r="T23" s="56"/>
      <c r="U23" s="56"/>
    </row>
    <row r="24" spans="1:21" x14ac:dyDescent="0.25">
      <c r="A24" s="1">
        <v>1.1000000000000001</v>
      </c>
      <c r="B24" s="1">
        <v>7.0000000000000007E-2</v>
      </c>
      <c r="C24" s="1">
        <v>0</v>
      </c>
      <c r="D24" s="1">
        <v>0</v>
      </c>
      <c r="E24" s="1">
        <v>7.6999999999999999E-2</v>
      </c>
      <c r="F24" s="1">
        <v>0</v>
      </c>
      <c r="G24" s="1">
        <v>7.23</v>
      </c>
      <c r="H24" s="1">
        <v>6.9080999999999995E-8</v>
      </c>
      <c r="I24" s="1">
        <f t="shared" si="0"/>
        <v>6.9080999999999995E-8</v>
      </c>
      <c r="J24" s="4">
        <f t="shared" si="2"/>
        <v>0</v>
      </c>
      <c r="K24" s="4">
        <f t="shared" si="3"/>
        <v>0</v>
      </c>
      <c r="L24" s="4">
        <f t="shared" si="4"/>
        <v>0</v>
      </c>
      <c r="M24" s="4">
        <f t="shared" si="8"/>
        <v>0</v>
      </c>
      <c r="N24" s="5">
        <f t="shared" si="5"/>
        <v>1.7999999999999999E-6</v>
      </c>
      <c r="O24" s="5">
        <f t="shared" si="6"/>
        <v>0</v>
      </c>
      <c r="P24" s="5">
        <f t="shared" si="7"/>
        <v>0</v>
      </c>
      <c r="Q24" s="1">
        <f t="shared" si="1"/>
        <v>1.7999999999999999E-6</v>
      </c>
    </row>
    <row r="25" spans="1:21" x14ac:dyDescent="0.25">
      <c r="A25" s="1">
        <v>1.1499999999999999</v>
      </c>
      <c r="B25" s="1">
        <v>7.0000000000000007E-2</v>
      </c>
      <c r="C25" s="1">
        <v>0</v>
      </c>
      <c r="D25" s="1">
        <v>0</v>
      </c>
      <c r="E25" s="1">
        <v>7.6999999999999999E-2</v>
      </c>
      <c r="F25" s="1">
        <v>0</v>
      </c>
      <c r="G25" s="1">
        <v>7.23</v>
      </c>
      <c r="H25" s="1">
        <v>6.9080999999999995E-8</v>
      </c>
      <c r="I25" s="1">
        <f t="shared" si="0"/>
        <v>6.9080999999999995E-8</v>
      </c>
      <c r="J25" s="4">
        <f t="shared" si="2"/>
        <v>0</v>
      </c>
      <c r="K25" s="4">
        <f t="shared" si="3"/>
        <v>0</v>
      </c>
      <c r="L25" s="4">
        <f t="shared" si="4"/>
        <v>0</v>
      </c>
      <c r="M25" s="4">
        <f t="shared" si="8"/>
        <v>0</v>
      </c>
      <c r="N25" s="5">
        <f t="shared" si="5"/>
        <v>1.7999999999999999E-6</v>
      </c>
      <c r="O25" s="5">
        <f t="shared" si="6"/>
        <v>0</v>
      </c>
      <c r="P25" s="5">
        <f t="shared" si="7"/>
        <v>0</v>
      </c>
      <c r="Q25" s="1">
        <f t="shared" si="1"/>
        <v>1.7999999999999999E-6</v>
      </c>
    </row>
    <row r="26" spans="1:21" x14ac:dyDescent="0.25">
      <c r="A26" s="1">
        <v>1.2</v>
      </c>
      <c r="B26" s="1">
        <v>7.0000000000000007E-2</v>
      </c>
      <c r="C26" s="1">
        <v>0</v>
      </c>
      <c r="D26" s="1">
        <v>0</v>
      </c>
      <c r="E26" s="1">
        <v>7.6999999999999999E-2</v>
      </c>
      <c r="F26" s="1">
        <v>0</v>
      </c>
      <c r="G26" s="1">
        <v>7.23</v>
      </c>
      <c r="H26" s="1">
        <v>6.9080999999999995E-8</v>
      </c>
      <c r="I26" s="1">
        <f t="shared" si="0"/>
        <v>6.9080999999999995E-8</v>
      </c>
      <c r="J26" s="4">
        <f t="shared" si="2"/>
        <v>0</v>
      </c>
      <c r="K26" s="4">
        <f t="shared" si="3"/>
        <v>0</v>
      </c>
      <c r="L26" s="4">
        <f t="shared" si="4"/>
        <v>0</v>
      </c>
      <c r="M26" s="4">
        <f t="shared" si="8"/>
        <v>0</v>
      </c>
      <c r="N26" s="5">
        <f t="shared" si="5"/>
        <v>1.7999999999999999E-6</v>
      </c>
      <c r="O26" s="5">
        <f t="shared" si="6"/>
        <v>0</v>
      </c>
      <c r="P26" s="5">
        <f t="shared" si="7"/>
        <v>0</v>
      </c>
      <c r="Q26" s="1">
        <f t="shared" si="1"/>
        <v>1.7999999999999999E-6</v>
      </c>
    </row>
    <row r="27" spans="1:21" x14ac:dyDescent="0.25">
      <c r="A27" s="1">
        <v>1.25</v>
      </c>
      <c r="B27" s="1">
        <v>7.0000000000000007E-2</v>
      </c>
      <c r="C27" s="1">
        <v>0</v>
      </c>
      <c r="D27" s="1">
        <v>0</v>
      </c>
      <c r="E27" s="1">
        <v>7.6999999999999999E-2</v>
      </c>
      <c r="F27" s="1">
        <v>0</v>
      </c>
      <c r="G27" s="1">
        <v>7.23</v>
      </c>
      <c r="H27" s="1">
        <v>6.9080999999999995E-8</v>
      </c>
      <c r="I27" s="1">
        <f t="shared" si="0"/>
        <v>6.9080999999999995E-8</v>
      </c>
      <c r="J27" s="4">
        <f t="shared" si="2"/>
        <v>0</v>
      </c>
      <c r="K27" s="4">
        <f t="shared" si="3"/>
        <v>0</v>
      </c>
      <c r="L27" s="4">
        <f t="shared" si="4"/>
        <v>0</v>
      </c>
      <c r="M27" s="4">
        <f t="shared" si="8"/>
        <v>0</v>
      </c>
      <c r="N27" s="5">
        <f t="shared" si="5"/>
        <v>1.7999999999999999E-6</v>
      </c>
      <c r="O27" s="5">
        <f t="shared" si="6"/>
        <v>0</v>
      </c>
      <c r="P27" s="5">
        <f t="shared" si="7"/>
        <v>0</v>
      </c>
      <c r="Q27" s="1">
        <f t="shared" si="1"/>
        <v>1.7999999999999999E-6</v>
      </c>
    </row>
    <row r="28" spans="1:21" x14ac:dyDescent="0.25">
      <c r="A28" s="1">
        <v>1.3</v>
      </c>
      <c r="B28" s="1">
        <v>7.0000000000000007E-2</v>
      </c>
      <c r="C28" s="1">
        <v>0</v>
      </c>
      <c r="D28" s="1">
        <v>0</v>
      </c>
      <c r="E28" s="1">
        <v>7.6999999999999999E-2</v>
      </c>
      <c r="F28" s="1">
        <v>0</v>
      </c>
      <c r="G28" s="1">
        <v>7.23</v>
      </c>
      <c r="H28" s="1">
        <v>6.9080999999999995E-8</v>
      </c>
      <c r="I28" s="1">
        <f t="shared" si="0"/>
        <v>6.9080999999999995E-8</v>
      </c>
      <c r="J28" s="4">
        <f t="shared" si="2"/>
        <v>0</v>
      </c>
      <c r="K28" s="4">
        <f t="shared" si="3"/>
        <v>0</v>
      </c>
      <c r="L28" s="4">
        <f t="shared" si="4"/>
        <v>0</v>
      </c>
      <c r="M28" s="4">
        <f t="shared" si="8"/>
        <v>0</v>
      </c>
      <c r="N28" s="5">
        <f t="shared" si="5"/>
        <v>1.7999999999999999E-6</v>
      </c>
      <c r="O28" s="5">
        <f t="shared" si="6"/>
        <v>0</v>
      </c>
      <c r="P28" s="5">
        <f t="shared" si="7"/>
        <v>0</v>
      </c>
      <c r="Q28" s="1">
        <f t="shared" si="1"/>
        <v>1.7999999999999999E-6</v>
      </c>
    </row>
    <row r="29" spans="1:21" x14ac:dyDescent="0.25">
      <c r="A29" s="1">
        <v>1.35</v>
      </c>
      <c r="B29" s="1">
        <v>7.0000000000000007E-2</v>
      </c>
      <c r="C29" s="1">
        <v>0</v>
      </c>
      <c r="D29" s="1">
        <v>0</v>
      </c>
      <c r="E29" s="1">
        <v>7.6999999999999999E-2</v>
      </c>
      <c r="F29" s="1">
        <v>0</v>
      </c>
      <c r="G29" s="1">
        <v>7.23</v>
      </c>
      <c r="H29" s="1">
        <v>6.9080999999999995E-8</v>
      </c>
      <c r="I29" s="1">
        <f t="shared" si="0"/>
        <v>6.9080999999999995E-8</v>
      </c>
      <c r="J29" s="4">
        <f t="shared" si="2"/>
        <v>0</v>
      </c>
      <c r="K29" s="4">
        <f t="shared" si="3"/>
        <v>0</v>
      </c>
      <c r="L29" s="4">
        <f t="shared" si="4"/>
        <v>0</v>
      </c>
      <c r="M29" s="4">
        <f t="shared" si="8"/>
        <v>0</v>
      </c>
      <c r="N29" s="5">
        <f t="shared" si="5"/>
        <v>1.7999999999999999E-6</v>
      </c>
      <c r="O29" s="5">
        <f t="shared" si="6"/>
        <v>0</v>
      </c>
      <c r="P29" s="5">
        <f t="shared" si="7"/>
        <v>0</v>
      </c>
      <c r="Q29" s="1">
        <f t="shared" si="1"/>
        <v>1.7999999999999999E-6</v>
      </c>
    </row>
    <row r="30" spans="1:21" x14ac:dyDescent="0.25">
      <c r="A30" s="1">
        <v>1.4</v>
      </c>
      <c r="B30" s="1">
        <v>7.0000000000000007E-2</v>
      </c>
      <c r="C30" s="1">
        <v>0</v>
      </c>
      <c r="D30" s="1">
        <v>0</v>
      </c>
      <c r="E30" s="1">
        <v>7.6999999999999999E-2</v>
      </c>
      <c r="F30" s="1">
        <v>0</v>
      </c>
      <c r="G30" s="1">
        <v>7.23</v>
      </c>
      <c r="H30" s="1">
        <v>6.9080999999999995E-8</v>
      </c>
      <c r="I30" s="1">
        <f t="shared" si="0"/>
        <v>6.9080999999999995E-8</v>
      </c>
      <c r="J30" s="4">
        <f t="shared" si="2"/>
        <v>0</v>
      </c>
      <c r="K30" s="4">
        <f t="shared" si="3"/>
        <v>0</v>
      </c>
      <c r="L30" s="4">
        <f t="shared" si="4"/>
        <v>0</v>
      </c>
      <c r="M30" s="4">
        <f t="shared" si="8"/>
        <v>0</v>
      </c>
      <c r="N30" s="5">
        <f t="shared" si="5"/>
        <v>1.7999999999999999E-6</v>
      </c>
      <c r="O30" s="5">
        <f t="shared" si="6"/>
        <v>0</v>
      </c>
      <c r="P30" s="5">
        <f t="shared" si="7"/>
        <v>0</v>
      </c>
      <c r="Q30" s="1">
        <f t="shared" si="1"/>
        <v>1.7999999999999999E-6</v>
      </c>
    </row>
    <row r="31" spans="1:21" x14ac:dyDescent="0.25">
      <c r="A31" s="1">
        <v>1.45</v>
      </c>
      <c r="B31" s="1">
        <v>7.0000000000000007E-2</v>
      </c>
      <c r="C31" s="1">
        <v>0</v>
      </c>
      <c r="D31" s="1">
        <v>0</v>
      </c>
      <c r="E31" s="1">
        <v>7.6999999999999999E-2</v>
      </c>
      <c r="F31" s="1">
        <v>0</v>
      </c>
      <c r="G31" s="1">
        <v>7.23</v>
      </c>
      <c r="H31" s="1">
        <v>6.9080999999999995E-8</v>
      </c>
      <c r="I31" s="1">
        <f t="shared" si="0"/>
        <v>6.9080999999999995E-8</v>
      </c>
      <c r="J31" s="4">
        <f t="shared" si="2"/>
        <v>0</v>
      </c>
      <c r="K31" s="4">
        <f t="shared" si="3"/>
        <v>0</v>
      </c>
      <c r="L31" s="4">
        <f t="shared" si="4"/>
        <v>0</v>
      </c>
      <c r="M31" s="4">
        <f t="shared" si="8"/>
        <v>0</v>
      </c>
      <c r="N31" s="5">
        <f t="shared" si="5"/>
        <v>1.7999999999999999E-6</v>
      </c>
      <c r="O31" s="5">
        <f t="shared" si="6"/>
        <v>0</v>
      </c>
      <c r="P31" s="5">
        <f t="shared" si="7"/>
        <v>0</v>
      </c>
      <c r="Q31" s="1">
        <f t="shared" si="1"/>
        <v>1.7999999999999999E-6</v>
      </c>
    </row>
    <row r="32" spans="1:21" x14ac:dyDescent="0.25">
      <c r="A32" s="1">
        <v>1.5</v>
      </c>
      <c r="B32" s="1">
        <v>7.0000000000000007E-2</v>
      </c>
      <c r="C32" s="1">
        <v>0</v>
      </c>
      <c r="D32" s="1">
        <v>0</v>
      </c>
      <c r="E32" s="1">
        <v>7.6999999999999999E-2</v>
      </c>
      <c r="F32" s="1">
        <v>0</v>
      </c>
      <c r="G32" s="1">
        <v>7.23</v>
      </c>
      <c r="H32" s="1">
        <v>6.9080999999999995E-8</v>
      </c>
      <c r="I32" s="1">
        <f t="shared" si="0"/>
        <v>6.9080999999999995E-8</v>
      </c>
      <c r="J32" s="4">
        <f t="shared" si="2"/>
        <v>0</v>
      </c>
      <c r="K32" s="4">
        <f t="shared" si="3"/>
        <v>0</v>
      </c>
      <c r="L32" s="4">
        <f t="shared" si="4"/>
        <v>0</v>
      </c>
      <c r="M32" s="4">
        <f t="shared" si="8"/>
        <v>0</v>
      </c>
      <c r="N32" s="5">
        <f t="shared" si="5"/>
        <v>1.7999999999999999E-6</v>
      </c>
      <c r="O32" s="5">
        <f t="shared" si="6"/>
        <v>0</v>
      </c>
      <c r="P32" s="5">
        <f t="shared" si="7"/>
        <v>0</v>
      </c>
      <c r="Q32" s="1">
        <f t="shared" si="1"/>
        <v>1.7999999999999999E-6</v>
      </c>
    </row>
    <row r="33" spans="1:17" x14ac:dyDescent="0.25">
      <c r="A33" s="1">
        <v>1.55</v>
      </c>
      <c r="B33" s="1">
        <v>7.0000000000000007E-2</v>
      </c>
      <c r="C33" s="1">
        <v>0</v>
      </c>
      <c r="D33" s="1">
        <v>0</v>
      </c>
      <c r="E33" s="1">
        <v>7.6999999999999999E-2</v>
      </c>
      <c r="F33" s="1">
        <v>0</v>
      </c>
      <c r="G33" s="1">
        <v>7.23</v>
      </c>
      <c r="H33" s="1">
        <v>6.9080999999999995E-8</v>
      </c>
      <c r="I33" s="1">
        <f t="shared" si="0"/>
        <v>6.9080999999999995E-8</v>
      </c>
      <c r="J33" s="4">
        <f t="shared" si="2"/>
        <v>0</v>
      </c>
      <c r="K33" s="4">
        <f t="shared" si="3"/>
        <v>0</v>
      </c>
      <c r="L33" s="4">
        <f t="shared" si="4"/>
        <v>0</v>
      </c>
      <c r="M33" s="4">
        <f t="shared" si="8"/>
        <v>0</v>
      </c>
      <c r="N33" s="5">
        <f t="shared" si="5"/>
        <v>1.7999999999999999E-6</v>
      </c>
      <c r="O33" s="5">
        <f t="shared" si="6"/>
        <v>0</v>
      </c>
      <c r="P33" s="5">
        <f t="shared" si="7"/>
        <v>0</v>
      </c>
      <c r="Q33" s="1">
        <f t="shared" si="1"/>
        <v>1.7999999999999999E-6</v>
      </c>
    </row>
    <row r="34" spans="1:17" x14ac:dyDescent="0.25">
      <c r="A34" s="1">
        <v>1.6</v>
      </c>
      <c r="B34" s="1">
        <v>7.0000000000000007E-2</v>
      </c>
      <c r="C34" s="1">
        <v>0</v>
      </c>
      <c r="D34" s="1">
        <v>0</v>
      </c>
      <c r="E34" s="1">
        <v>7.6999999999999999E-2</v>
      </c>
      <c r="F34" s="1">
        <v>0</v>
      </c>
      <c r="G34" s="1">
        <v>7.23</v>
      </c>
      <c r="H34" s="1">
        <v>6.9080999999999995E-8</v>
      </c>
      <c r="I34" s="1">
        <f t="shared" si="0"/>
        <v>6.9080999999999995E-8</v>
      </c>
      <c r="J34" s="4">
        <f t="shared" si="2"/>
        <v>0</v>
      </c>
      <c r="K34" s="4">
        <f t="shared" si="3"/>
        <v>0</v>
      </c>
      <c r="L34" s="4">
        <f t="shared" si="4"/>
        <v>0</v>
      </c>
      <c r="M34" s="4">
        <f t="shared" si="8"/>
        <v>0</v>
      </c>
      <c r="N34" s="5">
        <f t="shared" si="5"/>
        <v>1.7999999999999999E-6</v>
      </c>
      <c r="O34" s="5">
        <f t="shared" si="6"/>
        <v>0</v>
      </c>
      <c r="P34" s="5">
        <f t="shared" si="7"/>
        <v>0</v>
      </c>
      <c r="Q34" s="1">
        <f t="shared" si="1"/>
        <v>1.7999999999999999E-6</v>
      </c>
    </row>
    <row r="35" spans="1:17" x14ac:dyDescent="0.25">
      <c r="A35" s="1">
        <v>1.65</v>
      </c>
      <c r="B35" s="1">
        <v>7.0000000000000007E-2</v>
      </c>
      <c r="C35" s="1">
        <v>0</v>
      </c>
      <c r="D35" s="1">
        <v>0</v>
      </c>
      <c r="E35" s="1">
        <v>7.6999999999999999E-2</v>
      </c>
      <c r="F35" s="1">
        <v>0</v>
      </c>
      <c r="G35" s="1">
        <v>7.23</v>
      </c>
      <c r="H35" s="1">
        <v>6.9080999999999995E-8</v>
      </c>
      <c r="I35" s="1">
        <f t="shared" si="0"/>
        <v>6.9080999999999995E-8</v>
      </c>
      <c r="J35" s="4">
        <f t="shared" si="2"/>
        <v>0</v>
      </c>
      <c r="K35" s="4">
        <f t="shared" si="3"/>
        <v>0</v>
      </c>
      <c r="L35" s="4">
        <f t="shared" si="4"/>
        <v>0</v>
      </c>
      <c r="M35" s="4">
        <f t="shared" si="8"/>
        <v>0</v>
      </c>
      <c r="N35" s="5">
        <f t="shared" si="5"/>
        <v>1.7999999999999999E-6</v>
      </c>
      <c r="O35" s="5">
        <f t="shared" si="6"/>
        <v>0</v>
      </c>
      <c r="P35" s="5">
        <f t="shared" si="7"/>
        <v>0</v>
      </c>
      <c r="Q35" s="1">
        <f t="shared" si="1"/>
        <v>1.7999999999999999E-6</v>
      </c>
    </row>
    <row r="36" spans="1:17" x14ac:dyDescent="0.25">
      <c r="A36" s="1">
        <v>1.7</v>
      </c>
      <c r="B36" s="1">
        <v>7.0000000000000007E-2</v>
      </c>
      <c r="C36" s="1">
        <v>0</v>
      </c>
      <c r="D36" s="1">
        <v>0</v>
      </c>
      <c r="E36" s="1">
        <v>7.6999999999999999E-2</v>
      </c>
      <c r="F36" s="1">
        <v>0</v>
      </c>
      <c r="G36" s="1">
        <v>7.23</v>
      </c>
      <c r="H36" s="1">
        <v>6.9080999999999995E-8</v>
      </c>
      <c r="I36" s="1">
        <f t="shared" si="0"/>
        <v>6.9080999999999995E-8</v>
      </c>
      <c r="J36" s="4">
        <f t="shared" si="2"/>
        <v>0</v>
      </c>
      <c r="K36" s="4">
        <f t="shared" si="3"/>
        <v>0</v>
      </c>
      <c r="L36" s="4">
        <f t="shared" si="4"/>
        <v>0</v>
      </c>
      <c r="M36" s="4">
        <f t="shared" si="8"/>
        <v>0</v>
      </c>
      <c r="N36" s="5">
        <f t="shared" si="5"/>
        <v>1.7999999999999999E-6</v>
      </c>
      <c r="O36" s="5">
        <f t="shared" si="6"/>
        <v>0</v>
      </c>
      <c r="P36" s="5">
        <f t="shared" si="7"/>
        <v>0</v>
      </c>
      <c r="Q36" s="1">
        <f t="shared" si="1"/>
        <v>1.7999999999999999E-6</v>
      </c>
    </row>
    <row r="37" spans="1:17" x14ac:dyDescent="0.25">
      <c r="A37" s="1">
        <v>1.75</v>
      </c>
      <c r="B37" s="1">
        <v>7.0000000000000007E-2</v>
      </c>
      <c r="C37" s="1">
        <v>0</v>
      </c>
      <c r="D37" s="1">
        <v>0</v>
      </c>
      <c r="E37" s="1">
        <v>7.6999999999999999E-2</v>
      </c>
      <c r="F37" s="1">
        <v>0</v>
      </c>
      <c r="G37" s="1">
        <v>7.23</v>
      </c>
      <c r="H37" s="1">
        <v>6.9080999999999995E-8</v>
      </c>
      <c r="I37" s="1">
        <f t="shared" si="0"/>
        <v>6.9080999999999995E-8</v>
      </c>
      <c r="J37" s="4">
        <f t="shared" si="2"/>
        <v>0</v>
      </c>
      <c r="K37" s="4">
        <f t="shared" si="3"/>
        <v>0</v>
      </c>
      <c r="L37" s="4">
        <f t="shared" si="4"/>
        <v>0</v>
      </c>
      <c r="M37" s="4">
        <f t="shared" si="8"/>
        <v>0</v>
      </c>
      <c r="N37" s="5">
        <f t="shared" si="5"/>
        <v>1.7999999999999999E-6</v>
      </c>
      <c r="O37" s="5">
        <f t="shared" si="6"/>
        <v>0</v>
      </c>
      <c r="P37" s="5">
        <f t="shared" si="7"/>
        <v>0</v>
      </c>
      <c r="Q37" s="1">
        <f t="shared" si="1"/>
        <v>1.7999999999999999E-6</v>
      </c>
    </row>
    <row r="38" spans="1:17" x14ac:dyDescent="0.25">
      <c r="A38" s="1">
        <v>1.8</v>
      </c>
      <c r="B38" s="1">
        <v>7.0000000000000007E-2</v>
      </c>
      <c r="C38" s="1">
        <v>0</v>
      </c>
      <c r="D38" s="1">
        <v>0</v>
      </c>
      <c r="E38" s="1">
        <v>7.6999999999999999E-2</v>
      </c>
      <c r="F38" s="1">
        <v>0</v>
      </c>
      <c r="G38" s="1">
        <v>7.23</v>
      </c>
      <c r="H38" s="1">
        <v>6.9080999999999995E-8</v>
      </c>
      <c r="I38" s="1">
        <f t="shared" si="0"/>
        <v>6.9080999999999995E-8</v>
      </c>
      <c r="J38" s="4">
        <f t="shared" si="2"/>
        <v>0</v>
      </c>
      <c r="K38" s="4">
        <f t="shared" si="3"/>
        <v>0</v>
      </c>
      <c r="L38" s="4">
        <f t="shared" si="4"/>
        <v>0</v>
      </c>
      <c r="M38" s="4">
        <f t="shared" si="8"/>
        <v>0</v>
      </c>
      <c r="N38" s="5">
        <f t="shared" si="5"/>
        <v>1.7999999999999999E-6</v>
      </c>
      <c r="O38" s="5">
        <f t="shared" si="6"/>
        <v>0</v>
      </c>
      <c r="P38" s="5">
        <f t="shared" si="7"/>
        <v>0</v>
      </c>
      <c r="Q38" s="1">
        <f t="shared" si="1"/>
        <v>1.7999999999999999E-6</v>
      </c>
    </row>
    <row r="39" spans="1:17" x14ac:dyDescent="0.25">
      <c r="A39" s="1">
        <v>1.85</v>
      </c>
      <c r="B39" s="1">
        <v>7.0000000000000007E-2</v>
      </c>
      <c r="C39" s="1">
        <v>0</v>
      </c>
      <c r="D39" s="1">
        <v>0</v>
      </c>
      <c r="E39" s="1">
        <v>7.6999999999999999E-2</v>
      </c>
      <c r="F39" s="1">
        <v>0</v>
      </c>
      <c r="G39" s="1">
        <v>7.23</v>
      </c>
      <c r="H39" s="1">
        <v>6.9080999999999995E-8</v>
      </c>
      <c r="I39" s="1">
        <f t="shared" si="0"/>
        <v>6.9080999999999995E-8</v>
      </c>
      <c r="J39" s="4">
        <f t="shared" si="2"/>
        <v>0</v>
      </c>
      <c r="K39" s="4">
        <f t="shared" si="3"/>
        <v>0</v>
      </c>
      <c r="L39" s="4">
        <f t="shared" si="4"/>
        <v>0</v>
      </c>
      <c r="M39" s="4">
        <f t="shared" si="8"/>
        <v>0</v>
      </c>
      <c r="N39" s="5">
        <f t="shared" si="5"/>
        <v>1.7999999999999999E-6</v>
      </c>
      <c r="O39" s="5">
        <f t="shared" si="6"/>
        <v>0</v>
      </c>
      <c r="P39" s="5">
        <f t="shared" si="7"/>
        <v>0</v>
      </c>
      <c r="Q39" s="1">
        <f t="shared" si="1"/>
        <v>1.7999999999999999E-6</v>
      </c>
    </row>
    <row r="40" spans="1:17" x14ac:dyDescent="0.25">
      <c r="A40" s="1">
        <v>1.9</v>
      </c>
      <c r="B40" s="1">
        <v>7.0000000000000007E-2</v>
      </c>
      <c r="C40" s="1">
        <v>0</v>
      </c>
      <c r="D40" s="1">
        <v>0</v>
      </c>
      <c r="E40" s="1">
        <v>7.6999999999999999E-2</v>
      </c>
      <c r="F40" s="1">
        <v>0</v>
      </c>
      <c r="G40" s="1">
        <v>7.23</v>
      </c>
      <c r="H40" s="1">
        <v>6.9080999999999995E-8</v>
      </c>
      <c r="I40" s="1">
        <f t="shared" si="0"/>
        <v>6.9080999999999995E-8</v>
      </c>
      <c r="J40" s="4">
        <f t="shared" si="2"/>
        <v>0</v>
      </c>
      <c r="K40" s="4">
        <f t="shared" si="3"/>
        <v>0</v>
      </c>
      <c r="L40" s="4">
        <f t="shared" si="4"/>
        <v>0</v>
      </c>
      <c r="M40" s="4">
        <f t="shared" si="8"/>
        <v>0</v>
      </c>
      <c r="N40" s="5">
        <f t="shared" si="5"/>
        <v>1.7999999999999999E-6</v>
      </c>
      <c r="O40" s="5">
        <f t="shared" si="6"/>
        <v>0</v>
      </c>
      <c r="P40" s="5">
        <f t="shared" si="7"/>
        <v>0</v>
      </c>
      <c r="Q40" s="1">
        <f t="shared" si="1"/>
        <v>1.7999999999999999E-6</v>
      </c>
    </row>
    <row r="41" spans="1:17" x14ac:dyDescent="0.25">
      <c r="A41" s="1">
        <v>1.95</v>
      </c>
      <c r="B41" s="1">
        <v>7.0000000000000007E-2</v>
      </c>
      <c r="C41" s="1">
        <v>0</v>
      </c>
      <c r="D41" s="1">
        <v>0</v>
      </c>
      <c r="E41" s="1">
        <v>7.6999999999999999E-2</v>
      </c>
      <c r="F41" s="1">
        <v>0</v>
      </c>
      <c r="G41" s="1">
        <v>7.23</v>
      </c>
      <c r="H41" s="1">
        <v>6.9080999999999995E-8</v>
      </c>
      <c r="I41" s="1">
        <f t="shared" si="0"/>
        <v>6.9080999999999995E-8</v>
      </c>
      <c r="J41" s="4">
        <f t="shared" si="2"/>
        <v>0</v>
      </c>
      <c r="K41" s="4">
        <f t="shared" si="3"/>
        <v>0</v>
      </c>
      <c r="L41" s="4">
        <f t="shared" si="4"/>
        <v>0</v>
      </c>
      <c r="M41" s="4">
        <f t="shared" si="8"/>
        <v>0</v>
      </c>
      <c r="N41" s="5">
        <f t="shared" si="5"/>
        <v>1.7999999999999999E-6</v>
      </c>
      <c r="O41" s="5">
        <f t="shared" si="6"/>
        <v>0</v>
      </c>
      <c r="P41" s="5">
        <f t="shared" si="7"/>
        <v>0</v>
      </c>
      <c r="Q41" s="1">
        <f t="shared" si="1"/>
        <v>1.7999999999999999E-6</v>
      </c>
    </row>
    <row r="42" spans="1:17" x14ac:dyDescent="0.25">
      <c r="A42" s="1">
        <v>2</v>
      </c>
      <c r="B42" s="1">
        <v>7.0000000000000007E-2</v>
      </c>
      <c r="C42" s="1">
        <v>0</v>
      </c>
      <c r="D42" s="1">
        <v>0</v>
      </c>
      <c r="E42" s="1">
        <v>7.6999999999999999E-2</v>
      </c>
      <c r="F42" s="1">
        <v>0</v>
      </c>
      <c r="G42" s="1">
        <v>7.23</v>
      </c>
      <c r="H42" s="1">
        <v>6.9080999999999995E-8</v>
      </c>
      <c r="I42" s="1">
        <f t="shared" si="0"/>
        <v>6.9080999999999995E-8</v>
      </c>
      <c r="J42" s="4">
        <f t="shared" si="2"/>
        <v>0</v>
      </c>
      <c r="K42" s="4">
        <f t="shared" si="3"/>
        <v>0</v>
      </c>
      <c r="L42" s="4">
        <f t="shared" si="4"/>
        <v>0</v>
      </c>
      <c r="M42" s="4">
        <f t="shared" si="8"/>
        <v>0</v>
      </c>
      <c r="N42" s="5">
        <f t="shared" si="5"/>
        <v>1.7999999999999999E-6</v>
      </c>
      <c r="O42" s="5">
        <f t="shared" si="6"/>
        <v>0</v>
      </c>
      <c r="P42" s="5">
        <f t="shared" si="7"/>
        <v>0</v>
      </c>
      <c r="Q42" s="1">
        <f t="shared" si="1"/>
        <v>1.7999999999999999E-6</v>
      </c>
    </row>
    <row r="43" spans="1:17" x14ac:dyDescent="0.25">
      <c r="A43" s="1">
        <v>2.0499999999999998</v>
      </c>
      <c r="B43" s="1">
        <v>7.0000000000000007E-2</v>
      </c>
      <c r="C43" s="1">
        <v>0</v>
      </c>
      <c r="D43" s="1">
        <v>0</v>
      </c>
      <c r="E43" s="1">
        <v>7.6999999999999999E-2</v>
      </c>
      <c r="F43" s="1">
        <v>0</v>
      </c>
      <c r="G43" s="1">
        <v>7.23</v>
      </c>
      <c r="H43" s="1">
        <v>6.9080999999999995E-8</v>
      </c>
      <c r="I43" s="1">
        <f t="shared" si="0"/>
        <v>6.9080999999999995E-8</v>
      </c>
      <c r="J43" s="4">
        <f t="shared" si="2"/>
        <v>0</v>
      </c>
      <c r="K43" s="4">
        <f t="shared" si="3"/>
        <v>0</v>
      </c>
      <c r="L43" s="4">
        <f t="shared" si="4"/>
        <v>0</v>
      </c>
      <c r="M43" s="4">
        <f t="shared" si="8"/>
        <v>0</v>
      </c>
      <c r="N43" s="5">
        <f t="shared" si="5"/>
        <v>1.7999999999999999E-6</v>
      </c>
      <c r="O43" s="5">
        <f t="shared" si="6"/>
        <v>0</v>
      </c>
      <c r="P43" s="5">
        <f t="shared" si="7"/>
        <v>0</v>
      </c>
      <c r="Q43" s="1">
        <f t="shared" si="1"/>
        <v>1.7999999999999999E-6</v>
      </c>
    </row>
    <row r="44" spans="1:17" x14ac:dyDescent="0.25">
      <c r="A44" s="1">
        <v>2.1</v>
      </c>
      <c r="B44" s="1">
        <v>7.0000000000000007E-2</v>
      </c>
      <c r="C44" s="1">
        <v>0</v>
      </c>
      <c r="D44" s="1">
        <v>0</v>
      </c>
      <c r="E44" s="1">
        <v>7.6999999999999999E-2</v>
      </c>
      <c r="F44" s="1">
        <v>0</v>
      </c>
      <c r="G44" s="1">
        <v>7.23</v>
      </c>
      <c r="H44" s="1">
        <v>6.9080999999999995E-8</v>
      </c>
      <c r="I44" s="1">
        <f t="shared" si="0"/>
        <v>6.9080999999999995E-8</v>
      </c>
      <c r="J44" s="4">
        <f t="shared" si="2"/>
        <v>0</v>
      </c>
      <c r="K44" s="4">
        <f t="shared" si="3"/>
        <v>0</v>
      </c>
      <c r="L44" s="4">
        <f t="shared" si="4"/>
        <v>0</v>
      </c>
      <c r="M44" s="4">
        <f t="shared" si="8"/>
        <v>0</v>
      </c>
      <c r="N44" s="5">
        <f t="shared" si="5"/>
        <v>1.7999999999999999E-6</v>
      </c>
      <c r="O44" s="5">
        <f t="shared" si="6"/>
        <v>0</v>
      </c>
      <c r="P44" s="5">
        <f t="shared" si="7"/>
        <v>0</v>
      </c>
      <c r="Q44" s="1">
        <f t="shared" si="1"/>
        <v>1.7999999999999999E-6</v>
      </c>
    </row>
    <row r="45" spans="1:17" x14ac:dyDescent="0.25">
      <c r="A45" s="1">
        <v>2.15</v>
      </c>
      <c r="B45" s="1">
        <v>7.0000000000000007E-2</v>
      </c>
      <c r="C45" s="1">
        <v>0</v>
      </c>
      <c r="D45" s="1">
        <v>0</v>
      </c>
      <c r="E45" s="1">
        <v>7.6999999999999999E-2</v>
      </c>
      <c r="F45" s="1">
        <v>0</v>
      </c>
      <c r="G45" s="1">
        <v>7.23</v>
      </c>
      <c r="H45" s="1">
        <v>6.9080999999999995E-8</v>
      </c>
      <c r="I45" s="1">
        <f t="shared" si="0"/>
        <v>6.9080999999999995E-8</v>
      </c>
      <c r="J45" s="4">
        <f t="shared" si="2"/>
        <v>0</v>
      </c>
      <c r="K45" s="4">
        <f t="shared" si="3"/>
        <v>0</v>
      </c>
      <c r="L45" s="4">
        <f t="shared" si="4"/>
        <v>0</v>
      </c>
      <c r="M45" s="4">
        <f t="shared" si="8"/>
        <v>0</v>
      </c>
      <c r="N45" s="5">
        <f t="shared" si="5"/>
        <v>1.7999999999999999E-6</v>
      </c>
      <c r="O45" s="5">
        <f t="shared" si="6"/>
        <v>0</v>
      </c>
      <c r="P45" s="5">
        <f t="shared" si="7"/>
        <v>0</v>
      </c>
      <c r="Q45" s="1">
        <f t="shared" si="1"/>
        <v>1.7999999999999999E-6</v>
      </c>
    </row>
    <row r="46" spans="1:17" x14ac:dyDescent="0.25">
      <c r="A46" s="1">
        <v>2.2000000000000002</v>
      </c>
      <c r="B46" s="1">
        <v>7.0000000000000007E-2</v>
      </c>
      <c r="C46" s="1">
        <v>0</v>
      </c>
      <c r="D46" s="1">
        <v>0</v>
      </c>
      <c r="E46" s="1">
        <v>7.6999999999999999E-2</v>
      </c>
      <c r="F46" s="1">
        <v>0</v>
      </c>
      <c r="G46" s="1">
        <v>7.23</v>
      </c>
      <c r="H46" s="1">
        <v>6.9080999999999995E-8</v>
      </c>
      <c r="I46" s="1">
        <f t="shared" si="0"/>
        <v>6.9080999999999995E-8</v>
      </c>
      <c r="J46" s="4">
        <f t="shared" si="2"/>
        <v>0</v>
      </c>
      <c r="K46" s="4">
        <f t="shared" si="3"/>
        <v>0</v>
      </c>
      <c r="L46" s="4">
        <f t="shared" si="4"/>
        <v>0</v>
      </c>
      <c r="M46" s="4">
        <f t="shared" si="8"/>
        <v>0</v>
      </c>
      <c r="N46" s="5">
        <f t="shared" si="5"/>
        <v>1.7999999999999999E-6</v>
      </c>
      <c r="O46" s="5">
        <f t="shared" si="6"/>
        <v>0</v>
      </c>
      <c r="P46" s="5">
        <f t="shared" si="7"/>
        <v>0</v>
      </c>
      <c r="Q46" s="1">
        <f t="shared" si="1"/>
        <v>1.7999999999999999E-6</v>
      </c>
    </row>
    <row r="47" spans="1:17" x14ac:dyDescent="0.25">
      <c r="A47" s="1">
        <v>2.25</v>
      </c>
      <c r="B47" s="1">
        <v>7.0000000000000007E-2</v>
      </c>
      <c r="C47" s="1">
        <v>0</v>
      </c>
      <c r="D47" s="1">
        <v>0</v>
      </c>
      <c r="E47" s="1">
        <v>7.6999999999999999E-2</v>
      </c>
      <c r="F47" s="1">
        <v>0</v>
      </c>
      <c r="G47" s="1">
        <v>7.23</v>
      </c>
      <c r="H47" s="1">
        <v>6.9080999999999995E-8</v>
      </c>
      <c r="I47" s="1">
        <f t="shared" si="0"/>
        <v>6.9080999999999995E-8</v>
      </c>
      <c r="J47" s="4">
        <f t="shared" si="2"/>
        <v>0</v>
      </c>
      <c r="K47" s="4">
        <f t="shared" si="3"/>
        <v>0</v>
      </c>
      <c r="L47" s="4">
        <f t="shared" si="4"/>
        <v>0</v>
      </c>
      <c r="M47" s="4">
        <f t="shared" si="8"/>
        <v>0</v>
      </c>
      <c r="N47" s="5">
        <f t="shared" si="5"/>
        <v>1.7999999999999999E-6</v>
      </c>
      <c r="O47" s="5">
        <f t="shared" si="6"/>
        <v>0</v>
      </c>
      <c r="P47" s="5">
        <f t="shared" si="7"/>
        <v>0</v>
      </c>
      <c r="Q47" s="1">
        <f t="shared" si="1"/>
        <v>1.7999999999999999E-6</v>
      </c>
    </row>
    <row r="48" spans="1:17" x14ac:dyDescent="0.25">
      <c r="A48" s="1">
        <v>2.2999999999999998</v>
      </c>
      <c r="B48" s="1">
        <v>7.0000000000000007E-2</v>
      </c>
      <c r="C48" s="1">
        <v>0</v>
      </c>
      <c r="D48" s="1">
        <v>0</v>
      </c>
      <c r="E48" s="1">
        <v>7.6999999999999999E-2</v>
      </c>
      <c r="F48" s="1">
        <v>0</v>
      </c>
      <c r="G48" s="1">
        <v>7.23</v>
      </c>
      <c r="H48" s="1">
        <v>6.9080999999999995E-8</v>
      </c>
      <c r="I48" s="1">
        <f t="shared" si="0"/>
        <v>6.9080999999999995E-8</v>
      </c>
      <c r="J48" s="4">
        <f t="shared" si="2"/>
        <v>0</v>
      </c>
      <c r="K48" s="4">
        <f t="shared" si="3"/>
        <v>0</v>
      </c>
      <c r="L48" s="4">
        <f t="shared" si="4"/>
        <v>0</v>
      </c>
      <c r="M48" s="4">
        <f t="shared" si="8"/>
        <v>0</v>
      </c>
      <c r="N48" s="5">
        <f t="shared" si="5"/>
        <v>1.7999999999999999E-6</v>
      </c>
      <c r="O48" s="5">
        <f t="shared" si="6"/>
        <v>0</v>
      </c>
      <c r="P48" s="5">
        <f t="shared" si="7"/>
        <v>0</v>
      </c>
      <c r="Q48" s="1">
        <f t="shared" si="1"/>
        <v>1.7999999999999999E-6</v>
      </c>
    </row>
    <row r="49" spans="1:17" x14ac:dyDescent="0.25">
      <c r="A49" s="1">
        <v>2.35</v>
      </c>
      <c r="B49" s="1">
        <v>7.0000000000000007E-2</v>
      </c>
      <c r="C49" s="1">
        <v>0</v>
      </c>
      <c r="D49" s="1">
        <v>0</v>
      </c>
      <c r="E49" s="1">
        <v>7.6999999999999999E-2</v>
      </c>
      <c r="F49" s="1">
        <v>0</v>
      </c>
      <c r="G49" s="1">
        <v>7.23</v>
      </c>
      <c r="H49" s="1">
        <v>6.9080999999999995E-8</v>
      </c>
      <c r="I49" s="1">
        <f t="shared" si="0"/>
        <v>6.9080999999999995E-8</v>
      </c>
      <c r="J49" s="4">
        <f t="shared" si="2"/>
        <v>0</v>
      </c>
      <c r="K49" s="4">
        <f t="shared" si="3"/>
        <v>0</v>
      </c>
      <c r="L49" s="4">
        <f t="shared" si="4"/>
        <v>0</v>
      </c>
      <c r="M49" s="4">
        <f t="shared" si="8"/>
        <v>0</v>
      </c>
      <c r="N49" s="5">
        <f t="shared" si="5"/>
        <v>1.7999999999999999E-6</v>
      </c>
      <c r="O49" s="5">
        <f t="shared" si="6"/>
        <v>0</v>
      </c>
      <c r="P49" s="5">
        <f t="shared" si="7"/>
        <v>0</v>
      </c>
      <c r="Q49" s="1">
        <f t="shared" si="1"/>
        <v>1.7999999999999999E-6</v>
      </c>
    </row>
    <row r="50" spans="1:17" x14ac:dyDescent="0.25">
      <c r="A50" s="1">
        <v>2.4</v>
      </c>
      <c r="B50" s="1">
        <v>7.0000000000000007E-2</v>
      </c>
      <c r="C50" s="1">
        <v>0</v>
      </c>
      <c r="D50" s="1">
        <v>0</v>
      </c>
      <c r="E50" s="1">
        <v>7.6999999999999999E-2</v>
      </c>
      <c r="F50" s="1">
        <v>0</v>
      </c>
      <c r="G50" s="1">
        <v>7.23</v>
      </c>
      <c r="H50" s="1">
        <v>6.9080999999999995E-8</v>
      </c>
      <c r="I50" s="1">
        <f t="shared" si="0"/>
        <v>6.9080999999999995E-8</v>
      </c>
      <c r="J50" s="4">
        <f t="shared" si="2"/>
        <v>0</v>
      </c>
      <c r="K50" s="4">
        <f t="shared" si="3"/>
        <v>0</v>
      </c>
      <c r="L50" s="4">
        <f t="shared" si="4"/>
        <v>0</v>
      </c>
      <c r="M50" s="4">
        <f t="shared" si="8"/>
        <v>0</v>
      </c>
      <c r="N50" s="5">
        <f t="shared" si="5"/>
        <v>1.7999999999999999E-6</v>
      </c>
      <c r="O50" s="5">
        <f t="shared" si="6"/>
        <v>0</v>
      </c>
      <c r="P50" s="5">
        <f t="shared" si="7"/>
        <v>0</v>
      </c>
      <c r="Q50" s="1">
        <f t="shared" si="1"/>
        <v>1.7999999999999999E-6</v>
      </c>
    </row>
    <row r="51" spans="1:17" x14ac:dyDescent="0.25">
      <c r="A51" s="1">
        <v>2.4500000000000002</v>
      </c>
      <c r="B51" s="1">
        <v>7.0000000000000007E-2</v>
      </c>
      <c r="C51" s="1">
        <v>0</v>
      </c>
      <c r="D51" s="1">
        <v>0</v>
      </c>
      <c r="E51" s="1">
        <v>7.6999999999999999E-2</v>
      </c>
      <c r="F51" s="1">
        <v>0</v>
      </c>
      <c r="G51" s="1">
        <v>7.23</v>
      </c>
      <c r="H51" s="1">
        <v>6.9080999999999995E-8</v>
      </c>
      <c r="I51" s="1">
        <f t="shared" si="0"/>
        <v>6.9080999999999995E-8</v>
      </c>
      <c r="J51" s="4">
        <f t="shared" si="2"/>
        <v>0</v>
      </c>
      <c r="K51" s="4">
        <f t="shared" si="3"/>
        <v>0</v>
      </c>
      <c r="L51" s="4">
        <f t="shared" si="4"/>
        <v>0</v>
      </c>
      <c r="M51" s="4">
        <f t="shared" si="8"/>
        <v>0</v>
      </c>
      <c r="N51" s="5">
        <f t="shared" si="5"/>
        <v>1.7999999999999999E-6</v>
      </c>
      <c r="O51" s="5">
        <f t="shared" si="6"/>
        <v>0</v>
      </c>
      <c r="P51" s="5">
        <f t="shared" si="7"/>
        <v>0</v>
      </c>
      <c r="Q51" s="1">
        <f t="shared" si="1"/>
        <v>1.7999999999999999E-6</v>
      </c>
    </row>
    <row r="52" spans="1:17" x14ac:dyDescent="0.25">
      <c r="A52" s="1">
        <v>2.5</v>
      </c>
      <c r="B52" s="1">
        <v>7.0000000000000007E-2</v>
      </c>
      <c r="C52" s="1">
        <v>0</v>
      </c>
      <c r="D52" s="1">
        <v>0</v>
      </c>
      <c r="E52" s="1">
        <v>7.6999999999999999E-2</v>
      </c>
      <c r="F52" s="1">
        <v>0</v>
      </c>
      <c r="G52" s="1">
        <v>7.23</v>
      </c>
      <c r="H52" s="1">
        <v>6.9080999999999995E-8</v>
      </c>
      <c r="I52" s="1">
        <f t="shared" si="0"/>
        <v>6.9080999999999995E-8</v>
      </c>
      <c r="J52" s="4">
        <f t="shared" si="2"/>
        <v>0</v>
      </c>
      <c r="K52" s="4">
        <f t="shared" si="3"/>
        <v>0</v>
      </c>
      <c r="L52" s="4">
        <f t="shared" si="4"/>
        <v>0</v>
      </c>
      <c r="M52" s="4">
        <f t="shared" si="8"/>
        <v>0</v>
      </c>
      <c r="N52" s="5">
        <f t="shared" si="5"/>
        <v>1.7999999999999999E-6</v>
      </c>
      <c r="O52" s="5">
        <f t="shared" si="6"/>
        <v>0</v>
      </c>
      <c r="P52" s="5">
        <f t="shared" si="7"/>
        <v>0</v>
      </c>
      <c r="Q52" s="1">
        <f t="shared" si="1"/>
        <v>1.7999999999999999E-6</v>
      </c>
    </row>
    <row r="53" spans="1:17" x14ac:dyDescent="0.25">
      <c r="A53" s="1">
        <v>2.5499999999999998</v>
      </c>
      <c r="B53" s="1">
        <v>7.0000000000000007E-2</v>
      </c>
      <c r="C53" s="1">
        <v>0</v>
      </c>
      <c r="D53" s="1">
        <v>0</v>
      </c>
      <c r="E53" s="1">
        <v>7.6999999999999999E-2</v>
      </c>
      <c r="F53" s="1">
        <v>0</v>
      </c>
      <c r="G53" s="1">
        <v>7.23</v>
      </c>
      <c r="H53" s="1">
        <v>6.9080999999999995E-8</v>
      </c>
      <c r="I53" s="1">
        <f t="shared" si="0"/>
        <v>6.9080999999999995E-8</v>
      </c>
      <c r="J53" s="4">
        <f t="shared" si="2"/>
        <v>0</v>
      </c>
      <c r="K53" s="4">
        <f t="shared" si="3"/>
        <v>0</v>
      </c>
      <c r="L53" s="4">
        <f t="shared" si="4"/>
        <v>0</v>
      </c>
      <c r="M53" s="4">
        <f t="shared" si="8"/>
        <v>0</v>
      </c>
      <c r="N53" s="5">
        <f t="shared" si="5"/>
        <v>1.7999999999999999E-6</v>
      </c>
      <c r="O53" s="5">
        <f t="shared" si="6"/>
        <v>0</v>
      </c>
      <c r="P53" s="5">
        <f t="shared" si="7"/>
        <v>0</v>
      </c>
      <c r="Q53" s="1">
        <f t="shared" si="1"/>
        <v>1.7999999999999999E-6</v>
      </c>
    </row>
    <row r="54" spans="1:17" x14ac:dyDescent="0.25">
      <c r="A54" s="1">
        <v>2.6</v>
      </c>
      <c r="B54" s="1">
        <v>7.0000000000000007E-2</v>
      </c>
      <c r="C54" s="1">
        <v>0</v>
      </c>
      <c r="D54" s="1">
        <v>0</v>
      </c>
      <c r="E54" s="1">
        <v>7.6999999999999999E-2</v>
      </c>
      <c r="F54" s="1">
        <v>0</v>
      </c>
      <c r="G54" s="1">
        <v>7.23</v>
      </c>
      <c r="H54" s="1">
        <v>6.9080999999999995E-8</v>
      </c>
      <c r="I54" s="1">
        <f t="shared" si="0"/>
        <v>6.9080999999999995E-8</v>
      </c>
      <c r="J54" s="4">
        <f t="shared" si="2"/>
        <v>0</v>
      </c>
      <c r="K54" s="4">
        <f t="shared" si="3"/>
        <v>0</v>
      </c>
      <c r="L54" s="4">
        <f t="shared" si="4"/>
        <v>0</v>
      </c>
      <c r="M54" s="4">
        <f t="shared" si="8"/>
        <v>0</v>
      </c>
      <c r="N54" s="5">
        <f t="shared" si="5"/>
        <v>1.7999999999999999E-6</v>
      </c>
      <c r="O54" s="5">
        <f t="shared" si="6"/>
        <v>0</v>
      </c>
      <c r="P54" s="5">
        <f t="shared" si="7"/>
        <v>0</v>
      </c>
      <c r="Q54" s="1">
        <f t="shared" si="1"/>
        <v>1.7999999999999999E-6</v>
      </c>
    </row>
    <row r="55" spans="1:17" x14ac:dyDescent="0.25">
      <c r="A55" s="1">
        <v>2.65</v>
      </c>
      <c r="B55" s="1">
        <v>7.0000000000000007E-2</v>
      </c>
      <c r="C55" s="1">
        <v>0</v>
      </c>
      <c r="D55" s="1">
        <v>0</v>
      </c>
      <c r="E55" s="1">
        <v>7.6999999999999999E-2</v>
      </c>
      <c r="F55" s="1">
        <v>0</v>
      </c>
      <c r="G55" s="1">
        <v>7.23</v>
      </c>
      <c r="H55" s="1">
        <v>6.9080999999999995E-8</v>
      </c>
      <c r="I55" s="1">
        <f t="shared" si="0"/>
        <v>6.9080999999999995E-8</v>
      </c>
      <c r="J55" s="4">
        <f t="shared" si="2"/>
        <v>0</v>
      </c>
      <c r="K55" s="4">
        <f t="shared" si="3"/>
        <v>0</v>
      </c>
      <c r="L55" s="4">
        <f t="shared" si="4"/>
        <v>0</v>
      </c>
      <c r="M55" s="4">
        <f t="shared" si="8"/>
        <v>0</v>
      </c>
      <c r="N55" s="5">
        <f t="shared" si="5"/>
        <v>1.7999999999999999E-6</v>
      </c>
      <c r="O55" s="5">
        <f t="shared" si="6"/>
        <v>0</v>
      </c>
      <c r="P55" s="5">
        <f t="shared" si="7"/>
        <v>0</v>
      </c>
      <c r="Q55" s="1">
        <f t="shared" si="1"/>
        <v>1.7999999999999999E-6</v>
      </c>
    </row>
    <row r="56" spans="1:17" x14ac:dyDescent="0.25">
      <c r="A56" s="1">
        <v>2.7</v>
      </c>
      <c r="B56" s="1">
        <v>7.0000000000000007E-2</v>
      </c>
      <c r="C56" s="1">
        <v>0</v>
      </c>
      <c r="D56" s="1">
        <v>0</v>
      </c>
      <c r="E56" s="1">
        <v>7.6999999999999999E-2</v>
      </c>
      <c r="F56" s="1">
        <v>0</v>
      </c>
      <c r="G56" s="1">
        <v>7.23</v>
      </c>
      <c r="H56" s="1">
        <v>6.9080999999999995E-8</v>
      </c>
      <c r="I56" s="1">
        <f t="shared" si="0"/>
        <v>6.9080999999999995E-8</v>
      </c>
      <c r="J56" s="4">
        <f t="shared" si="2"/>
        <v>0</v>
      </c>
      <c r="K56" s="4">
        <f t="shared" si="3"/>
        <v>0</v>
      </c>
      <c r="L56" s="4">
        <f t="shared" si="4"/>
        <v>0</v>
      </c>
      <c r="M56" s="4">
        <f t="shared" si="8"/>
        <v>0</v>
      </c>
      <c r="N56" s="5">
        <f t="shared" si="5"/>
        <v>1.7999999999999999E-6</v>
      </c>
      <c r="O56" s="5">
        <f t="shared" si="6"/>
        <v>0</v>
      </c>
      <c r="P56" s="5">
        <f t="shared" si="7"/>
        <v>0</v>
      </c>
      <c r="Q56" s="1">
        <f t="shared" si="1"/>
        <v>1.7999999999999999E-6</v>
      </c>
    </row>
    <row r="57" spans="1:17" x14ac:dyDescent="0.25">
      <c r="A57" s="1">
        <v>2.75</v>
      </c>
      <c r="B57" s="1">
        <v>7.0000000000000007E-2</v>
      </c>
      <c r="C57" s="1">
        <v>0</v>
      </c>
      <c r="D57" s="1">
        <v>0</v>
      </c>
      <c r="E57" s="1">
        <v>7.6999999999999999E-2</v>
      </c>
      <c r="F57" s="1">
        <v>0</v>
      </c>
      <c r="G57" s="1">
        <v>7.23</v>
      </c>
      <c r="H57" s="1">
        <v>6.9080999999999995E-8</v>
      </c>
      <c r="I57" s="1">
        <f t="shared" si="0"/>
        <v>6.9080999999999995E-8</v>
      </c>
      <c r="J57" s="4">
        <f t="shared" si="2"/>
        <v>0</v>
      </c>
      <c r="K57" s="4">
        <f t="shared" si="3"/>
        <v>0</v>
      </c>
      <c r="L57" s="4">
        <f t="shared" si="4"/>
        <v>0</v>
      </c>
      <c r="M57" s="4">
        <f t="shared" si="8"/>
        <v>0</v>
      </c>
      <c r="N57" s="5">
        <f t="shared" si="5"/>
        <v>1.7999999999999999E-6</v>
      </c>
      <c r="O57" s="5">
        <f t="shared" si="6"/>
        <v>0</v>
      </c>
      <c r="P57" s="5">
        <f t="shared" si="7"/>
        <v>0</v>
      </c>
      <c r="Q57" s="1">
        <f t="shared" si="1"/>
        <v>1.7999999999999999E-6</v>
      </c>
    </row>
    <row r="58" spans="1:17" x14ac:dyDescent="0.25">
      <c r="A58" s="1">
        <v>2.8</v>
      </c>
      <c r="B58" s="1">
        <v>7.0000000000000007E-2</v>
      </c>
      <c r="C58" s="1">
        <v>0</v>
      </c>
      <c r="D58" s="1">
        <v>0</v>
      </c>
      <c r="E58" s="1">
        <v>7.6999999999999999E-2</v>
      </c>
      <c r="F58" s="1">
        <v>0</v>
      </c>
      <c r="G58" s="1">
        <v>7.23</v>
      </c>
      <c r="H58" s="1">
        <v>6.9080999999999995E-8</v>
      </c>
      <c r="I58" s="1">
        <f t="shared" si="0"/>
        <v>6.9080999999999995E-8</v>
      </c>
      <c r="J58" s="4">
        <f t="shared" si="2"/>
        <v>0</v>
      </c>
      <c r="K58" s="4">
        <f t="shared" si="3"/>
        <v>0</v>
      </c>
      <c r="L58" s="4">
        <f t="shared" si="4"/>
        <v>0</v>
      </c>
      <c r="M58" s="4">
        <f t="shared" si="8"/>
        <v>0</v>
      </c>
      <c r="N58" s="5">
        <f t="shared" si="5"/>
        <v>1.7999999999999999E-6</v>
      </c>
      <c r="O58" s="5">
        <f t="shared" si="6"/>
        <v>0</v>
      </c>
      <c r="P58" s="5">
        <f t="shared" si="7"/>
        <v>0</v>
      </c>
      <c r="Q58" s="1">
        <f t="shared" si="1"/>
        <v>1.7999999999999999E-6</v>
      </c>
    </row>
    <row r="59" spans="1:17" x14ac:dyDescent="0.25">
      <c r="A59" s="1">
        <v>2.85</v>
      </c>
      <c r="B59" s="1">
        <v>7.0000000000000007E-2</v>
      </c>
      <c r="C59" s="1">
        <v>0</v>
      </c>
      <c r="D59" s="1">
        <v>0</v>
      </c>
      <c r="E59" s="1">
        <v>7.6999999999999999E-2</v>
      </c>
      <c r="F59" s="1">
        <v>0</v>
      </c>
      <c r="G59" s="1">
        <v>7.23</v>
      </c>
      <c r="H59" s="1">
        <v>6.9080999999999995E-8</v>
      </c>
      <c r="I59" s="1">
        <f t="shared" si="0"/>
        <v>6.9080999999999995E-8</v>
      </c>
      <c r="J59" s="4">
        <f t="shared" si="2"/>
        <v>0</v>
      </c>
      <c r="K59" s="4">
        <f t="shared" si="3"/>
        <v>0</v>
      </c>
      <c r="L59" s="4">
        <f t="shared" si="4"/>
        <v>0</v>
      </c>
      <c r="M59" s="4">
        <f t="shared" si="8"/>
        <v>0</v>
      </c>
      <c r="N59" s="5">
        <f t="shared" si="5"/>
        <v>1.7999999999999999E-6</v>
      </c>
      <c r="O59" s="5">
        <f t="shared" si="6"/>
        <v>0</v>
      </c>
      <c r="P59" s="5">
        <f t="shared" si="7"/>
        <v>0</v>
      </c>
      <c r="Q59" s="1">
        <f t="shared" si="1"/>
        <v>1.7999999999999999E-6</v>
      </c>
    </row>
    <row r="60" spans="1:17" x14ac:dyDescent="0.25">
      <c r="A60" s="1">
        <v>2.9</v>
      </c>
      <c r="B60" s="1">
        <v>7.0000000000000007E-2</v>
      </c>
      <c r="C60" s="1">
        <v>0</v>
      </c>
      <c r="D60" s="1">
        <v>0</v>
      </c>
      <c r="E60" s="1">
        <v>7.6999999999999999E-2</v>
      </c>
      <c r="F60" s="1">
        <v>0</v>
      </c>
      <c r="G60" s="1">
        <v>7.23</v>
      </c>
      <c r="H60" s="1">
        <v>6.9080999999999995E-8</v>
      </c>
      <c r="I60" s="1">
        <f t="shared" si="0"/>
        <v>6.9080999999999995E-8</v>
      </c>
      <c r="J60" s="4">
        <f t="shared" si="2"/>
        <v>0</v>
      </c>
      <c r="K60" s="4">
        <f t="shared" si="3"/>
        <v>0</v>
      </c>
      <c r="L60" s="4">
        <f t="shared" si="4"/>
        <v>0</v>
      </c>
      <c r="M60" s="4">
        <f t="shared" si="8"/>
        <v>0</v>
      </c>
      <c r="N60" s="5">
        <f t="shared" si="5"/>
        <v>1.7999999999999999E-6</v>
      </c>
      <c r="O60" s="5">
        <f t="shared" si="6"/>
        <v>0</v>
      </c>
      <c r="P60" s="5">
        <f t="shared" si="7"/>
        <v>0</v>
      </c>
      <c r="Q60" s="1">
        <f t="shared" si="1"/>
        <v>1.7999999999999999E-6</v>
      </c>
    </row>
    <row r="61" spans="1:17" x14ac:dyDescent="0.25">
      <c r="A61" s="1">
        <v>2.95</v>
      </c>
      <c r="B61" s="1">
        <v>7.0000000000000007E-2</v>
      </c>
      <c r="C61" s="1">
        <v>0</v>
      </c>
      <c r="D61" s="1">
        <v>0</v>
      </c>
      <c r="E61" s="1">
        <v>7.6999999999999999E-2</v>
      </c>
      <c r="F61" s="1">
        <v>0</v>
      </c>
      <c r="G61" s="1">
        <v>7.23</v>
      </c>
      <c r="H61" s="1">
        <v>6.9080999999999995E-8</v>
      </c>
      <c r="I61" s="1">
        <f t="shared" si="0"/>
        <v>6.9080999999999995E-8</v>
      </c>
      <c r="J61" s="4">
        <f t="shared" si="2"/>
        <v>0</v>
      </c>
      <c r="K61" s="4">
        <f t="shared" si="3"/>
        <v>0</v>
      </c>
      <c r="L61" s="4">
        <f t="shared" si="4"/>
        <v>0</v>
      </c>
      <c r="M61" s="4">
        <f t="shared" si="8"/>
        <v>0</v>
      </c>
      <c r="N61" s="5">
        <f t="shared" si="5"/>
        <v>1.7999999999999999E-6</v>
      </c>
      <c r="O61" s="5">
        <f t="shared" si="6"/>
        <v>0</v>
      </c>
      <c r="P61" s="5">
        <f t="shared" si="7"/>
        <v>0</v>
      </c>
      <c r="Q61" s="1">
        <f t="shared" si="1"/>
        <v>1.7999999999999999E-6</v>
      </c>
    </row>
    <row r="62" spans="1:17" x14ac:dyDescent="0.25">
      <c r="A62" s="1">
        <v>3</v>
      </c>
      <c r="B62" s="1">
        <v>7.0000000000000007E-2</v>
      </c>
      <c r="C62" s="1">
        <v>0</v>
      </c>
      <c r="D62" s="1">
        <v>0</v>
      </c>
      <c r="E62" s="1">
        <v>7.6999999999999999E-2</v>
      </c>
      <c r="F62" s="1">
        <v>0</v>
      </c>
      <c r="G62" s="1">
        <v>7.23</v>
      </c>
      <c r="H62" s="1">
        <v>6.9080999999999995E-8</v>
      </c>
      <c r="I62" s="1">
        <f t="shared" si="0"/>
        <v>6.9080999999999995E-8</v>
      </c>
      <c r="J62" s="4">
        <f t="shared" si="2"/>
        <v>0</v>
      </c>
      <c r="K62" s="4">
        <f t="shared" si="3"/>
        <v>0</v>
      </c>
      <c r="L62" s="4">
        <f t="shared" si="4"/>
        <v>0</v>
      </c>
      <c r="M62" s="4">
        <f t="shared" si="8"/>
        <v>0</v>
      </c>
      <c r="N62" s="5">
        <f t="shared" si="5"/>
        <v>1.7999999999999999E-6</v>
      </c>
      <c r="O62" s="5">
        <f t="shared" si="6"/>
        <v>0</v>
      </c>
      <c r="P62" s="5">
        <f t="shared" si="7"/>
        <v>0</v>
      </c>
      <c r="Q62" s="1">
        <f t="shared" si="1"/>
        <v>1.7999999999999999E-6</v>
      </c>
    </row>
    <row r="63" spans="1:17" x14ac:dyDescent="0.25">
      <c r="A63" s="1">
        <v>3.05</v>
      </c>
      <c r="B63" s="1">
        <v>7.0000000000000007E-2</v>
      </c>
      <c r="C63" s="1">
        <v>0</v>
      </c>
      <c r="D63" s="1">
        <v>0</v>
      </c>
      <c r="E63" s="1">
        <v>7.6999999999999999E-2</v>
      </c>
      <c r="F63" s="1">
        <v>0</v>
      </c>
      <c r="G63" s="1">
        <v>7.23</v>
      </c>
      <c r="H63" s="1">
        <v>6.9080999999999995E-8</v>
      </c>
      <c r="I63" s="1">
        <f t="shared" si="0"/>
        <v>6.9080999999999995E-8</v>
      </c>
      <c r="J63" s="4">
        <f t="shared" si="2"/>
        <v>0</v>
      </c>
      <c r="K63" s="4">
        <f t="shared" si="3"/>
        <v>0</v>
      </c>
      <c r="L63" s="4">
        <f t="shared" si="4"/>
        <v>0</v>
      </c>
      <c r="M63" s="4">
        <f t="shared" si="8"/>
        <v>0</v>
      </c>
      <c r="N63" s="5">
        <f t="shared" si="5"/>
        <v>1.7999999999999999E-6</v>
      </c>
      <c r="O63" s="5">
        <f t="shared" si="6"/>
        <v>0</v>
      </c>
      <c r="P63" s="5">
        <f t="shared" si="7"/>
        <v>0</v>
      </c>
      <c r="Q63" s="1">
        <f t="shared" si="1"/>
        <v>1.7999999999999999E-6</v>
      </c>
    </row>
    <row r="64" spans="1:17" x14ac:dyDescent="0.25">
      <c r="A64" s="1">
        <v>3.1</v>
      </c>
      <c r="B64" s="1">
        <v>6.9903999999999994E-2</v>
      </c>
      <c r="C64" s="1">
        <v>7.1422999999999997E-5</v>
      </c>
      <c r="D64" s="1">
        <v>1.2279999999999999E-5</v>
      </c>
      <c r="E64" s="1">
        <v>7.6939999999999995E-2</v>
      </c>
      <c r="F64" s="1">
        <v>1.2897E-8</v>
      </c>
      <c r="G64" s="1">
        <v>7.2291999999999996</v>
      </c>
      <c r="H64" s="1">
        <v>6.9183000000000005E-8</v>
      </c>
      <c r="I64" s="1">
        <f t="shared" si="0"/>
        <v>6.9183000000000005E-8</v>
      </c>
      <c r="J64" s="4">
        <f t="shared" si="2"/>
        <v>0</v>
      </c>
      <c r="K64" s="4">
        <f t="shared" si="3"/>
        <v>0</v>
      </c>
      <c r="L64" s="4">
        <f t="shared" si="4"/>
        <v>0</v>
      </c>
      <c r="M64" s="4">
        <f t="shared" si="8"/>
        <v>0</v>
      </c>
      <c r="N64" s="5">
        <f t="shared" si="5"/>
        <v>1.7999999999999999E-6</v>
      </c>
      <c r="O64" s="5">
        <f t="shared" si="6"/>
        <v>0</v>
      </c>
      <c r="P64" s="5">
        <f t="shared" si="7"/>
        <v>0</v>
      </c>
      <c r="Q64" s="1">
        <f t="shared" si="1"/>
        <v>1.7999999999999999E-6</v>
      </c>
    </row>
    <row r="65" spans="1:17" x14ac:dyDescent="0.25">
      <c r="A65" s="1">
        <v>3.15</v>
      </c>
      <c r="B65" s="1">
        <v>6.9807999999999995E-2</v>
      </c>
      <c r="C65" s="1">
        <v>1.2354999999999999E-4</v>
      </c>
      <c r="D65" s="1">
        <v>3.4184999999999999E-5</v>
      </c>
      <c r="E65" s="1">
        <v>7.6866000000000004E-2</v>
      </c>
      <c r="F65" s="1">
        <v>2.2358000000000001E-8</v>
      </c>
      <c r="G65" s="1">
        <v>7.2282999999999999</v>
      </c>
      <c r="H65" s="1">
        <v>6.9307E-8</v>
      </c>
      <c r="I65" s="1">
        <f t="shared" si="0"/>
        <v>6.9307E-8</v>
      </c>
      <c r="J65" s="4">
        <f t="shared" si="2"/>
        <v>-2.9939869619999887E-11</v>
      </c>
      <c r="K65" s="4">
        <f t="shared" si="3"/>
        <v>0</v>
      </c>
      <c r="L65" s="4">
        <f t="shared" si="4"/>
        <v>-7.4124449945999739E-9</v>
      </c>
      <c r="M65" s="4">
        <f t="shared" si="8"/>
        <v>0</v>
      </c>
      <c r="N65" s="5">
        <f t="shared" si="5"/>
        <v>1.7925576151357799E-6</v>
      </c>
      <c r="O65" s="5">
        <f t="shared" si="6"/>
        <v>2.9939869619999887E-11</v>
      </c>
      <c r="P65" s="5">
        <f t="shared" si="7"/>
        <v>7.4124449945999739E-9</v>
      </c>
      <c r="Q65" s="1">
        <f t="shared" si="1"/>
        <v>1.7999999999999999E-6</v>
      </c>
    </row>
    <row r="66" spans="1:17" x14ac:dyDescent="0.25">
      <c r="A66" s="1">
        <v>3.2</v>
      </c>
      <c r="B66" s="1">
        <v>6.9711999999999996E-2</v>
      </c>
      <c r="C66" s="1">
        <v>1.6818000000000001E-4</v>
      </c>
      <c r="D66" s="1">
        <v>5.9811E-5</v>
      </c>
      <c r="E66" s="1">
        <v>7.6787999999999995E-2</v>
      </c>
      <c r="F66" s="1">
        <v>3.0505000000000001E-8</v>
      </c>
      <c r="G66" s="1">
        <v>7.2272999999999996</v>
      </c>
      <c r="H66" s="1">
        <v>6.9440000000000005E-8</v>
      </c>
      <c r="I66" s="1">
        <f t="shared" si="0"/>
        <v>6.9440000000000005E-8</v>
      </c>
      <c r="J66" s="4">
        <f t="shared" si="2"/>
        <v>-8.9606399463352726E-11</v>
      </c>
      <c r="K66" s="4">
        <f t="shared" si="3"/>
        <v>-5.8382745759000098E-13</v>
      </c>
      <c r="L66" s="4">
        <f t="shared" si="4"/>
        <v>-1.2784638531967438E-8</v>
      </c>
      <c r="M66" s="4">
        <f t="shared" si="8"/>
        <v>-5.3942104150278021E-11</v>
      </c>
      <c r="N66" s="5">
        <f t="shared" si="5"/>
        <v>1.7796839540318068E-6</v>
      </c>
      <c r="O66" s="5">
        <f t="shared" si="6"/>
        <v>1.7290454577604061E-10</v>
      </c>
      <c r="P66" s="5">
        <f t="shared" si="7"/>
        <v>2.0143141422417133E-8</v>
      </c>
      <c r="Q66" s="1">
        <f t="shared" si="1"/>
        <v>1.8000000000000001E-6</v>
      </c>
    </row>
    <row r="67" spans="1:17" x14ac:dyDescent="0.25">
      <c r="A67" s="1">
        <v>3.25</v>
      </c>
      <c r="B67" s="1">
        <v>6.9615999999999997E-2</v>
      </c>
      <c r="C67" s="1">
        <v>2.0849E-4</v>
      </c>
      <c r="D67" s="1">
        <v>8.7569000000000001E-5</v>
      </c>
      <c r="E67" s="1">
        <v>7.6706999999999997E-2</v>
      </c>
      <c r="F67" s="1">
        <v>3.7907999999999998E-8</v>
      </c>
      <c r="G67" s="1">
        <v>7.2262000000000004</v>
      </c>
      <c r="H67" s="1">
        <v>6.9578000000000003E-8</v>
      </c>
      <c r="I67" s="1">
        <f t="shared" ref="I67:I130" si="9">H67</f>
        <v>6.9578000000000003E-8</v>
      </c>
      <c r="J67" s="4">
        <f t="shared" ref="J67:J130" si="10">(-$T$4*F66^2*N66)*(A67-A66)</f>
        <v>-1.656093846336161E-10</v>
      </c>
      <c r="K67" s="4">
        <f t="shared" ref="K67:K130" si="11">-O66*$T$7*(A67-A66)</f>
        <v>-3.3716386426327801E-12</v>
      </c>
      <c r="L67" s="4">
        <f t="shared" ref="L67:L130" si="12">-$T$5*F66*E66*(A67-A66)*N66</f>
        <v>-1.7300369029035033E-8</v>
      </c>
      <c r="M67" s="4">
        <f t="shared" si="8"/>
        <v>-1.4686767273912729E-10</v>
      </c>
      <c r="N67" s="5">
        <f t="shared" si="5"/>
        <v>1.7622213472567809E-6</v>
      </c>
      <c r="O67" s="5">
        <f t="shared" si="6"/>
        <v>4.8200996450615117E-10</v>
      </c>
      <c r="P67" s="5">
        <f t="shared" si="7"/>
        <v>3.7296642778713041E-8</v>
      </c>
      <c r="Q67" s="1">
        <f t="shared" ref="Q67:Q130" si="13">N67+O67+P67</f>
        <v>1.8000000000000001E-6</v>
      </c>
    </row>
    <row r="68" spans="1:17" x14ac:dyDescent="0.25">
      <c r="A68" s="1">
        <v>3.3</v>
      </c>
      <c r="B68" s="1">
        <v>6.9520999999999999E-2</v>
      </c>
      <c r="C68" s="1">
        <v>2.4590000000000001E-4</v>
      </c>
      <c r="D68" s="1">
        <v>1.1675000000000001E-4</v>
      </c>
      <c r="E68" s="1">
        <v>7.6622999999999997E-2</v>
      </c>
      <c r="F68" s="1">
        <v>4.4818999999999999E-8</v>
      </c>
      <c r="G68" s="1">
        <v>7.2252000000000001</v>
      </c>
      <c r="H68" s="1">
        <v>6.9719000000000004E-8</v>
      </c>
      <c r="I68" s="1">
        <f t="shared" si="9"/>
        <v>6.9719000000000004E-8</v>
      </c>
      <c r="J68" s="4">
        <f t="shared" si="10"/>
        <v>-2.5323410892202461E-10</v>
      </c>
      <c r="K68" s="4">
        <f t="shared" si="11"/>
        <v>-9.3991943078699156E-12</v>
      </c>
      <c r="L68" s="4">
        <f t="shared" si="12"/>
        <v>-2.1265442516431684E-8</v>
      </c>
      <c r="M68" s="4">
        <f t="shared" ref="M68:M131" si="14">-P67*$T$8*I67*(A68-A67)</f>
        <v>-2.724777101820151E-10</v>
      </c>
      <c r="N68" s="5">
        <f t="shared" ref="N68:N131" si="15">N67+J68-K68+L68</f>
        <v>1.7407120698257349E-6</v>
      </c>
      <c r="O68" s="5">
        <f t="shared" ref="O68:O131" si="16">-J68+O67+K68-M68</f>
        <v>9.9832258930232101E-10</v>
      </c>
      <c r="P68" s="5">
        <f t="shared" ref="P68:P131" si="17">P67-L68+M68</f>
        <v>5.8289607584962705E-8</v>
      </c>
      <c r="Q68" s="1">
        <f t="shared" si="13"/>
        <v>1.7999999999999999E-6</v>
      </c>
    </row>
    <row r="69" spans="1:17" x14ac:dyDescent="0.25">
      <c r="A69" s="1">
        <v>3.35</v>
      </c>
      <c r="B69" s="1">
        <v>6.9425000000000001E-2</v>
      </c>
      <c r="C69" s="1">
        <v>2.8119000000000001E-4</v>
      </c>
      <c r="D69" s="1">
        <v>1.4695999999999999E-4</v>
      </c>
      <c r="E69" s="1">
        <v>7.6538999999999996E-2</v>
      </c>
      <c r="F69" s="1">
        <v>5.1377999999999999E-8</v>
      </c>
      <c r="G69" s="1">
        <v>7.2241</v>
      </c>
      <c r="H69" s="1">
        <v>6.9861999999999994E-8</v>
      </c>
      <c r="I69" s="1">
        <f t="shared" si="9"/>
        <v>6.9861999999999994E-8</v>
      </c>
      <c r="J69" s="4">
        <f t="shared" si="10"/>
        <v>-3.49664276924779E-10</v>
      </c>
      <c r="K69" s="4">
        <f t="shared" si="11"/>
        <v>-1.9467290491395362E-11</v>
      </c>
      <c r="L69" s="4">
        <f t="shared" si="12"/>
        <v>-2.4808262666915921E-8</v>
      </c>
      <c r="M69" s="4">
        <f t="shared" si="14"/>
        <v>-4.2670878087768383E-10</v>
      </c>
      <c r="N69" s="5">
        <f t="shared" si="15"/>
        <v>1.7155736101723857E-6</v>
      </c>
      <c r="O69" s="5">
        <f t="shared" si="16"/>
        <v>1.7552283566133887E-9</v>
      </c>
      <c r="P69" s="5">
        <f t="shared" si="17"/>
        <v>8.2671161471000943E-8</v>
      </c>
      <c r="Q69" s="1">
        <f t="shared" si="13"/>
        <v>1.7999999999999999E-6</v>
      </c>
    </row>
    <row r="70" spans="1:17" x14ac:dyDescent="0.25">
      <c r="A70" s="1">
        <v>3.4</v>
      </c>
      <c r="B70" s="1">
        <v>6.9329000000000002E-2</v>
      </c>
      <c r="C70" s="1">
        <v>3.1482999999999999E-4</v>
      </c>
      <c r="D70" s="1">
        <v>1.7796000000000001E-4</v>
      </c>
      <c r="E70" s="1">
        <v>7.6452999999999993E-2</v>
      </c>
      <c r="F70" s="1">
        <v>5.7671000000000001E-8</v>
      </c>
      <c r="G70" s="1">
        <v>7.2229999999999999</v>
      </c>
      <c r="H70" s="1">
        <v>7.0006999999999999E-8</v>
      </c>
      <c r="I70" s="1">
        <f t="shared" si="9"/>
        <v>7.0006999999999999E-8</v>
      </c>
      <c r="J70" s="4">
        <f t="shared" si="10"/>
        <v>-4.5285977441918811E-10</v>
      </c>
      <c r="K70" s="4">
        <f t="shared" si="11"/>
        <v>-3.4226952953960956E-11</v>
      </c>
      <c r="L70" s="4">
        <f t="shared" si="12"/>
        <v>-2.79973825836392E-8</v>
      </c>
      <c r="M70" s="4">
        <f t="shared" si="14"/>
        <v>-6.0643513168213996E-10</v>
      </c>
      <c r="N70" s="5">
        <f t="shared" si="15"/>
        <v>1.6871575947672814E-6</v>
      </c>
      <c r="O70" s="5">
        <f t="shared" si="16"/>
        <v>2.7802963097607557E-9</v>
      </c>
      <c r="P70" s="5">
        <f t="shared" si="17"/>
        <v>1.1006210892295801E-7</v>
      </c>
      <c r="Q70" s="1">
        <f t="shared" si="13"/>
        <v>1.8000000000000001E-6</v>
      </c>
    </row>
    <row r="71" spans="1:17" x14ac:dyDescent="0.25">
      <c r="A71" s="1">
        <v>3.45</v>
      </c>
      <c r="B71" s="1">
        <v>6.9234000000000004E-2</v>
      </c>
      <c r="C71" s="1">
        <v>3.4716E-4</v>
      </c>
      <c r="D71" s="1">
        <v>2.0959E-4</v>
      </c>
      <c r="E71" s="1">
        <v>7.6366000000000003E-2</v>
      </c>
      <c r="F71" s="1">
        <v>6.3754000000000003E-8</v>
      </c>
      <c r="G71" s="1">
        <v>7.2218999999999998</v>
      </c>
      <c r="H71" s="1">
        <v>7.0153999999999994E-8</v>
      </c>
      <c r="I71" s="1">
        <f t="shared" si="9"/>
        <v>7.0153999999999994E-8</v>
      </c>
      <c r="J71" s="4">
        <f t="shared" si="10"/>
        <v>-5.6113920859756819E-10</v>
      </c>
      <c r="K71" s="4">
        <f t="shared" si="11"/>
        <v>-5.4215778040335027E-11</v>
      </c>
      <c r="L71" s="4">
        <f t="shared" si="12"/>
        <v>-3.0871359963738435E-8</v>
      </c>
      <c r="M71" s="4">
        <f t="shared" si="14"/>
        <v>-8.09037396233804E-10</v>
      </c>
      <c r="N71" s="5">
        <f t="shared" si="15"/>
        <v>1.6557793113729858E-6</v>
      </c>
      <c r="O71" s="5">
        <f t="shared" si="16"/>
        <v>4.0962571365517927E-9</v>
      </c>
      <c r="P71" s="5">
        <f t="shared" si="17"/>
        <v>1.4012443149046264E-7</v>
      </c>
      <c r="Q71" s="1">
        <f t="shared" si="13"/>
        <v>1.8000000000000003E-6</v>
      </c>
    </row>
    <row r="72" spans="1:17" x14ac:dyDescent="0.25">
      <c r="A72" s="1">
        <v>3.5</v>
      </c>
      <c r="B72" s="1">
        <v>6.9138000000000005E-2</v>
      </c>
      <c r="C72" s="1">
        <v>3.7839999999999998E-4</v>
      </c>
      <c r="D72" s="1">
        <v>2.4173E-4</v>
      </c>
      <c r="E72" s="1">
        <v>7.6279E-2</v>
      </c>
      <c r="F72" s="1">
        <v>6.9666999999999998E-8</v>
      </c>
      <c r="G72" s="1">
        <v>7.2207999999999997</v>
      </c>
      <c r="H72" s="1">
        <v>7.0302000000000003E-8</v>
      </c>
      <c r="I72" s="1">
        <f t="shared" si="9"/>
        <v>7.0302000000000003E-8</v>
      </c>
      <c r="J72" s="4">
        <f t="shared" si="10"/>
        <v>-6.730035081568021E-10</v>
      </c>
      <c r="K72" s="4">
        <f t="shared" si="11"/>
        <v>-7.9877014162759671E-11</v>
      </c>
      <c r="L72" s="4">
        <f t="shared" si="12"/>
        <v>-3.3454768563728507E-8</v>
      </c>
      <c r="M72" s="4">
        <f t="shared" si="14"/>
        <v>-1.0321803835120973E-9</v>
      </c>
      <c r="N72" s="5">
        <f t="shared" si="15"/>
        <v>1.6217314163152632E-6</v>
      </c>
      <c r="O72" s="5">
        <f t="shared" si="16"/>
        <v>5.7215640140579327E-9</v>
      </c>
      <c r="P72" s="5">
        <f t="shared" si="17"/>
        <v>1.7254701967067905E-7</v>
      </c>
      <c r="Q72" s="1">
        <f t="shared" si="13"/>
        <v>1.8000000000000001E-6</v>
      </c>
    </row>
    <row r="73" spans="1:17" x14ac:dyDescent="0.25">
      <c r="A73" s="1">
        <v>3.55</v>
      </c>
      <c r="B73" s="1">
        <v>6.9042999999999993E-2</v>
      </c>
      <c r="C73" s="1">
        <v>4.0871000000000001E-4</v>
      </c>
      <c r="D73" s="1">
        <v>2.7430999999999999E-4</v>
      </c>
      <c r="E73" s="1">
        <v>7.6190999999999995E-2</v>
      </c>
      <c r="F73" s="1">
        <v>7.5440000000000006E-8</v>
      </c>
      <c r="G73" s="1">
        <v>7.2196999999999996</v>
      </c>
      <c r="H73" s="1">
        <v>7.0451E-8</v>
      </c>
      <c r="I73" s="1">
        <f t="shared" si="9"/>
        <v>7.0451E-8</v>
      </c>
      <c r="J73" s="4">
        <f t="shared" si="10"/>
        <v>-7.8710586534911682E-10</v>
      </c>
      <c r="K73" s="4">
        <f t="shared" si="11"/>
        <v>-1.115704982741293E-10</v>
      </c>
      <c r="L73" s="4">
        <f t="shared" si="12"/>
        <v>-3.5765073916962971E-8</v>
      </c>
      <c r="M73" s="4">
        <f t="shared" si="14"/>
        <v>-1.2736920605732439E-9</v>
      </c>
      <c r="N73" s="5">
        <f t="shared" si="15"/>
        <v>1.5852908070312253E-6</v>
      </c>
      <c r="O73" s="5">
        <f t="shared" si="16"/>
        <v>7.6707914417061646E-9</v>
      </c>
      <c r="P73" s="5">
        <f t="shared" si="17"/>
        <v>2.070384015270688E-7</v>
      </c>
      <c r="Q73" s="1">
        <f t="shared" si="13"/>
        <v>1.8000000000000003E-6</v>
      </c>
    </row>
    <row r="74" spans="1:17" x14ac:dyDescent="0.25">
      <c r="A74" s="1">
        <v>3.6</v>
      </c>
      <c r="B74" s="1">
        <v>6.8947999999999995E-2</v>
      </c>
      <c r="C74" s="1">
        <v>4.3822000000000002E-4</v>
      </c>
      <c r="D74" s="1">
        <v>3.0725000000000001E-4</v>
      </c>
      <c r="E74" s="1">
        <v>7.6103000000000004E-2</v>
      </c>
      <c r="F74" s="1">
        <v>8.1096E-8</v>
      </c>
      <c r="G74" s="1">
        <v>7.2186000000000003</v>
      </c>
      <c r="H74" s="1">
        <v>7.0599999999999997E-8</v>
      </c>
      <c r="I74" s="1">
        <f t="shared" si="9"/>
        <v>7.0599999999999997E-8</v>
      </c>
      <c r="J74" s="4">
        <f t="shared" si="10"/>
        <v>-9.0221968951149937E-10</v>
      </c>
      <c r="K74" s="4">
        <f t="shared" si="11"/>
        <v>-1.4958043311327101E-10</v>
      </c>
      <c r="L74" s="4">
        <f t="shared" si="12"/>
        <v>-3.7814850809758505E-8</v>
      </c>
      <c r="M74" s="4">
        <f t="shared" si="14"/>
        <v>-1.5315365547282781E-9</v>
      </c>
      <c r="N74" s="5">
        <f t="shared" si="15"/>
        <v>1.5467233169650685E-6</v>
      </c>
      <c r="O74" s="5">
        <f t="shared" si="16"/>
        <v>9.9549672528326725E-9</v>
      </c>
      <c r="P74" s="5">
        <f t="shared" si="17"/>
        <v>2.4332171578209904E-7</v>
      </c>
      <c r="Q74" s="1">
        <f t="shared" si="13"/>
        <v>1.8000000000000001E-6</v>
      </c>
    </row>
    <row r="75" spans="1:17" x14ac:dyDescent="0.25">
      <c r="A75" s="1">
        <v>3.65</v>
      </c>
      <c r="B75" s="1">
        <v>6.8851999999999997E-2</v>
      </c>
      <c r="C75" s="1">
        <v>4.6704E-4</v>
      </c>
      <c r="D75" s="1">
        <v>3.4050999999999998E-4</v>
      </c>
      <c r="E75" s="1">
        <v>7.6014999999999999E-2</v>
      </c>
      <c r="F75" s="1">
        <v>8.6650999999999999E-8</v>
      </c>
      <c r="G75" s="1">
        <v>7.2175000000000002</v>
      </c>
      <c r="H75" s="1">
        <v>7.0749999999999995E-8</v>
      </c>
      <c r="I75" s="1">
        <f t="shared" si="9"/>
        <v>7.0749999999999995E-8</v>
      </c>
      <c r="J75" s="4">
        <f t="shared" si="10"/>
        <v>-1.017212057823531E-9</v>
      </c>
      <c r="K75" s="4">
        <f t="shared" si="11"/>
        <v>-1.9412186143023644E-10</v>
      </c>
      <c r="L75" s="4">
        <f t="shared" si="12"/>
        <v>-3.9615207942643079E-8</v>
      </c>
      <c r="M75" s="4">
        <f t="shared" si="14"/>
        <v>-1.8037438790926938E-9</v>
      </c>
      <c r="N75" s="5">
        <f t="shared" si="15"/>
        <v>1.506285018826032E-6</v>
      </c>
      <c r="O75" s="5">
        <f t="shared" si="16"/>
        <v>1.2581801328318662E-8</v>
      </c>
      <c r="P75" s="5">
        <f t="shared" si="17"/>
        <v>2.8113317984564945E-7</v>
      </c>
      <c r="Q75" s="1">
        <f t="shared" si="13"/>
        <v>1.8000000000000001E-6</v>
      </c>
    </row>
    <row r="76" spans="1:17" x14ac:dyDescent="0.25">
      <c r="A76" s="1">
        <v>3.7</v>
      </c>
      <c r="B76" s="1">
        <v>6.8756999999999999E-2</v>
      </c>
      <c r="C76" s="1">
        <v>4.9525000000000003E-4</v>
      </c>
      <c r="D76" s="1">
        <v>3.7404000000000002E-4</v>
      </c>
      <c r="E76" s="1">
        <v>7.5925999999999993E-2</v>
      </c>
      <c r="F76" s="1">
        <v>9.2120999999999995E-8</v>
      </c>
      <c r="G76" s="1">
        <v>7.2163000000000004</v>
      </c>
      <c r="H76" s="1">
        <v>7.0900999999999994E-8</v>
      </c>
      <c r="I76" s="1">
        <f t="shared" si="9"/>
        <v>7.0900999999999994E-8</v>
      </c>
      <c r="J76" s="4">
        <f t="shared" si="10"/>
        <v>-1.1309784110462647E-9</v>
      </c>
      <c r="K76" s="4">
        <f t="shared" si="11"/>
        <v>-2.4534512590221523E-10</v>
      </c>
      <c r="L76" s="4">
        <f t="shared" si="12"/>
        <v>-4.1174480877321604E-8</v>
      </c>
      <c r="M76" s="4">
        <f t="shared" si="14"/>
        <v>-2.0884681097783793E-9</v>
      </c>
      <c r="N76" s="5">
        <f t="shared" si="15"/>
        <v>1.4642249046635663E-6</v>
      </c>
      <c r="O76" s="5">
        <f t="shared" si="16"/>
        <v>1.5555902723241089E-8</v>
      </c>
      <c r="P76" s="5">
        <f t="shared" si="17"/>
        <v>3.2021919261319269E-7</v>
      </c>
      <c r="Q76" s="1">
        <f t="shared" si="13"/>
        <v>1.7999999999999999E-6</v>
      </c>
    </row>
    <row r="77" spans="1:17" x14ac:dyDescent="0.25">
      <c r="A77" s="1">
        <v>3.75</v>
      </c>
      <c r="B77" s="1">
        <v>6.8662000000000001E-2</v>
      </c>
      <c r="C77" s="1">
        <v>5.2289999999999997E-4</v>
      </c>
      <c r="D77" s="1">
        <v>4.0781999999999998E-4</v>
      </c>
      <c r="E77" s="1">
        <v>7.5836000000000001E-2</v>
      </c>
      <c r="F77" s="1">
        <v>9.7514999999999997E-8</v>
      </c>
      <c r="G77" s="1">
        <v>7.2152000000000003</v>
      </c>
      <c r="H77" s="1">
        <v>7.1052999999999994E-8</v>
      </c>
      <c r="I77" s="1">
        <f t="shared" si="9"/>
        <v>7.1052999999999994E-8</v>
      </c>
      <c r="J77" s="4">
        <f t="shared" si="10"/>
        <v>-1.2425820534066638E-9</v>
      </c>
      <c r="K77" s="4">
        <f t="shared" si="11"/>
        <v>-3.0334010310320016E-10</v>
      </c>
      <c r="L77" s="4">
        <f t="shared" si="12"/>
        <v>-4.2501577566012158E-8</v>
      </c>
      <c r="M77" s="4">
        <f t="shared" si="14"/>
        <v>-2.3839054024241285E-9</v>
      </c>
      <c r="N77" s="5">
        <f t="shared" si="15"/>
        <v>1.4207840851472507E-6</v>
      </c>
      <c r="O77" s="5">
        <f t="shared" si="16"/>
        <v>1.887905007596868E-8</v>
      </c>
      <c r="P77" s="5">
        <f t="shared" si="17"/>
        <v>3.6033686477678074E-7</v>
      </c>
      <c r="Q77" s="1">
        <f t="shared" si="13"/>
        <v>1.8000000000000001E-6</v>
      </c>
    </row>
    <row r="78" spans="1:17" x14ac:dyDescent="0.25">
      <c r="A78" s="1">
        <v>3.8</v>
      </c>
      <c r="B78" s="1">
        <v>6.8567000000000003E-2</v>
      </c>
      <c r="C78" s="1">
        <v>5.5006E-4</v>
      </c>
      <c r="D78" s="1">
        <v>4.4181999999999999E-4</v>
      </c>
      <c r="E78" s="1">
        <v>7.5746999999999995E-2</v>
      </c>
      <c r="F78" s="1">
        <v>1.0284E-7</v>
      </c>
      <c r="G78" s="1">
        <v>7.2141000000000002</v>
      </c>
      <c r="H78" s="1">
        <v>7.1203999999999994E-8</v>
      </c>
      <c r="I78" s="1">
        <f t="shared" si="9"/>
        <v>7.1203999999999994E-8</v>
      </c>
      <c r="J78" s="4">
        <f t="shared" si="10"/>
        <v>-1.3510484822556478E-9</v>
      </c>
      <c r="K78" s="4">
        <f t="shared" si="11"/>
        <v>-3.6814147648138797E-10</v>
      </c>
      <c r="L78" s="4">
        <f t="shared" si="12"/>
        <v>-4.3603667918413394E-8</v>
      </c>
      <c r="M78" s="4">
        <f t="shared" si="14"/>
        <v>-2.6883166015633737E-9</v>
      </c>
      <c r="N78" s="5">
        <f t="shared" si="15"/>
        <v>1.3761975102230631E-6</v>
      </c>
      <c r="O78" s="5">
        <f t="shared" si="16"/>
        <v>2.2550273683306314E-8</v>
      </c>
      <c r="P78" s="5">
        <f t="shared" si="17"/>
        <v>4.0125221609363072E-7</v>
      </c>
      <c r="Q78" s="1">
        <f t="shared" si="13"/>
        <v>1.8000000000000001E-6</v>
      </c>
    </row>
    <row r="79" spans="1:17" x14ac:dyDescent="0.25">
      <c r="A79" s="1">
        <v>3.85</v>
      </c>
      <c r="B79" s="1">
        <v>6.8472000000000005E-2</v>
      </c>
      <c r="C79" s="1">
        <v>5.7675999999999995E-4</v>
      </c>
      <c r="D79" s="1">
        <v>4.7600000000000002E-4</v>
      </c>
      <c r="E79" s="1">
        <v>7.5657000000000002E-2</v>
      </c>
      <c r="F79" s="1">
        <v>1.0812E-7</v>
      </c>
      <c r="G79" s="1">
        <v>7.2130000000000001</v>
      </c>
      <c r="H79" s="1">
        <v>7.1356999999999995E-8</v>
      </c>
      <c r="I79" s="1">
        <f t="shared" si="9"/>
        <v>7.1356999999999995E-8</v>
      </c>
      <c r="J79" s="4">
        <f t="shared" si="10"/>
        <v>-1.4554755146675863E-9</v>
      </c>
      <c r="K79" s="4">
        <f t="shared" si="11"/>
        <v>-4.3973033682447545E-10</v>
      </c>
      <c r="L79" s="4">
        <f t="shared" si="12"/>
        <v>-4.4489381642311497E-8</v>
      </c>
      <c r="M79" s="4">
        <f t="shared" si="14"/>
        <v>-2.999930093446758E-9</v>
      </c>
      <c r="N79" s="5">
        <f t="shared" si="15"/>
        <v>1.3306923834029084E-6</v>
      </c>
      <c r="O79" s="5">
        <f t="shared" si="16"/>
        <v>2.6565948954596183E-8</v>
      </c>
      <c r="P79" s="5">
        <f t="shared" si="17"/>
        <v>4.4274166764249547E-7</v>
      </c>
      <c r="Q79" s="1">
        <f t="shared" si="13"/>
        <v>1.8000000000000001E-6</v>
      </c>
    </row>
    <row r="80" spans="1:17" x14ac:dyDescent="0.25">
      <c r="A80" s="1">
        <v>3.9</v>
      </c>
      <c r="B80" s="1">
        <v>6.8376999999999993E-2</v>
      </c>
      <c r="C80" s="1">
        <v>6.0305999999999999E-4</v>
      </c>
      <c r="D80" s="1">
        <v>5.1037000000000001E-4</v>
      </c>
      <c r="E80" s="1">
        <v>7.5566999999999995E-2</v>
      </c>
      <c r="F80" s="1">
        <v>1.1333999999999999E-7</v>
      </c>
      <c r="G80" s="1">
        <v>7.2119</v>
      </c>
      <c r="H80" s="1">
        <v>7.1508999999999995E-8</v>
      </c>
      <c r="I80" s="1">
        <f t="shared" si="9"/>
        <v>7.1508999999999995E-8</v>
      </c>
      <c r="J80" s="4">
        <f t="shared" si="10"/>
        <v>-1.5555706668559594E-9</v>
      </c>
      <c r="K80" s="4">
        <f t="shared" si="11"/>
        <v>-5.1803600461462378E-10</v>
      </c>
      <c r="L80" s="4">
        <f t="shared" si="12"/>
        <v>-4.5173206738867319E-8</v>
      </c>
      <c r="M80" s="4">
        <f t="shared" si="14"/>
        <v>-3.3172353036863707E-9</v>
      </c>
      <c r="N80" s="5">
        <f t="shared" si="15"/>
        <v>1.2844816420017998E-6</v>
      </c>
      <c r="O80" s="5">
        <f t="shared" si="16"/>
        <v>3.0920718920523894E-8</v>
      </c>
      <c r="P80" s="5">
        <f t="shared" si="17"/>
        <v>4.8459763907767641E-7</v>
      </c>
      <c r="Q80" s="1">
        <f t="shared" si="13"/>
        <v>1.8000000000000001E-6</v>
      </c>
    </row>
    <row r="81" spans="1:17" x14ac:dyDescent="0.25">
      <c r="A81" s="1">
        <v>3.95</v>
      </c>
      <c r="B81" s="1">
        <v>6.8281999999999995E-2</v>
      </c>
      <c r="C81" s="1">
        <v>6.2896999999999996E-4</v>
      </c>
      <c r="D81" s="1">
        <v>5.4489000000000002E-4</v>
      </c>
      <c r="E81" s="1">
        <v>7.5477000000000002E-2</v>
      </c>
      <c r="F81" s="1">
        <v>1.1850999999999999E-7</v>
      </c>
      <c r="G81" s="1">
        <v>7.2107000000000001</v>
      </c>
      <c r="H81" s="1">
        <v>7.1661999999999997E-8</v>
      </c>
      <c r="I81" s="1">
        <f t="shared" si="9"/>
        <v>7.1661999999999997E-8</v>
      </c>
      <c r="J81" s="4">
        <f t="shared" si="10"/>
        <v>-1.6500394142170301E-9</v>
      </c>
      <c r="K81" s="4">
        <f t="shared" si="11"/>
        <v>-6.0295401895021918E-10</v>
      </c>
      <c r="L81" s="4">
        <f t="shared" si="12"/>
        <v>-4.565531965049179E-8</v>
      </c>
      <c r="M81" s="4">
        <f t="shared" si="14"/>
        <v>-3.6385747201446037E-9</v>
      </c>
      <c r="N81" s="5">
        <f t="shared" si="15"/>
        <v>1.2377792369560413E-6</v>
      </c>
      <c r="O81" s="5">
        <f t="shared" si="16"/>
        <v>3.5606379035935313E-8</v>
      </c>
      <c r="P81" s="5">
        <f t="shared" si="17"/>
        <v>5.2661438400802367E-7</v>
      </c>
      <c r="Q81" s="1">
        <f t="shared" si="13"/>
        <v>1.8000000000000001E-6</v>
      </c>
    </row>
    <row r="82" spans="1:17" x14ac:dyDescent="0.25">
      <c r="A82" s="1">
        <v>4</v>
      </c>
      <c r="B82" s="1">
        <v>6.8186999999999998E-2</v>
      </c>
      <c r="C82" s="1">
        <v>6.5452999999999996E-4</v>
      </c>
      <c r="D82" s="1">
        <v>5.7954999999999997E-4</v>
      </c>
      <c r="E82" s="1">
        <v>7.5385999999999995E-2</v>
      </c>
      <c r="F82" s="1">
        <v>1.2365E-7</v>
      </c>
      <c r="G82" s="1">
        <v>7.2096</v>
      </c>
      <c r="H82" s="1">
        <v>7.1815999999999999E-8</v>
      </c>
      <c r="I82" s="1">
        <f t="shared" si="9"/>
        <v>7.1815999999999999E-8</v>
      </c>
      <c r="J82" s="4">
        <f t="shared" si="10"/>
        <v>-1.7384139150715416E-9</v>
      </c>
      <c r="K82" s="4">
        <f t="shared" si="11"/>
        <v>-6.9432439120073615E-10</v>
      </c>
      <c r="L82" s="4">
        <f t="shared" si="12"/>
        <v>-4.5947397547177221E-8</v>
      </c>
      <c r="M82" s="4">
        <f t="shared" si="14"/>
        <v>-3.9625151986122E-9</v>
      </c>
      <c r="N82" s="5">
        <f t="shared" si="15"/>
        <v>1.1907877498849932E-6</v>
      </c>
      <c r="O82" s="5">
        <f t="shared" si="16"/>
        <v>4.0612983758418318E-8</v>
      </c>
      <c r="P82" s="5">
        <f t="shared" si="17"/>
        <v>5.6859926635658862E-7</v>
      </c>
      <c r="Q82" s="1">
        <f t="shared" si="13"/>
        <v>1.8000000000000001E-6</v>
      </c>
    </row>
    <row r="83" spans="1:17" x14ac:dyDescent="0.25">
      <c r="A83" s="1">
        <v>4.05</v>
      </c>
      <c r="B83" s="1">
        <v>6.8092E-2</v>
      </c>
      <c r="C83" s="1">
        <v>6.7975999999999996E-4</v>
      </c>
      <c r="D83" s="1">
        <v>6.1435000000000005E-4</v>
      </c>
      <c r="E83" s="1">
        <v>7.5296000000000002E-2</v>
      </c>
      <c r="F83" s="1">
        <v>1.2874E-7</v>
      </c>
      <c r="G83" s="1">
        <v>7.2084999999999999</v>
      </c>
      <c r="H83" s="1">
        <v>7.1969000000000001E-8</v>
      </c>
      <c r="I83" s="1">
        <f t="shared" si="9"/>
        <v>7.1969000000000001E-8</v>
      </c>
      <c r="J83" s="4">
        <f t="shared" si="10"/>
        <v>-1.8206337937040931E-9</v>
      </c>
      <c r="K83" s="4">
        <f t="shared" si="11"/>
        <v>-7.919531832891544E-10</v>
      </c>
      <c r="L83" s="4">
        <f t="shared" si="12"/>
        <v>-4.6064596972465318E-8</v>
      </c>
      <c r="M83" s="4">
        <f t="shared" si="14"/>
        <v>-4.2876251158297857E-9</v>
      </c>
      <c r="N83" s="5">
        <f t="shared" si="15"/>
        <v>1.143694472302113E-6</v>
      </c>
      <c r="O83" s="5">
        <f t="shared" si="16"/>
        <v>4.5929289484663044E-8</v>
      </c>
      <c r="P83" s="5">
        <f t="shared" si="17"/>
        <v>6.1037623821322424E-7</v>
      </c>
      <c r="Q83" s="1">
        <f t="shared" si="13"/>
        <v>1.8000000000000001E-6</v>
      </c>
    </row>
    <row r="84" spans="1:17" x14ac:dyDescent="0.25">
      <c r="A84" s="1">
        <v>4.0999999999999996</v>
      </c>
      <c r="B84" s="1">
        <v>6.7998000000000003E-2</v>
      </c>
      <c r="C84" s="1">
        <v>7.0467999999999995E-4</v>
      </c>
      <c r="D84" s="1">
        <v>6.4926000000000003E-4</v>
      </c>
      <c r="E84" s="1">
        <v>7.5204999999999994E-2</v>
      </c>
      <c r="F84" s="1">
        <v>1.3381000000000001E-7</v>
      </c>
      <c r="G84" s="1">
        <v>7.2073999999999998</v>
      </c>
      <c r="H84" s="1">
        <v>7.2123000000000003E-8</v>
      </c>
      <c r="I84" s="1">
        <f t="shared" si="9"/>
        <v>7.2123000000000003E-8</v>
      </c>
      <c r="J84" s="4">
        <f t="shared" si="10"/>
        <v>-1.8955578002123697E-9</v>
      </c>
      <c r="K84" s="4">
        <f t="shared" si="11"/>
        <v>-8.9562114495092626E-10</v>
      </c>
      <c r="L84" s="4">
        <f t="shared" si="12"/>
        <v>-4.6009077871514754E-8</v>
      </c>
      <c r="M84" s="4">
        <f t="shared" si="14"/>
        <v>-4.6124575862365754E-9</v>
      </c>
      <c r="N84" s="5">
        <f t="shared" si="15"/>
        <v>1.0966854577753368E-6</v>
      </c>
      <c r="O84" s="5">
        <f t="shared" si="16"/>
        <v>5.1541683726161062E-8</v>
      </c>
      <c r="P84" s="5">
        <f t="shared" si="17"/>
        <v>6.5177285849850235E-7</v>
      </c>
      <c r="Q84" s="1">
        <f t="shared" si="13"/>
        <v>1.8000000000000001E-6</v>
      </c>
    </row>
    <row r="85" spans="1:17" x14ac:dyDescent="0.25">
      <c r="A85" s="1">
        <v>4.1500000000000004</v>
      </c>
      <c r="B85" s="1">
        <v>6.7903000000000005E-2</v>
      </c>
      <c r="C85" s="1">
        <v>7.2931999999999999E-4</v>
      </c>
      <c r="D85" s="1">
        <v>6.8429000000000005E-4</v>
      </c>
      <c r="E85" s="1">
        <v>7.5114E-2</v>
      </c>
      <c r="F85" s="1">
        <v>1.3883999999999999E-7</v>
      </c>
      <c r="G85" s="1">
        <v>7.2062999999999997</v>
      </c>
      <c r="H85" s="1">
        <v>7.2277000000000006E-8</v>
      </c>
      <c r="I85" s="1">
        <f t="shared" si="9"/>
        <v>7.2277000000000006E-8</v>
      </c>
      <c r="J85" s="4">
        <f t="shared" si="10"/>
        <v>-1.9636280446649332E-9</v>
      </c>
      <c r="K85" s="4">
        <f t="shared" si="11"/>
        <v>-1.005062832660155E-9</v>
      </c>
      <c r="L85" s="4">
        <f t="shared" si="12"/>
        <v>-4.5799998913456324E-8</v>
      </c>
      <c r="M85" s="4">
        <f t="shared" si="14"/>
        <v>-4.9358204567162568E-9</v>
      </c>
      <c r="N85" s="5">
        <f t="shared" si="15"/>
        <v>1.0499268936498756E-6</v>
      </c>
      <c r="O85" s="5">
        <f t="shared" si="16"/>
        <v>5.7436069394882092E-8</v>
      </c>
      <c r="P85" s="5">
        <f t="shared" si="17"/>
        <v>6.926370369552425E-7</v>
      </c>
      <c r="Q85" s="1">
        <f t="shared" si="13"/>
        <v>1.8000000000000001E-6</v>
      </c>
    </row>
    <row r="86" spans="1:17" x14ac:dyDescent="0.25">
      <c r="A86" s="1">
        <v>4.2</v>
      </c>
      <c r="B86" s="1">
        <v>6.7807999999999993E-2</v>
      </c>
      <c r="C86" s="1">
        <v>7.5369E-4</v>
      </c>
      <c r="D86" s="1">
        <v>7.1942000000000002E-4</v>
      </c>
      <c r="E86" s="1">
        <v>7.5023000000000006E-2</v>
      </c>
      <c r="F86" s="1">
        <v>1.4385000000000001E-7</v>
      </c>
      <c r="G86" s="1">
        <v>7.2051999999999996</v>
      </c>
      <c r="H86" s="1">
        <v>7.2430999999999995E-8</v>
      </c>
      <c r="I86" s="1">
        <f t="shared" si="9"/>
        <v>7.2430999999999995E-8</v>
      </c>
      <c r="J86" s="4">
        <f t="shared" si="10"/>
        <v>-2.02389636421081E-9</v>
      </c>
      <c r="K86" s="4">
        <f t="shared" si="11"/>
        <v>-1.1200033532001969E-9</v>
      </c>
      <c r="L86" s="4">
        <f t="shared" si="12"/>
        <v>-4.5440452948035353E-8</v>
      </c>
      <c r="M86" s="4">
        <f t="shared" si="14"/>
        <v>-5.2564813476014588E-9</v>
      </c>
      <c r="N86" s="5">
        <f t="shared" si="15"/>
        <v>1.0035825476908296E-6</v>
      </c>
      <c r="O86" s="5">
        <f t="shared" si="16"/>
        <v>6.3596443753494174E-8</v>
      </c>
      <c r="P86" s="5">
        <f t="shared" si="17"/>
        <v>7.3282100855567645E-7</v>
      </c>
      <c r="Q86" s="1">
        <f t="shared" si="13"/>
        <v>1.8000000000000001E-6</v>
      </c>
    </row>
    <row r="87" spans="1:17" x14ac:dyDescent="0.25">
      <c r="A87" s="1">
        <v>4.25</v>
      </c>
      <c r="B87" s="1">
        <v>6.7713999999999996E-2</v>
      </c>
      <c r="C87" s="1">
        <v>7.7780000000000004E-4</v>
      </c>
      <c r="D87" s="1">
        <v>7.5464E-4</v>
      </c>
      <c r="E87" s="1">
        <v>7.4931999999999999E-2</v>
      </c>
      <c r="F87" s="1">
        <v>1.4882999999999999E-7</v>
      </c>
      <c r="G87" s="1">
        <v>7.2039999999999997</v>
      </c>
      <c r="H87" s="1">
        <v>7.2585999999999999E-8</v>
      </c>
      <c r="I87" s="1">
        <f t="shared" si="9"/>
        <v>7.2585999999999999E-8</v>
      </c>
      <c r="J87" s="4">
        <f t="shared" si="10"/>
        <v>-2.0766955523464048E-9</v>
      </c>
      <c r="K87" s="4">
        <f t="shared" si="11"/>
        <v>-1.2401306531931322E-9</v>
      </c>
      <c r="L87" s="4">
        <f t="shared" si="12"/>
        <v>-4.4947494699915895E-8</v>
      </c>
      <c r="M87" s="4">
        <f t="shared" si="14"/>
        <v>-5.5732906394230811E-9</v>
      </c>
      <c r="N87" s="5">
        <f t="shared" si="15"/>
        <v>9.5779848809176033E-7</v>
      </c>
      <c r="O87" s="5">
        <f t="shared" si="16"/>
        <v>7.0006299292070524E-8</v>
      </c>
      <c r="P87" s="5">
        <f t="shared" si="17"/>
        <v>7.7219521261616934E-7</v>
      </c>
      <c r="Q87" s="1">
        <f t="shared" si="13"/>
        <v>1.8000000000000001E-6</v>
      </c>
    </row>
    <row r="88" spans="1:17" x14ac:dyDescent="0.25">
      <c r="A88" s="1">
        <v>4.3</v>
      </c>
      <c r="B88" s="1">
        <v>6.7618999999999999E-2</v>
      </c>
      <c r="C88" s="1">
        <v>8.0166999999999999E-4</v>
      </c>
      <c r="D88" s="1">
        <v>7.8996000000000003E-4</v>
      </c>
      <c r="E88" s="1">
        <v>7.4841000000000005E-2</v>
      </c>
      <c r="F88" s="1">
        <v>1.5379E-7</v>
      </c>
      <c r="G88" s="1">
        <v>7.2028999999999996</v>
      </c>
      <c r="H88" s="1">
        <v>7.2740000000000002E-8</v>
      </c>
      <c r="I88" s="1">
        <f t="shared" si="9"/>
        <v>7.2740000000000002E-8</v>
      </c>
      <c r="J88" s="4">
        <f t="shared" si="10"/>
        <v>-2.1215589843094669E-9</v>
      </c>
      <c r="K88" s="4">
        <f t="shared" si="11"/>
        <v>-1.3651228361953703E-9</v>
      </c>
      <c r="L88" s="4">
        <f t="shared" si="12"/>
        <v>-4.4328195251021269E-8</v>
      </c>
      <c r="M88" s="4">
        <f t="shared" si="14"/>
        <v>-5.8853089788104918E-9</v>
      </c>
      <c r="N88" s="5">
        <f t="shared" si="15"/>
        <v>9.1271385669262502E-7</v>
      </c>
      <c r="O88" s="5">
        <f t="shared" si="16"/>
        <v>7.6648044418995118E-8</v>
      </c>
      <c r="P88" s="5">
        <f t="shared" si="17"/>
        <v>8.1063809888838006E-7</v>
      </c>
      <c r="Q88" s="1">
        <f t="shared" si="13"/>
        <v>1.8000000000000001E-6</v>
      </c>
    </row>
    <row r="89" spans="1:17" x14ac:dyDescent="0.25">
      <c r="A89" s="1">
        <v>4.3499999999999996</v>
      </c>
      <c r="B89" s="1">
        <v>6.7525000000000002E-2</v>
      </c>
      <c r="C89" s="1">
        <v>8.2531E-4</v>
      </c>
      <c r="D89" s="1">
        <v>8.2534999999999998E-4</v>
      </c>
      <c r="E89" s="1">
        <v>7.4749999999999997E-2</v>
      </c>
      <c r="F89" s="1">
        <v>1.5874E-7</v>
      </c>
      <c r="G89" s="1">
        <v>7.2018000000000004</v>
      </c>
      <c r="H89" s="1">
        <v>7.2895000000000005E-8</v>
      </c>
      <c r="I89" s="1">
        <f t="shared" si="9"/>
        <v>7.2895000000000005E-8</v>
      </c>
      <c r="J89" s="4">
        <f t="shared" si="10"/>
        <v>-2.1586927743752418E-9</v>
      </c>
      <c r="K89" s="4">
        <f t="shared" si="11"/>
        <v>-1.4946368661703997E-9</v>
      </c>
      <c r="L89" s="4">
        <f t="shared" si="12"/>
        <v>-4.3596378997146935E-8</v>
      </c>
      <c r="M89" s="4">
        <f t="shared" si="14"/>
        <v>-6.1914106078797581E-9</v>
      </c>
      <c r="N89" s="5">
        <f t="shared" si="15"/>
        <v>8.6845342178727323E-7</v>
      </c>
      <c r="O89" s="5">
        <f t="shared" si="16"/>
        <v>8.3503510935079706E-8</v>
      </c>
      <c r="P89" s="5">
        <f t="shared" si="17"/>
        <v>8.4804306727764726E-7</v>
      </c>
      <c r="Q89" s="1">
        <f t="shared" si="13"/>
        <v>1.8000000000000001E-6</v>
      </c>
    </row>
    <row r="90" spans="1:17" x14ac:dyDescent="0.25">
      <c r="A90" s="1">
        <v>4.4000000000000004</v>
      </c>
      <c r="B90" s="1">
        <v>6.7431000000000005E-2</v>
      </c>
      <c r="C90" s="1">
        <v>8.4873000000000001E-4</v>
      </c>
      <c r="D90" s="1">
        <v>8.6081999999999999E-4</v>
      </c>
      <c r="E90" s="1">
        <v>7.4659000000000003E-2</v>
      </c>
      <c r="F90" s="1">
        <v>1.6366E-7</v>
      </c>
      <c r="G90" s="1">
        <v>7.2007000000000003</v>
      </c>
      <c r="H90" s="1">
        <v>7.3049999999999996E-8</v>
      </c>
      <c r="I90" s="1">
        <f t="shared" si="9"/>
        <v>7.3049999999999996E-8</v>
      </c>
      <c r="J90" s="4">
        <f t="shared" si="10"/>
        <v>-2.1883625934742312E-9</v>
      </c>
      <c r="K90" s="4">
        <f t="shared" si="11"/>
        <v>-1.6283184632340772E-9</v>
      </c>
      <c r="L90" s="4">
        <f t="shared" si="12"/>
        <v>-4.2765366702036329E-8</v>
      </c>
      <c r="M90" s="4">
        <f t="shared" si="14"/>
        <v>-6.4909004358665238E-9</v>
      </c>
      <c r="N90" s="5">
        <f t="shared" si="15"/>
        <v>8.2512801095499673E-7</v>
      </c>
      <c r="O90" s="5">
        <f t="shared" si="16"/>
        <v>9.0554455501186378E-8</v>
      </c>
      <c r="P90" s="5">
        <f t="shared" si="17"/>
        <v>8.8431753354381709E-7</v>
      </c>
      <c r="Q90" s="1">
        <f t="shared" si="13"/>
        <v>1.8000000000000001E-6</v>
      </c>
    </row>
    <row r="91" spans="1:17" x14ac:dyDescent="0.25">
      <c r="A91" s="1">
        <v>4.45</v>
      </c>
      <c r="B91" s="1">
        <v>6.7335999999999993E-2</v>
      </c>
      <c r="C91" s="1">
        <v>8.7195000000000003E-4</v>
      </c>
      <c r="D91" s="1">
        <v>8.9636999999999996E-4</v>
      </c>
      <c r="E91" s="1">
        <v>7.4567999999999995E-2</v>
      </c>
      <c r="F91" s="1">
        <v>1.6856E-7</v>
      </c>
      <c r="G91" s="1">
        <v>7.1996000000000002</v>
      </c>
      <c r="H91" s="1">
        <v>7.3204999999999999E-8</v>
      </c>
      <c r="I91" s="1">
        <f t="shared" si="9"/>
        <v>7.3204999999999999E-8</v>
      </c>
      <c r="J91" s="4">
        <f t="shared" si="10"/>
        <v>-2.2100720091661875E-9</v>
      </c>
      <c r="K91" s="4">
        <f t="shared" si="11"/>
        <v>-1.7658118822731281E-9</v>
      </c>
      <c r="L91" s="4">
        <f t="shared" si="12"/>
        <v>-4.1840237654234658E-8</v>
      </c>
      <c r="M91" s="4">
        <f t="shared" si="14"/>
        <v>-6.7829365616644393E-9</v>
      </c>
      <c r="N91" s="5">
        <f t="shared" si="15"/>
        <v>7.82843513173869E-7</v>
      </c>
      <c r="O91" s="5">
        <f t="shared" si="16"/>
        <v>9.778165218974388E-8</v>
      </c>
      <c r="P91" s="5">
        <f t="shared" si="17"/>
        <v>9.1937483463638731E-7</v>
      </c>
      <c r="Q91" s="1">
        <f t="shared" si="13"/>
        <v>1.8000000000000001E-6</v>
      </c>
    </row>
    <row r="92" spans="1:17" x14ac:dyDescent="0.25">
      <c r="A92" s="1">
        <v>4.5</v>
      </c>
      <c r="B92" s="1">
        <v>6.7241999999999996E-2</v>
      </c>
      <c r="C92" s="1">
        <v>8.9495999999999998E-4</v>
      </c>
      <c r="D92" s="1">
        <v>9.3198E-4</v>
      </c>
      <c r="E92" s="1">
        <v>7.4476000000000001E-2</v>
      </c>
      <c r="F92" s="1">
        <v>1.7345000000000001E-7</v>
      </c>
      <c r="G92" s="1">
        <v>7.1985000000000001</v>
      </c>
      <c r="H92" s="1">
        <v>7.3360000000000003E-8</v>
      </c>
      <c r="I92" s="1">
        <f t="shared" si="9"/>
        <v>7.3360000000000003E-8</v>
      </c>
      <c r="J92" s="4">
        <f t="shared" si="10"/>
        <v>-2.2242520650983725E-9</v>
      </c>
      <c r="K92" s="4">
        <f t="shared" si="11"/>
        <v>-1.906742217699999E-9</v>
      </c>
      <c r="L92" s="4">
        <f t="shared" si="12"/>
        <v>-4.0834766027501194E-8</v>
      </c>
      <c r="M92" s="4">
        <f t="shared" si="14"/>
        <v>-7.066797650803432E-9</v>
      </c>
      <c r="N92" s="5">
        <f t="shared" si="15"/>
        <v>7.416912372989695E-7</v>
      </c>
      <c r="O92" s="5">
        <f t="shared" si="16"/>
        <v>1.0516595968794568E-7</v>
      </c>
      <c r="P92" s="5">
        <f t="shared" si="17"/>
        <v>9.5314280301308515E-7</v>
      </c>
      <c r="Q92" s="1">
        <f t="shared" si="13"/>
        <v>1.8000000000000003E-6</v>
      </c>
    </row>
    <row r="93" spans="1:17" x14ac:dyDescent="0.25">
      <c r="A93" s="1">
        <v>4.55</v>
      </c>
      <c r="B93" s="1">
        <v>6.7147999999999999E-2</v>
      </c>
      <c r="C93" s="1">
        <v>9.1777999999999998E-4</v>
      </c>
      <c r="D93" s="1">
        <v>9.6765000000000002E-4</v>
      </c>
      <c r="E93" s="1">
        <v>7.4385000000000007E-2</v>
      </c>
      <c r="F93" s="1">
        <v>1.7833000000000001E-7</v>
      </c>
      <c r="G93" s="1">
        <v>7.1974</v>
      </c>
      <c r="H93" s="1">
        <v>7.3514999999999994E-8</v>
      </c>
      <c r="I93" s="1">
        <f t="shared" si="9"/>
        <v>7.3514999999999994E-8</v>
      </c>
      <c r="J93" s="4">
        <f t="shared" si="10"/>
        <v>-2.2313708559243782E-9</v>
      </c>
      <c r="K93" s="4">
        <f t="shared" si="11"/>
        <v>-2.0507362139149335E-9</v>
      </c>
      <c r="L93" s="4">
        <f t="shared" si="12"/>
        <v>-3.9761420573258554E-8</v>
      </c>
      <c r="M93" s="4">
        <f t="shared" si="14"/>
        <v>-7.3418683830491658E-9</v>
      </c>
      <c r="N93" s="5">
        <f t="shared" si="15"/>
        <v>7.0174918208370156E-7</v>
      </c>
      <c r="O93" s="5">
        <f t="shared" si="16"/>
        <v>1.1268846271300429E-7</v>
      </c>
      <c r="P93" s="5">
        <f t="shared" si="17"/>
        <v>9.8556235520329454E-7</v>
      </c>
      <c r="Q93" s="1">
        <f t="shared" si="13"/>
        <v>1.8000000000000003E-6</v>
      </c>
    </row>
    <row r="94" spans="1:17" x14ac:dyDescent="0.25">
      <c r="A94" s="1">
        <v>4.5999999999999996</v>
      </c>
      <c r="B94" s="1">
        <v>6.7054000000000002E-2</v>
      </c>
      <c r="C94" s="1">
        <v>9.4041000000000003E-4</v>
      </c>
      <c r="D94" s="1">
        <v>1.0034E-3</v>
      </c>
      <c r="E94" s="1">
        <v>7.4292999999999998E-2</v>
      </c>
      <c r="F94" s="1">
        <v>1.8318999999999999E-7</v>
      </c>
      <c r="G94" s="1">
        <v>7.1962999999999999</v>
      </c>
      <c r="H94" s="1">
        <v>7.3670999999999998E-8</v>
      </c>
      <c r="I94" s="1">
        <f t="shared" si="9"/>
        <v>7.3670999999999998E-8</v>
      </c>
      <c r="J94" s="4">
        <f t="shared" si="10"/>
        <v>-2.2316738999537048E-9</v>
      </c>
      <c r="K94" s="4">
        <f t="shared" si="11"/>
        <v>-2.1974250229035761E-9</v>
      </c>
      <c r="L94" s="4">
        <f t="shared" si="12"/>
        <v>-3.8631341425976207E-8</v>
      </c>
      <c r="M94" s="4">
        <f t="shared" si="14"/>
        <v>-7.6076297369908425E-9</v>
      </c>
      <c r="N94" s="5">
        <f t="shared" si="15"/>
        <v>6.6308359178067526E-7</v>
      </c>
      <c r="O94" s="5">
        <f t="shared" si="16"/>
        <v>1.2033034132704526E-7</v>
      </c>
      <c r="P94" s="5">
        <f t="shared" si="17"/>
        <v>1.01658606689228E-6</v>
      </c>
      <c r="Q94" s="1">
        <f t="shared" si="13"/>
        <v>1.8000000000000006E-6</v>
      </c>
    </row>
    <row r="95" spans="1:17" x14ac:dyDescent="0.25">
      <c r="A95" s="1">
        <v>4.6500000000000004</v>
      </c>
      <c r="B95" s="1">
        <v>6.6960000000000006E-2</v>
      </c>
      <c r="C95" s="1">
        <v>9.6287E-4</v>
      </c>
      <c r="D95" s="1">
        <v>1.0392000000000001E-3</v>
      </c>
      <c r="E95" s="1">
        <v>7.4202000000000004E-2</v>
      </c>
      <c r="F95" s="1">
        <v>1.8804000000000001E-7</v>
      </c>
      <c r="G95" s="1">
        <v>7.1951999999999998</v>
      </c>
      <c r="H95" s="1">
        <v>7.3826000000000002E-8</v>
      </c>
      <c r="I95" s="1">
        <f t="shared" si="9"/>
        <v>7.3826000000000002E-8</v>
      </c>
      <c r="J95" s="4">
        <f t="shared" si="10"/>
        <v>-2.2252141175433441E-9</v>
      </c>
      <c r="K95" s="4">
        <f t="shared" si="11"/>
        <v>-2.3464416558774158E-9</v>
      </c>
      <c r="L95" s="4">
        <f t="shared" si="12"/>
        <v>-3.7451225754887698E-8</v>
      </c>
      <c r="M95" s="4">
        <f t="shared" si="14"/>
        <v>-7.8637557740723331E-9</v>
      </c>
      <c r="N95" s="5">
        <f t="shared" si="15"/>
        <v>6.2575359356412163E-7</v>
      </c>
      <c r="O95" s="5">
        <f t="shared" si="16"/>
        <v>1.2807286956278353E-7</v>
      </c>
      <c r="P95" s="5">
        <f t="shared" si="17"/>
        <v>1.0461735368730953E-6</v>
      </c>
      <c r="Q95" s="1">
        <f t="shared" si="13"/>
        <v>1.8000000000000006E-6</v>
      </c>
    </row>
    <row r="96" spans="1:17" x14ac:dyDescent="0.25">
      <c r="A96" s="1">
        <v>4.7</v>
      </c>
      <c r="B96" s="1">
        <v>6.6865999999999995E-2</v>
      </c>
      <c r="C96" s="1">
        <v>9.851599999999999E-4</v>
      </c>
      <c r="D96" s="1">
        <v>1.075E-3</v>
      </c>
      <c r="E96" s="1">
        <v>7.4109999999999995E-2</v>
      </c>
      <c r="F96" s="1">
        <v>1.9287999999999999E-7</v>
      </c>
      <c r="G96" s="1">
        <v>7.1940999999999997</v>
      </c>
      <c r="H96" s="1">
        <v>7.3981999999999994E-8</v>
      </c>
      <c r="I96" s="1">
        <f t="shared" si="9"/>
        <v>7.3981999999999994E-8</v>
      </c>
      <c r="J96" s="4">
        <f t="shared" si="10"/>
        <v>-2.2126047346183191E-9</v>
      </c>
      <c r="K96" s="4">
        <f t="shared" si="11"/>
        <v>-2.49742095647427E-9</v>
      </c>
      <c r="L96" s="4">
        <f t="shared" si="12"/>
        <v>-3.6234085330265706E-8</v>
      </c>
      <c r="M96" s="4">
        <f t="shared" si="14"/>
        <v>-8.1096547909852503E-9</v>
      </c>
      <c r="N96" s="5">
        <f t="shared" si="15"/>
        <v>5.8980432445571195E-7</v>
      </c>
      <c r="O96" s="5">
        <f t="shared" si="16"/>
        <v>1.3589770813191282E-7</v>
      </c>
      <c r="P96" s="5">
        <f t="shared" si="17"/>
        <v>1.0742979674123756E-6</v>
      </c>
      <c r="Q96" s="1">
        <f t="shared" si="13"/>
        <v>1.8000000000000003E-6</v>
      </c>
    </row>
    <row r="97" spans="1:17" x14ac:dyDescent="0.25">
      <c r="A97" s="1">
        <v>4.75</v>
      </c>
      <c r="B97" s="1">
        <v>6.6771999999999998E-2</v>
      </c>
      <c r="C97" s="1">
        <v>1.0073E-3</v>
      </c>
      <c r="D97" s="1">
        <v>1.1109E-3</v>
      </c>
      <c r="E97" s="1">
        <v>7.4019000000000001E-2</v>
      </c>
      <c r="F97" s="1">
        <v>1.9770999999999999E-7</v>
      </c>
      <c r="G97" s="1">
        <v>7.1929999999999996</v>
      </c>
      <c r="H97" s="1">
        <v>7.4136999999999997E-8</v>
      </c>
      <c r="I97" s="1">
        <f t="shared" si="9"/>
        <v>7.4136999999999997E-8</v>
      </c>
      <c r="J97" s="4">
        <f t="shared" si="10"/>
        <v>-2.1942310038524217E-9</v>
      </c>
      <c r="K97" s="4">
        <f t="shared" si="11"/>
        <v>-2.6500053085722908E-9</v>
      </c>
      <c r="L97" s="4">
        <f t="shared" si="12"/>
        <v>-3.4988075888445529E-8</v>
      </c>
      <c r="M97" s="4">
        <f t="shared" si="14"/>
        <v>-8.3452647836357185E-9</v>
      </c>
      <c r="N97" s="5">
        <f t="shared" si="15"/>
        <v>5.5527202287198627E-7</v>
      </c>
      <c r="O97" s="5">
        <f t="shared" si="16"/>
        <v>1.437871986108287E-7</v>
      </c>
      <c r="P97" s="5">
        <f t="shared" si="17"/>
        <v>1.1009407785171854E-6</v>
      </c>
      <c r="Q97" s="1">
        <f t="shared" si="13"/>
        <v>1.8000000000000003E-6</v>
      </c>
    </row>
    <row r="98" spans="1:17" x14ac:dyDescent="0.25">
      <c r="A98" s="1">
        <v>4.8</v>
      </c>
      <c r="B98" s="1">
        <v>6.6679000000000002E-2</v>
      </c>
      <c r="C98" s="1">
        <v>1.0292999999999999E-3</v>
      </c>
      <c r="D98" s="1">
        <v>1.1467999999999999E-3</v>
      </c>
      <c r="E98" s="1">
        <v>7.3927000000000007E-2</v>
      </c>
      <c r="F98" s="1">
        <v>2.0253E-7</v>
      </c>
      <c r="G98" s="1">
        <v>7.1919000000000004</v>
      </c>
      <c r="H98" s="1">
        <v>7.4293000000000002E-8</v>
      </c>
      <c r="I98" s="1">
        <f t="shared" si="9"/>
        <v>7.4293000000000002E-8</v>
      </c>
      <c r="J98" s="4">
        <f t="shared" si="10"/>
        <v>-2.1705163643943775E-9</v>
      </c>
      <c r="K98" s="4">
        <f t="shared" si="11"/>
        <v>-2.8038503729111494E-9</v>
      </c>
      <c r="L98" s="4">
        <f t="shared" si="12"/>
        <v>-3.3722963973539318E-8</v>
      </c>
      <c r="M98" s="4">
        <f t="shared" si="14"/>
        <v>-8.5701468821774694E-9</v>
      </c>
      <c r="N98" s="5">
        <f t="shared" si="15"/>
        <v>5.2218239290696373E-7</v>
      </c>
      <c r="O98" s="5">
        <f t="shared" si="16"/>
        <v>1.517240114844894E-7</v>
      </c>
      <c r="P98" s="5">
        <f t="shared" si="17"/>
        <v>1.1260935956085473E-6</v>
      </c>
      <c r="Q98" s="1">
        <f t="shared" si="13"/>
        <v>1.8000000000000006E-6</v>
      </c>
    </row>
    <row r="99" spans="1:17" x14ac:dyDescent="0.25">
      <c r="A99" s="1">
        <v>4.8499999999999996</v>
      </c>
      <c r="B99" s="1">
        <v>6.6585000000000005E-2</v>
      </c>
      <c r="C99" s="1">
        <v>1.0510999999999999E-3</v>
      </c>
      <c r="D99" s="1">
        <v>1.1827999999999999E-3</v>
      </c>
      <c r="E99" s="1">
        <v>7.3834999999999998E-2</v>
      </c>
      <c r="F99" s="1">
        <v>2.0734E-7</v>
      </c>
      <c r="G99" s="1">
        <v>7.1908000000000003</v>
      </c>
      <c r="H99" s="1">
        <v>7.4448999999999994E-8</v>
      </c>
      <c r="I99" s="1">
        <f t="shared" si="9"/>
        <v>7.4448999999999994E-8</v>
      </c>
      <c r="J99" s="4">
        <f t="shared" si="10"/>
        <v>-2.1419086735179079E-9</v>
      </c>
      <c r="K99" s="4">
        <f t="shared" si="11"/>
        <v>-2.9586182239475327E-9</v>
      </c>
      <c r="L99" s="4">
        <f t="shared" si="12"/>
        <v>-3.244611970595503E-8</v>
      </c>
      <c r="M99" s="4">
        <f t="shared" si="14"/>
        <v>-8.7843915073472781E-9</v>
      </c>
      <c r="N99" s="5">
        <f t="shared" si="15"/>
        <v>4.9055298275143832E-7</v>
      </c>
      <c r="O99" s="5">
        <f t="shared" si="16"/>
        <v>1.5969169344140705E-7</v>
      </c>
      <c r="P99" s="5">
        <f t="shared" si="17"/>
        <v>1.1497553238071549E-6</v>
      </c>
      <c r="Q99" s="1">
        <f t="shared" si="13"/>
        <v>1.8000000000000001E-6</v>
      </c>
    </row>
    <row r="100" spans="1:17" x14ac:dyDescent="0.25">
      <c r="A100" s="1">
        <v>4.9000000000000004</v>
      </c>
      <c r="B100" s="1">
        <v>6.6490999999999995E-2</v>
      </c>
      <c r="C100" s="1">
        <v>1.0727E-3</v>
      </c>
      <c r="D100" s="1">
        <v>1.2187999999999999E-3</v>
      </c>
      <c r="E100" s="1">
        <v>7.3744000000000004E-2</v>
      </c>
      <c r="F100" s="1">
        <v>2.1215E-7</v>
      </c>
      <c r="G100" s="1">
        <v>7.1897000000000002</v>
      </c>
      <c r="H100" s="1">
        <v>7.4604999999999999E-8</v>
      </c>
      <c r="I100" s="1">
        <f t="shared" si="9"/>
        <v>7.4604999999999999E-8</v>
      </c>
      <c r="J100" s="4">
        <f t="shared" si="10"/>
        <v>-2.1088811703693575E-9</v>
      </c>
      <c r="K100" s="4">
        <f t="shared" si="11"/>
        <v>-3.1139880221074819E-9</v>
      </c>
      <c r="L100" s="4">
        <f t="shared" si="12"/>
        <v>-3.1165879764590503E-8</v>
      </c>
      <c r="M100" s="4">
        <f t="shared" si="14"/>
        <v>-8.9878040807226083E-9</v>
      </c>
      <c r="N100" s="5">
        <f t="shared" si="15"/>
        <v>4.6039220983858599E-7</v>
      </c>
      <c r="O100" s="5">
        <f t="shared" si="16"/>
        <v>1.6767439067039154E-7</v>
      </c>
      <c r="P100" s="5">
        <f t="shared" si="17"/>
        <v>1.171933399491023E-6</v>
      </c>
      <c r="Q100" s="1">
        <f t="shared" si="13"/>
        <v>1.8000000000000006E-6</v>
      </c>
    </row>
    <row r="101" spans="1:17" x14ac:dyDescent="0.25">
      <c r="A101" s="1">
        <v>4.95</v>
      </c>
      <c r="B101" s="1">
        <v>6.6397999999999999E-2</v>
      </c>
      <c r="C101" s="1">
        <v>1.0942E-3</v>
      </c>
      <c r="D101" s="1">
        <v>1.2549E-3</v>
      </c>
      <c r="E101" s="1">
        <v>7.3651999999999995E-2</v>
      </c>
      <c r="F101" s="1">
        <v>2.1694999999999999E-7</v>
      </c>
      <c r="G101" s="1">
        <v>7.1886000000000001</v>
      </c>
      <c r="H101" s="1">
        <v>7.4760000000000002E-8</v>
      </c>
      <c r="I101" s="1">
        <f t="shared" si="9"/>
        <v>7.4760000000000002E-8</v>
      </c>
      <c r="J101" s="4">
        <f t="shared" si="10"/>
        <v>-2.072115878235579E-9</v>
      </c>
      <c r="K101" s="4">
        <f t="shared" si="11"/>
        <v>-3.2696506180726233E-9</v>
      </c>
      <c r="L101" s="4">
        <f t="shared" si="12"/>
        <v>-2.9891367914075367E-8</v>
      </c>
      <c r="M101" s="4">
        <f t="shared" si="14"/>
        <v>-9.1803695832478825E-9</v>
      </c>
      <c r="N101" s="5">
        <f t="shared" si="15"/>
        <v>4.3169837666434765E-7</v>
      </c>
      <c r="O101" s="5">
        <f t="shared" si="16"/>
        <v>1.756572255138024E-7</v>
      </c>
      <c r="P101" s="5">
        <f t="shared" si="17"/>
        <v>1.1926443978218505E-6</v>
      </c>
      <c r="Q101" s="1">
        <f t="shared" si="13"/>
        <v>1.8000000000000006E-6</v>
      </c>
    </row>
    <row r="102" spans="1:17" x14ac:dyDescent="0.25">
      <c r="A102" s="1">
        <v>5</v>
      </c>
      <c r="B102" s="1">
        <v>6.6304000000000002E-2</v>
      </c>
      <c r="C102" s="1">
        <v>1.1156E-3</v>
      </c>
      <c r="D102" s="1">
        <v>1.291E-3</v>
      </c>
      <c r="E102" s="1">
        <v>7.356E-2</v>
      </c>
      <c r="F102" s="1">
        <v>2.2174E-7</v>
      </c>
      <c r="G102" s="1">
        <v>7.1875999999999998</v>
      </c>
      <c r="H102" s="1">
        <v>7.4915999999999994E-8</v>
      </c>
      <c r="I102" s="1">
        <f t="shared" si="9"/>
        <v>7.4915999999999994E-8</v>
      </c>
      <c r="J102" s="4">
        <f t="shared" si="10"/>
        <v>-2.031887808321972E-9</v>
      </c>
      <c r="K102" s="4">
        <f t="shared" si="11"/>
        <v>-3.4253158975191346E-9</v>
      </c>
      <c r="L102" s="4">
        <f t="shared" si="12"/>
        <v>-2.862679389550122E-8</v>
      </c>
      <c r="M102" s="4">
        <f t="shared" si="14"/>
        <v>-9.3620199940219288E-9</v>
      </c>
      <c r="N102" s="5">
        <f t="shared" si="15"/>
        <v>4.0446501085804361E-7</v>
      </c>
      <c r="O102" s="5">
        <f t="shared" si="16"/>
        <v>1.8362581741862717E-7</v>
      </c>
      <c r="P102" s="5">
        <f t="shared" si="17"/>
        <v>1.2119091717233296E-6</v>
      </c>
      <c r="Q102" s="1">
        <f t="shared" si="13"/>
        <v>1.8000000000000003E-6</v>
      </c>
    </row>
    <row r="103" spans="1:17" x14ac:dyDescent="0.25">
      <c r="A103" s="1">
        <v>5.05</v>
      </c>
      <c r="B103" s="1">
        <v>6.6211000000000006E-2</v>
      </c>
      <c r="C103" s="1">
        <v>1.1368000000000001E-3</v>
      </c>
      <c r="D103" s="1">
        <v>1.3270999999999999E-3</v>
      </c>
      <c r="E103" s="1">
        <v>7.3469000000000007E-2</v>
      </c>
      <c r="F103" s="1">
        <v>2.2651999999999999E-7</v>
      </c>
      <c r="G103" s="1">
        <v>7.1864999999999997</v>
      </c>
      <c r="H103" s="1">
        <v>7.5071999999999999E-8</v>
      </c>
      <c r="I103" s="1">
        <f t="shared" si="9"/>
        <v>7.5071999999999999E-8</v>
      </c>
      <c r="J103" s="4">
        <f t="shared" si="10"/>
        <v>-1.9886989496109034E-9</v>
      </c>
      <c r="K103" s="4">
        <f t="shared" si="11"/>
        <v>-3.580703439663217E-9</v>
      </c>
      <c r="L103" s="4">
        <f t="shared" si="12"/>
        <v>-2.7378825793430089E-8</v>
      </c>
      <c r="M103" s="4">
        <f t="shared" si="14"/>
        <v>-9.533095688426586E-9</v>
      </c>
      <c r="N103" s="5">
        <f t="shared" si="15"/>
        <v>3.7867818955466586E-7</v>
      </c>
      <c r="O103" s="5">
        <f t="shared" si="16"/>
        <v>1.9156690861700145E-7</v>
      </c>
      <c r="P103" s="5">
        <f t="shared" si="17"/>
        <v>1.2297549018283331E-6</v>
      </c>
      <c r="Q103" s="1">
        <f t="shared" si="13"/>
        <v>1.8000000000000003E-6</v>
      </c>
    </row>
    <row r="104" spans="1:17" x14ac:dyDescent="0.25">
      <c r="A104" s="1">
        <v>5.0999999999999996</v>
      </c>
      <c r="B104" s="1">
        <v>6.6116999999999995E-2</v>
      </c>
      <c r="C104" s="1">
        <v>1.158E-3</v>
      </c>
      <c r="D104" s="1">
        <v>1.3633E-3</v>
      </c>
      <c r="E104" s="1">
        <v>7.3376999999999998E-2</v>
      </c>
      <c r="F104" s="1">
        <v>2.3130000000000001E-7</v>
      </c>
      <c r="G104" s="1">
        <v>7.1853999999999996</v>
      </c>
      <c r="H104" s="1">
        <v>7.5228000000000004E-8</v>
      </c>
      <c r="I104" s="1">
        <f t="shared" si="9"/>
        <v>7.5228000000000004E-8</v>
      </c>
      <c r="J104" s="4">
        <f t="shared" si="10"/>
        <v>-1.9430474125949426E-9</v>
      </c>
      <c r="K104" s="4">
        <f t="shared" si="11"/>
        <v>-3.7355547180315156E-9</v>
      </c>
      <c r="L104" s="4">
        <f t="shared" si="12"/>
        <v>-2.6153455058146835E-8</v>
      </c>
      <c r="M104" s="4">
        <f t="shared" si="14"/>
        <v>-9.6936167989559104E-9</v>
      </c>
      <c r="N104" s="5">
        <f t="shared" si="15"/>
        <v>3.5431724180195556E-7</v>
      </c>
      <c r="O104" s="5">
        <f t="shared" si="16"/>
        <v>1.9946801811052079E-7</v>
      </c>
      <c r="P104" s="5">
        <f t="shared" si="17"/>
        <v>1.2462147400875238E-6</v>
      </c>
      <c r="Q104" s="1">
        <f t="shared" si="13"/>
        <v>1.8000000000000001E-6</v>
      </c>
    </row>
    <row r="105" spans="1:17" x14ac:dyDescent="0.25">
      <c r="A105" s="1">
        <v>5.15</v>
      </c>
      <c r="B105" s="1">
        <v>6.6023999999999999E-2</v>
      </c>
      <c r="C105" s="1">
        <v>1.1789000000000001E-3</v>
      </c>
      <c r="D105" s="1">
        <v>1.3994999999999999E-3</v>
      </c>
      <c r="E105" s="1">
        <v>7.3285000000000003E-2</v>
      </c>
      <c r="F105" s="1">
        <v>2.3608000000000001E-7</v>
      </c>
      <c r="G105" s="1">
        <v>7.1843000000000004</v>
      </c>
      <c r="H105" s="1">
        <v>7.5383999999999995E-8</v>
      </c>
      <c r="I105" s="1">
        <f t="shared" si="9"/>
        <v>7.5383999999999995E-8</v>
      </c>
      <c r="J105" s="4">
        <f t="shared" si="10"/>
        <v>-1.8955862598059934E-9</v>
      </c>
      <c r="K105" s="4">
        <f t="shared" si="11"/>
        <v>-3.8896263531552106E-9</v>
      </c>
      <c r="L105" s="4">
        <f t="shared" si="12"/>
        <v>-2.4956056934327934E-8</v>
      </c>
      <c r="M105" s="4">
        <f t="shared" si="14"/>
        <v>-9.8437754590670864E-9</v>
      </c>
      <c r="N105" s="5">
        <f t="shared" si="15"/>
        <v>3.3135522496097689E-7</v>
      </c>
      <c r="O105" s="5">
        <f t="shared" si="16"/>
        <v>2.0731775347623864E-7</v>
      </c>
      <c r="P105" s="5">
        <f t="shared" si="17"/>
        <v>1.2613270215627848E-6</v>
      </c>
      <c r="Q105" s="1">
        <f t="shared" si="13"/>
        <v>1.8000000000000003E-6</v>
      </c>
    </row>
    <row r="106" spans="1:17" x14ac:dyDescent="0.25">
      <c r="A106" s="1">
        <v>5.2</v>
      </c>
      <c r="B106" s="1">
        <v>6.5931000000000003E-2</v>
      </c>
      <c r="C106" s="1">
        <v>1.1998E-3</v>
      </c>
      <c r="D106" s="1">
        <v>1.4357E-3</v>
      </c>
      <c r="E106" s="1">
        <v>7.3192999999999994E-2</v>
      </c>
      <c r="F106" s="1">
        <v>2.4084999999999999E-7</v>
      </c>
      <c r="G106" s="1">
        <v>7.1832000000000003</v>
      </c>
      <c r="H106" s="1">
        <v>7.554E-8</v>
      </c>
      <c r="I106" s="1">
        <f t="shared" si="9"/>
        <v>7.554E-8</v>
      </c>
      <c r="J106" s="4">
        <f t="shared" si="10"/>
        <v>-1.8467674703394469E-9</v>
      </c>
      <c r="K106" s="4">
        <f t="shared" si="11"/>
        <v>-4.0426961927866394E-9</v>
      </c>
      <c r="L106" s="4">
        <f t="shared" si="12"/>
        <v>-2.3791192365506588E-8</v>
      </c>
      <c r="M106" s="4">
        <f t="shared" si="14"/>
        <v>-9.9838070003163055E-9</v>
      </c>
      <c r="N106" s="5">
        <f t="shared" si="15"/>
        <v>3.0975996131791746E-7</v>
      </c>
      <c r="O106" s="5">
        <f t="shared" si="16"/>
        <v>2.1510563175410775E-7</v>
      </c>
      <c r="P106" s="5">
        <f t="shared" si="17"/>
        <v>1.2751344069279752E-6</v>
      </c>
      <c r="Q106" s="1">
        <f t="shared" si="13"/>
        <v>1.8000000000000003E-6</v>
      </c>
    </row>
    <row r="107" spans="1:17" x14ac:dyDescent="0.25">
      <c r="A107" s="1">
        <v>5.25</v>
      </c>
      <c r="B107" s="1">
        <v>6.5837999999999994E-2</v>
      </c>
      <c r="C107" s="1">
        <v>1.2205E-3</v>
      </c>
      <c r="D107" s="1">
        <v>1.4718999999999999E-3</v>
      </c>
      <c r="E107" s="1">
        <v>7.3100999999999999E-2</v>
      </c>
      <c r="F107" s="1">
        <v>2.4560999999999999E-7</v>
      </c>
      <c r="G107" s="1">
        <v>7.1821999999999999</v>
      </c>
      <c r="H107" s="1">
        <v>7.5697000000000006E-8</v>
      </c>
      <c r="I107" s="1">
        <f t="shared" si="9"/>
        <v>7.5697000000000006E-8</v>
      </c>
      <c r="J107" s="4">
        <f t="shared" si="10"/>
        <v>-1.7968779637701744E-9</v>
      </c>
      <c r="K107" s="4">
        <f t="shared" si="11"/>
        <v>-4.1945598192050865E-9</v>
      </c>
      <c r="L107" s="4">
        <f t="shared" si="12"/>
        <v>-2.2661548205491218E-8</v>
      </c>
      <c r="M107" s="4">
        <f t="shared" si="14"/>
        <v>-1.0113983575430585E-8</v>
      </c>
      <c r="N107" s="5">
        <f t="shared" si="15"/>
        <v>2.8949609496786115E-7</v>
      </c>
      <c r="O107" s="5">
        <f t="shared" si="16"/>
        <v>2.2282193347410343E-7</v>
      </c>
      <c r="P107" s="5">
        <f t="shared" si="17"/>
        <v>1.2876819715580358E-6</v>
      </c>
      <c r="Q107" s="1">
        <f t="shared" si="13"/>
        <v>1.8000000000000003E-6</v>
      </c>
    </row>
    <row r="108" spans="1:17" x14ac:dyDescent="0.25">
      <c r="A108" s="1">
        <v>5.3</v>
      </c>
      <c r="B108" s="1">
        <v>6.5743999999999997E-2</v>
      </c>
      <c r="C108" s="1">
        <v>1.2411E-3</v>
      </c>
      <c r="D108" s="1">
        <v>1.5081999999999999E-3</v>
      </c>
      <c r="E108" s="1">
        <v>7.3010000000000005E-2</v>
      </c>
      <c r="F108" s="1">
        <v>2.5038E-7</v>
      </c>
      <c r="G108" s="1">
        <v>7.1810999999999998</v>
      </c>
      <c r="H108" s="1">
        <v>7.5852999999999998E-8</v>
      </c>
      <c r="I108" s="1">
        <f t="shared" si="9"/>
        <v>7.5852999999999998E-8</v>
      </c>
      <c r="J108" s="4">
        <f t="shared" si="10"/>
        <v>-1.7463641204728633E-9</v>
      </c>
      <c r="K108" s="4">
        <f t="shared" si="11"/>
        <v>-4.3450277027450013E-9</v>
      </c>
      <c r="L108" s="4">
        <f t="shared" si="12"/>
        <v>-2.1570497895783975E-8</v>
      </c>
      <c r="M108" s="4">
        <f t="shared" si="14"/>
        <v>-1.023473453110797E-8</v>
      </c>
      <c r="N108" s="5">
        <f t="shared" si="15"/>
        <v>2.7052426065434927E-7</v>
      </c>
      <c r="O108" s="5">
        <f t="shared" si="16"/>
        <v>2.3045800442293925E-7</v>
      </c>
      <c r="P108" s="5">
        <f t="shared" si="17"/>
        <v>1.2990177349227117E-6</v>
      </c>
      <c r="Q108" s="1">
        <f t="shared" si="13"/>
        <v>1.8000000000000001E-6</v>
      </c>
    </row>
    <row r="109" spans="1:17" x14ac:dyDescent="0.25">
      <c r="A109" s="1">
        <v>5.35</v>
      </c>
      <c r="B109" s="1">
        <v>6.5651000000000001E-2</v>
      </c>
      <c r="C109" s="1">
        <v>1.2616000000000001E-3</v>
      </c>
      <c r="D109" s="1">
        <v>1.5445000000000001E-3</v>
      </c>
      <c r="E109" s="1">
        <v>7.2917999999999997E-2</v>
      </c>
      <c r="F109" s="1">
        <v>2.5513999999999999E-7</v>
      </c>
      <c r="G109" s="1">
        <v>7.18</v>
      </c>
      <c r="H109" s="1">
        <v>7.6009000000000003E-8</v>
      </c>
      <c r="I109" s="1">
        <f t="shared" si="9"/>
        <v>7.6009000000000003E-8</v>
      </c>
      <c r="J109" s="4">
        <f t="shared" si="10"/>
        <v>-1.6959204964124331E-9</v>
      </c>
      <c r="K109" s="4">
        <f t="shared" si="11"/>
        <v>-4.4939310862472992E-9</v>
      </c>
      <c r="L109" s="4">
        <f t="shared" si="12"/>
        <v>-2.0522785170091371E-8</v>
      </c>
      <c r="M109" s="4">
        <f t="shared" si="14"/>
        <v>-1.0346111185944671E-8</v>
      </c>
      <c r="N109" s="5">
        <f t="shared" si="15"/>
        <v>2.5279948607409275E-7</v>
      </c>
      <c r="O109" s="5">
        <f t="shared" si="16"/>
        <v>2.3800610501904906E-7</v>
      </c>
      <c r="P109" s="5">
        <f t="shared" si="17"/>
        <v>1.3091944089068584E-6</v>
      </c>
      <c r="Q109" s="1">
        <f t="shared" si="13"/>
        <v>1.8000000000000001E-6</v>
      </c>
    </row>
    <row r="110" spans="1:17" x14ac:dyDescent="0.25">
      <c r="A110" s="1">
        <v>5.4</v>
      </c>
      <c r="B110" s="1">
        <v>6.5558000000000005E-2</v>
      </c>
      <c r="C110" s="1">
        <v>1.2819999999999999E-3</v>
      </c>
      <c r="D110" s="1">
        <v>1.5808E-3</v>
      </c>
      <c r="E110" s="1">
        <v>7.2826000000000002E-2</v>
      </c>
      <c r="F110" s="1">
        <v>2.5989999999999999E-7</v>
      </c>
      <c r="G110" s="1">
        <v>7.1790000000000003</v>
      </c>
      <c r="H110" s="1">
        <v>7.6164999999999994E-8</v>
      </c>
      <c r="I110" s="1">
        <f t="shared" si="9"/>
        <v>7.6164999999999994E-8</v>
      </c>
      <c r="J110" s="4">
        <f t="shared" si="10"/>
        <v>-1.645634142014373E-9</v>
      </c>
      <c r="K110" s="4">
        <f t="shared" si="11"/>
        <v>-4.6411190478715227E-9</v>
      </c>
      <c r="L110" s="4">
        <f t="shared" si="12"/>
        <v>-1.9518101984194047E-8</v>
      </c>
      <c r="M110" s="4">
        <f t="shared" si="14"/>
        <v>-1.0448608571793296E-8</v>
      </c>
      <c r="N110" s="5">
        <f t="shared" si="15"/>
        <v>2.3627686899575586E-7</v>
      </c>
      <c r="O110" s="5">
        <f t="shared" si="16"/>
        <v>2.454592286849852E-7</v>
      </c>
      <c r="P110" s="5">
        <f t="shared" si="17"/>
        <v>1.3182639023192591E-6</v>
      </c>
      <c r="Q110" s="1">
        <f t="shared" si="13"/>
        <v>1.8000000000000001E-6</v>
      </c>
    </row>
    <row r="111" spans="1:17" x14ac:dyDescent="0.25">
      <c r="A111" s="1">
        <v>5.45</v>
      </c>
      <c r="B111" s="1">
        <v>6.5464999999999995E-2</v>
      </c>
      <c r="C111" s="1">
        <v>1.3022000000000001E-3</v>
      </c>
      <c r="D111" s="1">
        <v>1.6172000000000001E-3</v>
      </c>
      <c r="E111" s="1">
        <v>7.2733999999999993E-2</v>
      </c>
      <c r="F111" s="1">
        <v>2.6464999999999998E-7</v>
      </c>
      <c r="G111" s="1">
        <v>7.1779000000000002</v>
      </c>
      <c r="H111" s="1">
        <v>7.6320999999999999E-8</v>
      </c>
      <c r="I111" s="1">
        <f t="shared" si="9"/>
        <v>7.6320999999999999E-8</v>
      </c>
      <c r="J111" s="4">
        <f t="shared" si="10"/>
        <v>-1.5960032309693949E-9</v>
      </c>
      <c r="K111" s="4">
        <f t="shared" si="11"/>
        <v>-4.7864549593571946E-9</v>
      </c>
      <c r="L111" s="4">
        <f t="shared" si="12"/>
        <v>-1.8559319156948641E-8</v>
      </c>
      <c r="M111" s="4">
        <f t="shared" si="14"/>
        <v>-1.0542584862615331E-8</v>
      </c>
      <c r="N111" s="5">
        <f t="shared" si="15"/>
        <v>2.2090800156719501E-7</v>
      </c>
      <c r="O111" s="5">
        <f t="shared" si="16"/>
        <v>2.5281136181921274E-7</v>
      </c>
      <c r="P111" s="5">
        <f t="shared" si="17"/>
        <v>1.3262806366135923E-6</v>
      </c>
      <c r="Q111" s="1">
        <f t="shared" si="13"/>
        <v>1.8000000000000001E-6</v>
      </c>
    </row>
    <row r="112" spans="1:17" x14ac:dyDescent="0.25">
      <c r="A112" s="1">
        <v>5.5</v>
      </c>
      <c r="B112" s="1">
        <v>6.5373000000000001E-2</v>
      </c>
      <c r="C112" s="1">
        <v>1.3224000000000001E-3</v>
      </c>
      <c r="D112" s="1">
        <v>1.6536000000000001E-3</v>
      </c>
      <c r="E112" s="1">
        <v>7.2641999999999998E-2</v>
      </c>
      <c r="F112" s="1">
        <v>2.6940999999999998E-7</v>
      </c>
      <c r="G112" s="1">
        <v>7.1768000000000001</v>
      </c>
      <c r="H112" s="1">
        <v>7.6477000000000004E-8</v>
      </c>
      <c r="I112" s="1">
        <f t="shared" si="9"/>
        <v>7.6477000000000004E-8</v>
      </c>
      <c r="J112" s="4">
        <f t="shared" si="10"/>
        <v>-1.5472313036995688E-9</v>
      </c>
      <c r="K112" s="4">
        <f t="shared" si="11"/>
        <v>-4.9298215554746315E-9</v>
      </c>
      <c r="L112" s="4">
        <f t="shared" si="12"/>
        <v>-1.7646919887384488E-8</v>
      </c>
      <c r="M112" s="4">
        <f t="shared" si="14"/>
        <v>-1.0628421769033491E-8</v>
      </c>
      <c r="N112" s="5">
        <f t="shared" si="15"/>
        <v>2.0664367193158561E-7</v>
      </c>
      <c r="O112" s="5">
        <f t="shared" si="16"/>
        <v>2.6005719333647113E-7</v>
      </c>
      <c r="P112" s="5">
        <f t="shared" si="17"/>
        <v>1.3332991347319432E-6</v>
      </c>
      <c r="Q112" s="1">
        <f t="shared" si="13"/>
        <v>1.7999999999999999E-6</v>
      </c>
    </row>
    <row r="113" spans="1:17" x14ac:dyDescent="0.25">
      <c r="A113" s="1">
        <v>5.55</v>
      </c>
      <c r="B113" s="1">
        <v>6.5280000000000005E-2</v>
      </c>
      <c r="C113" s="1">
        <v>1.3424000000000001E-3</v>
      </c>
      <c r="D113" s="1">
        <v>1.6900000000000001E-3</v>
      </c>
      <c r="E113" s="1">
        <v>7.2551000000000004E-2</v>
      </c>
      <c r="F113" s="1">
        <v>2.7416000000000001E-7</v>
      </c>
      <c r="G113" s="1">
        <v>7.1757999999999997</v>
      </c>
      <c r="H113" s="1">
        <v>7.6633999999999997E-8</v>
      </c>
      <c r="I113" s="1">
        <f t="shared" si="9"/>
        <v>7.6633999999999997E-8</v>
      </c>
      <c r="J113" s="4">
        <f t="shared" si="10"/>
        <v>-1.4998558942597334E-9</v>
      </c>
      <c r="K113" s="4">
        <f t="shared" si="11"/>
        <v>-5.0711152700611696E-9</v>
      </c>
      <c r="L113" s="4">
        <f t="shared" si="12"/>
        <v>-1.678308181819103E-8</v>
      </c>
      <c r="M113" s="4">
        <f t="shared" si="14"/>
        <v>-1.0706505382323919E-8</v>
      </c>
      <c r="N113" s="5">
        <f t="shared" si="15"/>
        <v>1.9343184948919603E-7</v>
      </c>
      <c r="O113" s="5">
        <f t="shared" si="16"/>
        <v>2.6719243934299366E-7</v>
      </c>
      <c r="P113" s="5">
        <f t="shared" si="17"/>
        <v>1.3393757111678103E-6</v>
      </c>
      <c r="Q113" s="1">
        <f t="shared" si="13"/>
        <v>1.7999999999999999E-6</v>
      </c>
    </row>
    <row r="114" spans="1:17" x14ac:dyDescent="0.25">
      <c r="A114" s="1">
        <v>5.6</v>
      </c>
      <c r="B114" s="1">
        <v>6.5186999999999995E-2</v>
      </c>
      <c r="C114" s="1">
        <v>1.3623999999999999E-3</v>
      </c>
      <c r="D114" s="1">
        <v>1.7263999999999999E-3</v>
      </c>
      <c r="E114" s="1">
        <v>7.2458999999999996E-2</v>
      </c>
      <c r="F114" s="1">
        <v>2.7891E-7</v>
      </c>
      <c r="G114" s="1">
        <v>7.1746999999999996</v>
      </c>
      <c r="H114" s="1">
        <v>7.6790000000000001E-8</v>
      </c>
      <c r="I114" s="1">
        <f t="shared" si="9"/>
        <v>7.6790000000000001E-8</v>
      </c>
      <c r="J114" s="4">
        <f t="shared" si="10"/>
        <v>-1.453905458866939E-9</v>
      </c>
      <c r="K114" s="4">
        <f t="shared" si="11"/>
        <v>-5.2102525671883576E-9</v>
      </c>
      <c r="L114" s="4">
        <f t="shared" si="12"/>
        <v>-1.596700919269622E-8</v>
      </c>
      <c r="M114" s="4">
        <f t="shared" si="14"/>
        <v>-1.0777380416211529E-8</v>
      </c>
      <c r="N114" s="5">
        <f t="shared" si="15"/>
        <v>1.8122118740482123E-7</v>
      </c>
      <c r="O114" s="5">
        <f t="shared" si="16"/>
        <v>2.7421347265088379E-7</v>
      </c>
      <c r="P114" s="5">
        <f t="shared" si="17"/>
        <v>1.3445653399442949E-6</v>
      </c>
      <c r="Q114" s="1">
        <f t="shared" si="13"/>
        <v>1.7999999999999999E-6</v>
      </c>
    </row>
    <row r="115" spans="1:17" x14ac:dyDescent="0.25">
      <c r="A115" s="1">
        <v>5.65</v>
      </c>
      <c r="B115" s="1">
        <v>6.5093999999999999E-2</v>
      </c>
      <c r="C115" s="1">
        <v>1.3822000000000001E-3</v>
      </c>
      <c r="D115" s="1">
        <v>1.7627999999999999E-3</v>
      </c>
      <c r="E115" s="1">
        <v>7.2367000000000001E-2</v>
      </c>
      <c r="F115" s="1">
        <v>2.8365999999999999E-7</v>
      </c>
      <c r="G115" s="1">
        <v>7.1737000000000002</v>
      </c>
      <c r="H115" s="1">
        <v>7.6946000000000006E-8</v>
      </c>
      <c r="I115" s="1">
        <f t="shared" si="9"/>
        <v>7.6946000000000006E-8</v>
      </c>
      <c r="J115" s="4">
        <f t="shared" si="10"/>
        <v>-1.4097338988639037E-9</v>
      </c>
      <c r="K115" s="4">
        <f t="shared" si="11"/>
        <v>-5.34716271669231E-9</v>
      </c>
      <c r="L115" s="4">
        <f t="shared" si="12"/>
        <v>-1.5198946635035866E-8</v>
      </c>
      <c r="M115" s="4">
        <f t="shared" si="14"/>
        <v>-1.0841163107704008E-8</v>
      </c>
      <c r="N115" s="5">
        <f t="shared" si="15"/>
        <v>1.6995966958761379E-7</v>
      </c>
      <c r="O115" s="5">
        <f t="shared" si="16"/>
        <v>2.8111720694075936E-7</v>
      </c>
      <c r="P115" s="5">
        <f t="shared" si="17"/>
        <v>1.3489231234716269E-6</v>
      </c>
      <c r="Q115" s="1">
        <f t="shared" si="13"/>
        <v>1.8000000000000001E-6</v>
      </c>
    </row>
    <row r="116" spans="1:17" x14ac:dyDescent="0.25">
      <c r="A116" s="1">
        <v>5.7</v>
      </c>
      <c r="B116" s="1">
        <v>6.5002000000000004E-2</v>
      </c>
      <c r="C116" s="1">
        <v>1.402E-3</v>
      </c>
      <c r="D116" s="1">
        <v>1.7991999999999999E-3</v>
      </c>
      <c r="E116" s="1">
        <v>7.2275000000000006E-2</v>
      </c>
      <c r="F116" s="1">
        <v>2.8841000000000003E-7</v>
      </c>
      <c r="G116" s="1">
        <v>7.1726000000000001</v>
      </c>
      <c r="H116" s="1">
        <v>7.7101999999999998E-8</v>
      </c>
      <c r="I116" s="1">
        <f t="shared" si="9"/>
        <v>7.7101999999999998E-8</v>
      </c>
      <c r="J116" s="4">
        <f t="shared" si="10"/>
        <v>-1.3675464146205571E-9</v>
      </c>
      <c r="K116" s="4">
        <f t="shared" si="11"/>
        <v>-5.4817855353447883E-9</v>
      </c>
      <c r="L116" s="4">
        <f t="shared" si="12"/>
        <v>-1.4478802448544398E-8</v>
      </c>
      <c r="M116" s="4">
        <f t="shared" si="14"/>
        <v>-1.0898395059157982E-8</v>
      </c>
      <c r="N116" s="5">
        <f t="shared" si="15"/>
        <v>1.5959510625979364E-7</v>
      </c>
      <c r="O116" s="5">
        <f t="shared" si="16"/>
        <v>2.8790136287919314E-7</v>
      </c>
      <c r="P116" s="5">
        <f t="shared" si="17"/>
        <v>1.3525035308610133E-6</v>
      </c>
      <c r="Q116" s="1">
        <f t="shared" si="13"/>
        <v>1.8000000000000001E-6</v>
      </c>
    </row>
    <row r="117" spans="1:17" x14ac:dyDescent="0.25">
      <c r="A117" s="1">
        <v>5.75</v>
      </c>
      <c r="B117" s="1">
        <v>6.4908999999999994E-2</v>
      </c>
      <c r="C117" s="1">
        <v>1.4216000000000001E-3</v>
      </c>
      <c r="D117" s="1">
        <v>1.8357E-3</v>
      </c>
      <c r="E117" s="1">
        <v>7.2182999999999997E-2</v>
      </c>
      <c r="F117" s="1">
        <v>2.9316000000000001E-7</v>
      </c>
      <c r="G117" s="1">
        <v>7.1715999999999998</v>
      </c>
      <c r="H117" s="1">
        <v>7.7259000000000004E-8</v>
      </c>
      <c r="I117" s="1">
        <f t="shared" si="9"/>
        <v>7.7259000000000004E-8</v>
      </c>
      <c r="J117" s="4">
        <f t="shared" si="10"/>
        <v>-1.3275173301843956E-9</v>
      </c>
      <c r="K117" s="4">
        <f t="shared" si="11"/>
        <v>-5.6140765761442462E-9</v>
      </c>
      <c r="L117" s="4">
        <f t="shared" si="12"/>
        <v>-1.3805943185471039E-8</v>
      </c>
      <c r="M117" s="4">
        <f t="shared" si="14"/>
        <v>-1.0949476359826776E-8</v>
      </c>
      <c r="N117" s="5">
        <f t="shared" si="15"/>
        <v>1.5007572232028245E-7</v>
      </c>
      <c r="O117" s="5">
        <f t="shared" si="16"/>
        <v>2.9456427999306007E-7</v>
      </c>
      <c r="P117" s="5">
        <f t="shared" si="17"/>
        <v>1.3553599976866577E-6</v>
      </c>
      <c r="Q117" s="1">
        <f t="shared" si="13"/>
        <v>1.8000000000000001E-6</v>
      </c>
    </row>
    <row r="118" spans="1:17" x14ac:dyDescent="0.25">
      <c r="A118" s="1">
        <v>5.8</v>
      </c>
      <c r="B118" s="1">
        <v>6.4817E-2</v>
      </c>
      <c r="C118" s="1">
        <v>1.4411000000000001E-3</v>
      </c>
      <c r="D118" s="1">
        <v>1.8722000000000001E-3</v>
      </c>
      <c r="E118" s="1">
        <v>7.2092000000000003E-2</v>
      </c>
      <c r="F118" s="1">
        <v>2.9789999999999999E-7</v>
      </c>
      <c r="G118" s="1">
        <v>7.1704999999999997</v>
      </c>
      <c r="H118" s="1">
        <v>7.7414999999999995E-8</v>
      </c>
      <c r="I118" s="1">
        <f t="shared" si="9"/>
        <v>7.7414999999999995E-8</v>
      </c>
      <c r="J118" s="4">
        <f t="shared" si="10"/>
        <v>-1.2897925627137124E-9</v>
      </c>
      <c r="K118" s="4">
        <f t="shared" si="11"/>
        <v>-5.744003459864651E-9</v>
      </c>
      <c r="L118" s="4">
        <f t="shared" si="12"/>
        <v>-1.3179477101262456E-8</v>
      </c>
      <c r="M118" s="4">
        <f t="shared" si="14"/>
        <v>-1.0994944596433678E-8</v>
      </c>
      <c r="N118" s="5">
        <f t="shared" si="15"/>
        <v>1.4135045611617093E-7</v>
      </c>
      <c r="O118" s="5">
        <f t="shared" si="16"/>
        <v>3.011050136923428E-7</v>
      </c>
      <c r="P118" s="5">
        <f t="shared" si="17"/>
        <v>1.3575445301914865E-6</v>
      </c>
      <c r="Q118" s="1">
        <f t="shared" si="13"/>
        <v>1.8000000000000001E-6</v>
      </c>
    </row>
    <row r="119" spans="1:17" x14ac:dyDescent="0.25">
      <c r="A119" s="1">
        <v>5.85</v>
      </c>
      <c r="B119" s="1">
        <v>6.4725000000000005E-2</v>
      </c>
      <c r="C119" s="1">
        <v>1.4606E-3</v>
      </c>
      <c r="D119" s="1">
        <v>1.9086999999999999E-3</v>
      </c>
      <c r="E119" s="1">
        <v>7.1999999999999995E-2</v>
      </c>
      <c r="F119" s="1">
        <v>3.0264999999999997E-7</v>
      </c>
      <c r="G119" s="1">
        <v>7.1695000000000002</v>
      </c>
      <c r="H119" s="1">
        <v>7.7571E-8</v>
      </c>
      <c r="I119" s="1">
        <f t="shared" si="9"/>
        <v>7.7571E-8</v>
      </c>
      <c r="J119" s="4">
        <f t="shared" si="10"/>
        <v>-1.2544062831260435E-9</v>
      </c>
      <c r="K119" s="4">
        <f t="shared" si="11"/>
        <v>-5.8715477670006644E-9</v>
      </c>
      <c r="L119" s="4">
        <f t="shared" si="12"/>
        <v>-1.2598037251324585E-8</v>
      </c>
      <c r="M119" s="4">
        <f t="shared" si="14"/>
        <v>-1.1034902529501222E-8</v>
      </c>
      <c r="N119" s="5">
        <f t="shared" si="15"/>
        <v>1.3336956034872095E-7</v>
      </c>
      <c r="O119" s="5">
        <f t="shared" si="16"/>
        <v>3.075227747379694E-7</v>
      </c>
      <c r="P119" s="5">
        <f t="shared" si="17"/>
        <v>1.3591076649133098E-6</v>
      </c>
      <c r="Q119" s="1">
        <f t="shared" si="13"/>
        <v>1.8000000000000001E-6</v>
      </c>
    </row>
    <row r="120" spans="1:17" x14ac:dyDescent="0.25">
      <c r="A120" s="1">
        <v>5.9</v>
      </c>
      <c r="B120" s="1">
        <v>6.4631999999999995E-2</v>
      </c>
      <c r="C120" s="1">
        <v>1.4798999999999999E-3</v>
      </c>
      <c r="D120" s="1">
        <v>1.9452E-3</v>
      </c>
      <c r="E120" s="1">
        <v>7.1908E-2</v>
      </c>
      <c r="F120" s="1">
        <v>3.0739E-7</v>
      </c>
      <c r="G120" s="1">
        <v>7.1684000000000001</v>
      </c>
      <c r="H120" s="1">
        <v>7.7727000000000005E-8</v>
      </c>
      <c r="I120" s="1">
        <f t="shared" si="9"/>
        <v>7.7727000000000005E-8</v>
      </c>
      <c r="J120" s="4">
        <f t="shared" si="10"/>
        <v>-1.2216254620077072E-9</v>
      </c>
      <c r="K120" s="4">
        <f t="shared" si="11"/>
        <v>-5.9966941073904882E-9</v>
      </c>
      <c r="L120" s="4">
        <f t="shared" si="12"/>
        <v>-1.2060852074934841E-8</v>
      </c>
      <c r="M120" s="4">
        <f t="shared" si="14"/>
        <v>-1.1069870770874143E-8</v>
      </c>
      <c r="N120" s="5">
        <f t="shared" si="15"/>
        <v>1.2608377691916888E-7</v>
      </c>
      <c r="O120" s="5">
        <f t="shared" si="16"/>
        <v>3.1381757686346076E-7</v>
      </c>
      <c r="P120" s="5">
        <f t="shared" si="17"/>
        <v>1.3600986462173705E-6</v>
      </c>
      <c r="Q120" s="1">
        <f t="shared" si="13"/>
        <v>1.8000000000000001E-6</v>
      </c>
    </row>
    <row r="121" spans="1:17" x14ac:dyDescent="0.25">
      <c r="A121" s="1">
        <v>5.95</v>
      </c>
      <c r="B121" s="1">
        <v>6.454E-2</v>
      </c>
      <c r="C121" s="1">
        <v>1.4991E-3</v>
      </c>
      <c r="D121" s="1">
        <v>1.9816999999999999E-3</v>
      </c>
      <c r="E121" s="1">
        <v>7.1816000000000005E-2</v>
      </c>
      <c r="F121" s="1">
        <v>3.1212999999999998E-7</v>
      </c>
      <c r="G121" s="1">
        <v>7.1673999999999998</v>
      </c>
      <c r="H121" s="1">
        <v>7.7883999999999998E-8</v>
      </c>
      <c r="I121" s="1">
        <f t="shared" si="9"/>
        <v>7.7883999999999998E-8</v>
      </c>
      <c r="J121" s="4">
        <f t="shared" si="10"/>
        <v>-1.1913481089418239E-9</v>
      </c>
      <c r="K121" s="4">
        <f t="shared" si="11"/>
        <v>-6.1194427488374628E-9</v>
      </c>
      <c r="L121" s="4">
        <f t="shared" si="12"/>
        <v>-1.156576200409327E-8</v>
      </c>
      <c r="M121" s="4">
        <f t="shared" si="14"/>
        <v>-1.1100220684826405E-8</v>
      </c>
      <c r="N121" s="5">
        <f t="shared" si="15"/>
        <v>1.1944610955497127E-7</v>
      </c>
      <c r="O121" s="5">
        <f t="shared" si="16"/>
        <v>3.1998970290839151E-7</v>
      </c>
      <c r="P121" s="5">
        <f t="shared" si="17"/>
        <v>1.3605641875366372E-6</v>
      </c>
      <c r="Q121" s="1">
        <f t="shared" si="13"/>
        <v>1.8000000000000001E-6</v>
      </c>
    </row>
    <row r="122" spans="1:17" x14ac:dyDescent="0.25">
      <c r="A122" s="1">
        <v>6</v>
      </c>
      <c r="B122" s="1">
        <v>6.4448000000000005E-2</v>
      </c>
      <c r="C122" s="1">
        <v>1.5183E-3</v>
      </c>
      <c r="D122" s="1">
        <v>2.0183000000000002E-3</v>
      </c>
      <c r="E122" s="1">
        <v>7.1724999999999997E-2</v>
      </c>
      <c r="F122" s="1">
        <v>3.1687E-7</v>
      </c>
      <c r="G122" s="1">
        <v>7.1664000000000003</v>
      </c>
      <c r="H122" s="1">
        <v>7.8040000000000003E-8</v>
      </c>
      <c r="I122" s="1">
        <f t="shared" si="9"/>
        <v>7.8040000000000003E-8</v>
      </c>
      <c r="J122" s="4">
        <f t="shared" si="10"/>
        <v>-1.1637053575565431E-9</v>
      </c>
      <c r="K122" s="4">
        <f t="shared" si="11"/>
        <v>-6.2397992067136126E-9</v>
      </c>
      <c r="L122" s="4">
        <f t="shared" si="12"/>
        <v>-1.1111605915063113E-8</v>
      </c>
      <c r="M122" s="4">
        <f t="shared" si="14"/>
        <v>-1.1126449024120822E-8</v>
      </c>
      <c r="N122" s="5">
        <f t="shared" si="15"/>
        <v>1.1341059748906523E-7</v>
      </c>
      <c r="O122" s="5">
        <f t="shared" si="16"/>
        <v>3.2604005808335521E-7</v>
      </c>
      <c r="P122" s="5">
        <f t="shared" si="17"/>
        <v>1.3605493444275795E-6</v>
      </c>
      <c r="Q122" s="1">
        <f t="shared" si="13"/>
        <v>1.7999999999999999E-6</v>
      </c>
    </row>
    <row r="123" spans="1:17" x14ac:dyDescent="0.25">
      <c r="A123" s="1">
        <v>6.05</v>
      </c>
      <c r="B123" s="1">
        <v>6.4355999999999997E-2</v>
      </c>
      <c r="C123" s="1">
        <v>1.5372999999999999E-3</v>
      </c>
      <c r="D123" s="1">
        <v>2.0547999999999999E-3</v>
      </c>
      <c r="E123" s="1">
        <v>7.1633000000000002E-2</v>
      </c>
      <c r="F123" s="1">
        <v>3.2161999999999999E-7</v>
      </c>
      <c r="G123" s="1">
        <v>7.1653000000000002</v>
      </c>
      <c r="H123" s="1">
        <v>7.8195999999999994E-8</v>
      </c>
      <c r="I123" s="1">
        <f t="shared" si="9"/>
        <v>7.8195999999999994E-8</v>
      </c>
      <c r="J123" s="4">
        <f t="shared" si="10"/>
        <v>-1.1387172146272684E-9</v>
      </c>
      <c r="K123" s="4">
        <f t="shared" si="11"/>
        <v>-6.3577811326254041E-9</v>
      </c>
      <c r="L123" s="4">
        <f t="shared" si="12"/>
        <v>-1.0696788673886277E-8</v>
      </c>
      <c r="M123" s="4">
        <f t="shared" si="14"/>
        <v>-1.1148613438108434E-8</v>
      </c>
      <c r="N123" s="5">
        <f t="shared" si="15"/>
        <v>1.079328727331771E-7</v>
      </c>
      <c r="O123" s="5">
        <f t="shared" si="16"/>
        <v>3.3196960760346553E-7</v>
      </c>
      <c r="P123" s="5">
        <f t="shared" si="17"/>
        <v>1.3600975196633574E-6</v>
      </c>
      <c r="Q123" s="1">
        <f t="shared" si="13"/>
        <v>1.7999999999999999E-6</v>
      </c>
    </row>
    <row r="124" spans="1:17" x14ac:dyDescent="0.25">
      <c r="A124" s="1">
        <v>6.1</v>
      </c>
      <c r="B124" s="1">
        <v>6.4264000000000002E-2</v>
      </c>
      <c r="C124" s="1">
        <v>1.5563E-3</v>
      </c>
      <c r="D124" s="1">
        <v>2.0914000000000002E-3</v>
      </c>
      <c r="E124" s="1">
        <v>7.1540999999999993E-2</v>
      </c>
      <c r="F124" s="1">
        <v>3.2636000000000002E-7</v>
      </c>
      <c r="G124" s="1">
        <v>7.1642999999999999</v>
      </c>
      <c r="H124" s="1">
        <v>7.8351999999999999E-8</v>
      </c>
      <c r="I124" s="1">
        <f t="shared" si="9"/>
        <v>7.8351999999999999E-8</v>
      </c>
      <c r="J124" s="4">
        <f t="shared" si="10"/>
        <v>-1.1164514229358252E-9</v>
      </c>
      <c r="K124" s="4">
        <f t="shared" si="11"/>
        <v>-6.4734073482675557E-9</v>
      </c>
      <c r="L124" s="4">
        <f t="shared" si="12"/>
        <v>-1.0319484914915809E-8</v>
      </c>
      <c r="M124" s="4">
        <f t="shared" si="14"/>
        <v>-1.1167189492997528E-8</v>
      </c>
      <c r="N124" s="5">
        <f t="shared" si="15"/>
        <v>1.0297034374359302E-7</v>
      </c>
      <c r="O124" s="5">
        <f t="shared" si="16"/>
        <v>3.3777984117113131E-7</v>
      </c>
      <c r="P124" s="5">
        <f t="shared" si="17"/>
        <v>1.3592498150852755E-6</v>
      </c>
      <c r="Q124" s="1">
        <f t="shared" si="13"/>
        <v>1.7999999999999997E-6</v>
      </c>
    </row>
    <row r="125" spans="1:17" x14ac:dyDescent="0.25">
      <c r="A125" s="1">
        <v>6.15</v>
      </c>
      <c r="B125" s="1">
        <v>6.4172000000000007E-2</v>
      </c>
      <c r="C125" s="1">
        <v>1.5751000000000001E-3</v>
      </c>
      <c r="D125" s="1">
        <v>2.1278999999999998E-3</v>
      </c>
      <c r="E125" s="1">
        <v>7.145E-2</v>
      </c>
      <c r="F125" s="1">
        <v>3.3109999999999999E-7</v>
      </c>
      <c r="G125" s="1">
        <v>7.1632999999999996</v>
      </c>
      <c r="H125" s="1">
        <v>7.8509000000000005E-8</v>
      </c>
      <c r="I125" s="1">
        <f t="shared" si="9"/>
        <v>7.8509000000000005E-8</v>
      </c>
      <c r="J125" s="4">
        <f t="shared" si="10"/>
        <v>-1.0967458795734296E-9</v>
      </c>
      <c r="K125" s="4">
        <f t="shared" si="11"/>
        <v>-6.586706902837154E-9</v>
      </c>
      <c r="L125" s="4">
        <f t="shared" si="12"/>
        <v>-9.9772806847602402E-9</v>
      </c>
      <c r="M125" s="4">
        <f t="shared" si="14"/>
        <v>-1.1182493858714116E-8</v>
      </c>
      <c r="N125" s="5">
        <f t="shared" si="15"/>
        <v>9.8483024082096515E-8</v>
      </c>
      <c r="O125" s="5">
        <f t="shared" si="16"/>
        <v>3.4347237400658174E-7</v>
      </c>
      <c r="P125" s="5">
        <f t="shared" si="17"/>
        <v>1.3580446019113215E-6</v>
      </c>
      <c r="Q125" s="1">
        <f t="shared" si="13"/>
        <v>1.7999999999999997E-6</v>
      </c>
    </row>
    <row r="126" spans="1:17" x14ac:dyDescent="0.25">
      <c r="A126" s="1">
        <v>6.2</v>
      </c>
      <c r="B126" s="1">
        <v>6.4079999999999998E-2</v>
      </c>
      <c r="C126" s="1">
        <v>1.5939000000000001E-3</v>
      </c>
      <c r="D126" s="1">
        <v>2.1645000000000002E-3</v>
      </c>
      <c r="E126" s="1">
        <v>7.1358000000000005E-2</v>
      </c>
      <c r="F126" s="1">
        <v>3.3584000000000002E-7</v>
      </c>
      <c r="G126" s="1">
        <v>7.1622000000000003</v>
      </c>
      <c r="H126" s="1">
        <v>7.8664999999999997E-8</v>
      </c>
      <c r="I126" s="1">
        <f t="shared" si="9"/>
        <v>7.8664999999999997E-8</v>
      </c>
      <c r="J126" s="4">
        <f t="shared" si="10"/>
        <v>-1.0796419162483011E-9</v>
      </c>
      <c r="K126" s="4">
        <f t="shared" si="11"/>
        <v>-6.6977112931283199E-9</v>
      </c>
      <c r="L126" s="4">
        <f t="shared" si="12"/>
        <v>-9.6687623648793628E-9</v>
      </c>
      <c r="M126" s="4">
        <f t="shared" si="14"/>
        <v>-1.1194965983402834E-8</v>
      </c>
      <c r="N126" s="5">
        <f t="shared" si="15"/>
        <v>9.4432331094097172E-8</v>
      </c>
      <c r="O126" s="5">
        <f t="shared" si="16"/>
        <v>3.4904927061310454E-7</v>
      </c>
      <c r="P126" s="5">
        <f t="shared" si="17"/>
        <v>1.3565183982927982E-6</v>
      </c>
      <c r="Q126" s="1">
        <f t="shared" si="13"/>
        <v>1.7999999999999999E-6</v>
      </c>
    </row>
    <row r="127" spans="1:17" x14ac:dyDescent="0.25">
      <c r="A127" s="1">
        <v>6.25</v>
      </c>
      <c r="B127" s="1">
        <v>6.3988000000000003E-2</v>
      </c>
      <c r="C127" s="1">
        <v>1.6126000000000001E-3</v>
      </c>
      <c r="D127" s="1">
        <v>2.2011000000000001E-3</v>
      </c>
      <c r="E127" s="1">
        <v>7.1265999999999996E-2</v>
      </c>
      <c r="F127" s="1">
        <v>3.4058E-7</v>
      </c>
      <c r="G127" s="1">
        <v>7.1612</v>
      </c>
      <c r="H127" s="1">
        <v>7.8821000000000002E-8</v>
      </c>
      <c r="I127" s="1">
        <f t="shared" si="9"/>
        <v>7.8821000000000002E-8</v>
      </c>
      <c r="J127" s="4">
        <f t="shared" si="10"/>
        <v>-1.0650881504427597E-9</v>
      </c>
      <c r="K127" s="4">
        <f t="shared" si="11"/>
        <v>-6.8064607769555144E-9</v>
      </c>
      <c r="L127" s="4">
        <f t="shared" si="12"/>
        <v>-9.3916932168018089E-9</v>
      </c>
      <c r="M127" s="4">
        <f t="shared" si="14"/>
        <v>-1.1204604579178772E-8</v>
      </c>
      <c r="N127" s="5">
        <f t="shared" si="15"/>
        <v>9.0782010503808125E-8</v>
      </c>
      <c r="O127" s="5">
        <f t="shared" si="16"/>
        <v>3.5451250256577056E-7</v>
      </c>
      <c r="P127" s="5">
        <f t="shared" si="17"/>
        <v>1.3547054869304211E-6</v>
      </c>
      <c r="Q127" s="1">
        <f t="shared" si="13"/>
        <v>1.7999999999999997E-6</v>
      </c>
    </row>
    <row r="128" spans="1:17" x14ac:dyDescent="0.25">
      <c r="A128" s="1">
        <v>6.3</v>
      </c>
      <c r="B128" s="1">
        <v>6.3895999999999994E-2</v>
      </c>
      <c r="C128" s="1">
        <v>1.6312E-3</v>
      </c>
      <c r="D128" s="1">
        <v>2.2377E-3</v>
      </c>
      <c r="E128" s="1">
        <v>7.1175000000000002E-2</v>
      </c>
      <c r="F128" s="1">
        <v>3.4532000000000002E-7</v>
      </c>
      <c r="G128" s="1">
        <v>7.1601999999999997</v>
      </c>
      <c r="H128" s="1">
        <v>7.8977000000000006E-8</v>
      </c>
      <c r="I128" s="1">
        <f t="shared" si="9"/>
        <v>7.8977000000000006E-8</v>
      </c>
      <c r="J128" s="4">
        <f t="shared" si="10"/>
        <v>-1.0530235378251217E-9</v>
      </c>
      <c r="K128" s="4">
        <f t="shared" si="11"/>
        <v>-6.9129938000325017E-9</v>
      </c>
      <c r="L128" s="4">
        <f t="shared" si="12"/>
        <v>-9.1442779406769986E-9</v>
      </c>
      <c r="M128" s="4">
        <f t="shared" si="14"/>
        <v>-1.1211820324460947E-8</v>
      </c>
      <c r="N128" s="5">
        <f t="shared" si="15"/>
        <v>8.7497702825338499E-8</v>
      </c>
      <c r="O128" s="5">
        <f t="shared" si="16"/>
        <v>3.5986435262802411E-7</v>
      </c>
      <c r="P128" s="5">
        <f t="shared" si="17"/>
        <v>1.3526379445466371E-6</v>
      </c>
      <c r="Q128" s="1">
        <f t="shared" si="13"/>
        <v>1.7999999999999997E-6</v>
      </c>
    </row>
    <row r="129" spans="1:17" x14ac:dyDescent="0.25">
      <c r="A129" s="1">
        <v>6.35</v>
      </c>
      <c r="B129" s="1">
        <v>6.3805000000000001E-2</v>
      </c>
      <c r="C129" s="1">
        <v>1.6497E-3</v>
      </c>
      <c r="D129" s="1">
        <v>2.2742999999999999E-3</v>
      </c>
      <c r="E129" s="1">
        <v>7.1082999999999993E-2</v>
      </c>
      <c r="F129" s="1">
        <v>3.5006E-7</v>
      </c>
      <c r="G129" s="1">
        <v>7.1592000000000002</v>
      </c>
      <c r="H129" s="1">
        <v>7.9132999999999998E-8</v>
      </c>
      <c r="I129" s="1">
        <f t="shared" si="9"/>
        <v>7.9132999999999998E-8</v>
      </c>
      <c r="J129" s="4">
        <f t="shared" si="10"/>
        <v>-1.0433742531334485E-9</v>
      </c>
      <c r="K129" s="4">
        <f t="shared" si="11"/>
        <v>-7.0173548762464457E-9</v>
      </c>
      <c r="L129" s="4">
        <f t="shared" si="12"/>
        <v>-8.9247067716062972E-9</v>
      </c>
      <c r="M129" s="4">
        <f t="shared" si="14"/>
        <v>-1.1216865129378236E-8</v>
      </c>
      <c r="N129" s="5">
        <f t="shared" si="15"/>
        <v>8.4546976676845196E-8</v>
      </c>
      <c r="O129" s="5">
        <f t="shared" si="16"/>
        <v>3.6510723713428935E-7</v>
      </c>
      <c r="P129" s="5">
        <f t="shared" si="17"/>
        <v>1.3503457861888651E-6</v>
      </c>
      <c r="Q129" s="1">
        <f t="shared" si="13"/>
        <v>1.7999999999999997E-6</v>
      </c>
    </row>
    <row r="130" spans="1:17" x14ac:dyDescent="0.25">
      <c r="A130" s="1">
        <v>6.4</v>
      </c>
      <c r="B130" s="1">
        <v>6.3713000000000006E-2</v>
      </c>
      <c r="C130" s="1">
        <v>1.6681000000000001E-3</v>
      </c>
      <c r="D130" s="1">
        <v>2.3110000000000001E-3</v>
      </c>
      <c r="E130" s="1">
        <v>7.0990999999999999E-2</v>
      </c>
      <c r="F130" s="1">
        <v>3.5479999999999997E-7</v>
      </c>
      <c r="G130" s="1">
        <v>7.1581000000000001</v>
      </c>
      <c r="H130" s="1">
        <v>7.9289000000000003E-8</v>
      </c>
      <c r="I130" s="1">
        <f t="shared" si="9"/>
        <v>7.9289000000000003E-8</v>
      </c>
      <c r="J130" s="4">
        <f t="shared" si="10"/>
        <v>-1.0360555920303227E-9</v>
      </c>
      <c r="K130" s="4">
        <f t="shared" si="11"/>
        <v>-7.1195911241187443E-9</v>
      </c>
      <c r="L130" s="4">
        <f t="shared" si="12"/>
        <v>-8.730807562715233E-9</v>
      </c>
      <c r="M130" s="4">
        <f t="shared" si="14"/>
        <v>-1.1219975875340923E-8</v>
      </c>
      <c r="N130" s="5">
        <f t="shared" si="15"/>
        <v>8.1899704646218373E-8</v>
      </c>
      <c r="O130" s="5">
        <f t="shared" si="16"/>
        <v>3.7024367747754189E-7</v>
      </c>
      <c r="P130" s="5">
        <f t="shared" si="17"/>
        <v>1.3478566178762394E-6</v>
      </c>
      <c r="Q130" s="1">
        <f t="shared" si="13"/>
        <v>1.7999999999999997E-6</v>
      </c>
    </row>
    <row r="131" spans="1:17" x14ac:dyDescent="0.25">
      <c r="A131" s="1">
        <v>6.45</v>
      </c>
      <c r="B131" s="1">
        <v>6.3620999999999997E-2</v>
      </c>
      <c r="C131" s="1">
        <v>1.6865000000000001E-3</v>
      </c>
      <c r="D131" s="1">
        <v>2.3476E-3</v>
      </c>
      <c r="E131" s="1">
        <v>7.0900000000000005E-2</v>
      </c>
      <c r="F131" s="1">
        <v>3.5954E-7</v>
      </c>
      <c r="G131" s="1">
        <v>7.1570999999999998</v>
      </c>
      <c r="H131" s="1">
        <v>7.9444999999999994E-8</v>
      </c>
      <c r="I131" s="1">
        <f t="shared" ref="I131:I194" si="18">H131</f>
        <v>7.9444999999999994E-8</v>
      </c>
      <c r="J131" s="4">
        <f t="shared" ref="J131:J194" si="19">(-$T$4*F130^2*N130)*(A131-A130)</f>
        <v>-1.0309783795968054E-9</v>
      </c>
      <c r="K131" s="4">
        <f t="shared" ref="K131:K194" si="20">-O130*$T$7*(A131-A130)</f>
        <v>-7.2197517108120419E-9</v>
      </c>
      <c r="L131" s="4">
        <f t="shared" ref="L131:L194" si="21">-$T$5*F130*E130*(A131-A130)*N130</f>
        <v>-8.5608588643100577E-9</v>
      </c>
      <c r="M131" s="4">
        <f t="shared" si="14"/>
        <v>-1.1221371354352821E-8</v>
      </c>
      <c r="N131" s="5">
        <f t="shared" si="15"/>
        <v>7.9527619113123556E-8</v>
      </c>
      <c r="O131" s="5">
        <f t="shared" si="16"/>
        <v>3.7527627550067948E-7</v>
      </c>
      <c r="P131" s="5">
        <f t="shared" si="17"/>
        <v>1.3451961053861966E-6</v>
      </c>
      <c r="Q131" s="1">
        <f t="shared" ref="Q131:Q194" si="22">N131+O131+P131</f>
        <v>1.7999999999999997E-6</v>
      </c>
    </row>
    <row r="132" spans="1:17" x14ac:dyDescent="0.25">
      <c r="A132" s="1">
        <v>6.5</v>
      </c>
      <c r="B132" s="1">
        <v>6.3530000000000003E-2</v>
      </c>
      <c r="C132" s="1">
        <v>1.7047E-3</v>
      </c>
      <c r="D132" s="1">
        <v>2.3841999999999999E-3</v>
      </c>
      <c r="E132" s="1">
        <v>7.0807999999999996E-2</v>
      </c>
      <c r="F132" s="1">
        <v>3.6428999999999999E-7</v>
      </c>
      <c r="G132" s="1">
        <v>7.1561000000000003</v>
      </c>
      <c r="H132" s="1">
        <v>7.9602E-8</v>
      </c>
      <c r="I132" s="1">
        <f t="shared" si="18"/>
        <v>7.9602E-8</v>
      </c>
      <c r="J132" s="4">
        <f t="shared" si="19"/>
        <v>-1.0280456717654714E-9</v>
      </c>
      <c r="K132" s="4">
        <f t="shared" si="20"/>
        <v>-7.317887372263224E-9</v>
      </c>
      <c r="L132" s="4">
        <f t="shared" si="21"/>
        <v>-8.4131673313654524E-9</v>
      </c>
      <c r="M132" s="4">
        <f t="shared" ref="M132:M195" si="23">-P131*$T$8*I131*(A132-A131)</f>
        <v>-1.1221255982202631E-8</v>
      </c>
      <c r="N132" s="5">
        <f t="shared" ref="N132:N195" si="24">N131+J132-K132+L132</f>
        <v>7.7404293482255853E-8</v>
      </c>
      <c r="O132" s="5">
        <f t="shared" ref="O132:O195" si="25">-J132+O131+K132-M132</f>
        <v>3.802076897823844E-7</v>
      </c>
      <c r="P132" s="5">
        <f t="shared" ref="P132:P195" si="26">P131-L132+M132</f>
        <v>1.3423880167353595E-6</v>
      </c>
      <c r="Q132" s="1">
        <f t="shared" si="22"/>
        <v>1.7999999999999997E-6</v>
      </c>
    </row>
    <row r="133" spans="1:17" x14ac:dyDescent="0.25">
      <c r="A133" s="1">
        <v>6.55</v>
      </c>
      <c r="B133" s="1">
        <v>6.3438999999999995E-2</v>
      </c>
      <c r="C133" s="1">
        <v>1.7229000000000001E-3</v>
      </c>
      <c r="D133" s="1">
        <v>2.4209000000000001E-3</v>
      </c>
      <c r="E133" s="1">
        <v>7.0717000000000002E-2</v>
      </c>
      <c r="F133" s="1">
        <v>3.6903000000000002E-7</v>
      </c>
      <c r="G133" s="1">
        <v>7.1551</v>
      </c>
      <c r="H133" s="1">
        <v>7.9758000000000005E-8</v>
      </c>
      <c r="I133" s="1">
        <f t="shared" si="18"/>
        <v>7.9758000000000005E-8</v>
      </c>
      <c r="J133" s="4">
        <f t="shared" si="19"/>
        <v>-1.027210737336599E-9</v>
      </c>
      <c r="K133" s="4">
        <f t="shared" si="20"/>
        <v>-7.4140499507564695E-9</v>
      </c>
      <c r="L133" s="4">
        <f t="shared" si="21"/>
        <v>-8.2859579522006937E-9</v>
      </c>
      <c r="M133" s="4">
        <f t="shared" si="23"/>
        <v>-1.1219960945357608E-8</v>
      </c>
      <c r="N133" s="5">
        <f t="shared" si="24"/>
        <v>7.5505174743475026E-8</v>
      </c>
      <c r="O133" s="5">
        <f t="shared" si="25"/>
        <v>3.8504081151432215E-7</v>
      </c>
      <c r="P133" s="5">
        <f t="shared" si="26"/>
        <v>1.3394540137422027E-6</v>
      </c>
      <c r="Q133" s="1">
        <f t="shared" si="22"/>
        <v>1.7999999999999997E-6</v>
      </c>
    </row>
    <row r="134" spans="1:17" x14ac:dyDescent="0.25">
      <c r="A134" s="1">
        <v>6.6</v>
      </c>
      <c r="B134" s="1">
        <v>6.3347000000000001E-2</v>
      </c>
      <c r="C134" s="1">
        <v>1.7409999999999999E-3</v>
      </c>
      <c r="D134" s="1">
        <v>2.4575E-3</v>
      </c>
      <c r="E134" s="1">
        <v>7.0624999999999993E-2</v>
      </c>
      <c r="F134" s="1">
        <v>3.7376999999999999E-7</v>
      </c>
      <c r="G134" s="1">
        <v>7.1540999999999997</v>
      </c>
      <c r="H134" s="1">
        <v>7.9913999999999997E-8</v>
      </c>
      <c r="I134" s="1">
        <f t="shared" si="18"/>
        <v>7.9913999999999997E-8</v>
      </c>
      <c r="J134" s="4">
        <f t="shared" si="19"/>
        <v>-1.0282531850769746E-9</v>
      </c>
      <c r="K134" s="4">
        <f t="shared" si="20"/>
        <v>-7.5082958245292554E-9</v>
      </c>
      <c r="L134" s="4">
        <f t="shared" si="21"/>
        <v>-8.1773072386992079E-9</v>
      </c>
      <c r="M134" s="4">
        <f t="shared" si="23"/>
        <v>-1.1217378188945274E-8</v>
      </c>
      <c r="N134" s="5">
        <f t="shared" si="24"/>
        <v>7.3807910144228098E-8</v>
      </c>
      <c r="O134" s="5">
        <f t="shared" si="25"/>
        <v>3.8977814706381519E-7</v>
      </c>
      <c r="P134" s="5">
        <f t="shared" si="26"/>
        <v>1.3364139427919565E-6</v>
      </c>
      <c r="Q134" s="1">
        <f t="shared" si="22"/>
        <v>1.7999999999999997E-6</v>
      </c>
    </row>
    <row r="135" spans="1:17" x14ac:dyDescent="0.25">
      <c r="A135" s="1">
        <v>6.65</v>
      </c>
      <c r="B135" s="1">
        <v>6.3256000000000007E-2</v>
      </c>
      <c r="C135" s="1">
        <v>1.7589999999999999E-3</v>
      </c>
      <c r="D135" s="1">
        <v>2.4941999999999998E-3</v>
      </c>
      <c r="E135" s="1">
        <v>7.0533999999999999E-2</v>
      </c>
      <c r="F135" s="1">
        <v>3.7851000000000002E-7</v>
      </c>
      <c r="G135" s="1">
        <v>7.1531000000000002</v>
      </c>
      <c r="H135" s="1">
        <v>8.0070000000000002E-8</v>
      </c>
      <c r="I135" s="1">
        <f t="shared" si="18"/>
        <v>8.0070000000000002E-8</v>
      </c>
      <c r="J135" s="4">
        <f t="shared" si="19"/>
        <v>-1.0311261230911429E-9</v>
      </c>
      <c r="K135" s="4">
        <f t="shared" si="20"/>
        <v>-7.6006738677445039E-9</v>
      </c>
      <c r="L135" s="4">
        <f t="shared" si="21"/>
        <v>-8.0856307927266689E-9</v>
      </c>
      <c r="M135" s="4">
        <f t="shared" si="23"/>
        <v>-1.1213809301549181E-8</v>
      </c>
      <c r="N135" s="5">
        <f t="shared" si="24"/>
        <v>7.2291827096154787E-8</v>
      </c>
      <c r="O135" s="5">
        <f t="shared" si="25"/>
        <v>3.9442240862071105E-7</v>
      </c>
      <c r="P135" s="5">
        <f t="shared" si="26"/>
        <v>1.3332857642831339E-6</v>
      </c>
      <c r="Q135" s="1">
        <f t="shared" si="22"/>
        <v>1.7999999999999997E-6</v>
      </c>
    </row>
    <row r="136" spans="1:17" x14ac:dyDescent="0.25">
      <c r="A136" s="1">
        <v>6.7</v>
      </c>
      <c r="B136" s="1">
        <v>6.3164999999999999E-2</v>
      </c>
      <c r="C136" s="1">
        <v>1.7769000000000001E-3</v>
      </c>
      <c r="D136" s="1">
        <v>2.5308000000000002E-3</v>
      </c>
      <c r="E136" s="1">
        <v>7.0442000000000005E-2</v>
      </c>
      <c r="F136" s="1">
        <v>3.8326000000000001E-7</v>
      </c>
      <c r="G136" s="1">
        <v>7.1520999999999999</v>
      </c>
      <c r="H136" s="1">
        <v>8.0226000000000006E-8</v>
      </c>
      <c r="I136" s="1">
        <f t="shared" si="18"/>
        <v>8.0226000000000006E-8</v>
      </c>
      <c r="J136" s="4">
        <f t="shared" si="19"/>
        <v>-1.0357237062766365E-9</v>
      </c>
      <c r="K136" s="4">
        <f t="shared" si="20"/>
        <v>-7.6912369681038381E-9</v>
      </c>
      <c r="L136" s="4">
        <f t="shared" si="21"/>
        <v>-8.0096431792777615E-9</v>
      </c>
      <c r="M136" s="4">
        <f t="shared" si="23"/>
        <v>-1.1209400070345765E-8</v>
      </c>
      <c r="N136" s="5">
        <f t="shared" si="24"/>
        <v>7.0937697178704228E-8</v>
      </c>
      <c r="O136" s="5">
        <f t="shared" si="25"/>
        <v>3.989762954292296E-7</v>
      </c>
      <c r="P136" s="5">
        <f t="shared" si="26"/>
        <v>1.3300860073920661E-6</v>
      </c>
      <c r="Q136" s="1">
        <f t="shared" si="22"/>
        <v>1.7999999999999999E-6</v>
      </c>
    </row>
    <row r="137" spans="1:17" x14ac:dyDescent="0.25">
      <c r="A137" s="1">
        <v>6.75</v>
      </c>
      <c r="B137" s="1">
        <v>6.3074000000000005E-2</v>
      </c>
      <c r="C137" s="1">
        <v>1.7948E-3</v>
      </c>
      <c r="D137" s="1">
        <v>2.5674999999999999E-3</v>
      </c>
      <c r="E137" s="1">
        <v>7.0350999999999997E-2</v>
      </c>
      <c r="F137" s="1">
        <v>3.8799999999999998E-7</v>
      </c>
      <c r="G137" s="1">
        <v>7.1510999999999996</v>
      </c>
      <c r="H137" s="1">
        <v>8.0381999999999998E-8</v>
      </c>
      <c r="I137" s="1">
        <f t="shared" si="18"/>
        <v>8.0381999999999998E-8</v>
      </c>
      <c r="J137" s="4">
        <f t="shared" si="19"/>
        <v>-1.0419912608605349E-9</v>
      </c>
      <c r="K137" s="4">
        <f t="shared" si="20"/>
        <v>-7.7800377608699495E-9</v>
      </c>
      <c r="L137" s="4">
        <f t="shared" si="21"/>
        <v>-7.9478627002500091E-9</v>
      </c>
      <c r="M137" s="4">
        <f t="shared" si="23"/>
        <v>-1.120428540304873E-8</v>
      </c>
      <c r="N137" s="5">
        <f t="shared" si="24"/>
        <v>6.9727880978463624E-8</v>
      </c>
      <c r="O137" s="5">
        <f t="shared" si="25"/>
        <v>4.034425343322689E-7</v>
      </c>
      <c r="P137" s="5">
        <f t="shared" si="26"/>
        <v>1.3268295846892672E-6</v>
      </c>
      <c r="Q137" s="1">
        <f t="shared" si="22"/>
        <v>1.7999999999999997E-6</v>
      </c>
    </row>
    <row r="138" spans="1:17" x14ac:dyDescent="0.25">
      <c r="A138" s="1">
        <v>6.8</v>
      </c>
      <c r="B138" s="1">
        <v>6.2981999999999996E-2</v>
      </c>
      <c r="C138" s="1">
        <v>1.8125999999999999E-3</v>
      </c>
      <c r="D138" s="1">
        <v>2.6042000000000001E-3</v>
      </c>
      <c r="E138" s="1">
        <v>7.0260000000000003E-2</v>
      </c>
      <c r="F138" s="1">
        <v>3.9275000000000002E-7</v>
      </c>
      <c r="G138" s="1">
        <v>7.1501000000000001</v>
      </c>
      <c r="H138" s="1">
        <v>8.0537000000000002E-8</v>
      </c>
      <c r="I138" s="1">
        <f t="shared" si="18"/>
        <v>8.0537000000000002E-8</v>
      </c>
      <c r="J138" s="4">
        <f t="shared" si="19"/>
        <v>-1.0497114114021788E-9</v>
      </c>
      <c r="K138" s="4">
        <f t="shared" si="20"/>
        <v>-7.8671294194792168E-9</v>
      </c>
      <c r="L138" s="4">
        <f t="shared" si="21"/>
        <v>-7.8987171943235054E-9</v>
      </c>
      <c r="M138" s="4">
        <f t="shared" si="23"/>
        <v>-1.1198587646031692E-8</v>
      </c>
      <c r="N138" s="5">
        <f t="shared" si="24"/>
        <v>6.8646581792217152E-8</v>
      </c>
      <c r="O138" s="5">
        <f t="shared" si="25"/>
        <v>4.0782370397022356E-7</v>
      </c>
      <c r="P138" s="5">
        <f t="shared" si="26"/>
        <v>1.323529714237559E-6</v>
      </c>
      <c r="Q138" s="1">
        <f t="shared" si="22"/>
        <v>1.7999999999999997E-6</v>
      </c>
    </row>
    <row r="139" spans="1:17" x14ac:dyDescent="0.25">
      <c r="A139" s="1">
        <v>6.85</v>
      </c>
      <c r="B139" s="1">
        <v>6.2891000000000002E-2</v>
      </c>
      <c r="C139" s="1">
        <v>1.8303E-3</v>
      </c>
      <c r="D139" s="1">
        <v>2.6408E-3</v>
      </c>
      <c r="E139" s="1">
        <v>7.0167999999999994E-2</v>
      </c>
      <c r="F139" s="1">
        <v>3.9748999999999999E-7</v>
      </c>
      <c r="G139" s="1">
        <v>7.1490999999999998</v>
      </c>
      <c r="H139" s="1">
        <v>8.0692999999999993E-8</v>
      </c>
      <c r="I139" s="1">
        <f t="shared" si="18"/>
        <v>8.0692999999999993E-8</v>
      </c>
      <c r="J139" s="4">
        <f t="shared" si="19"/>
        <v>-1.0588911148315301E-9</v>
      </c>
      <c r="K139" s="4">
        <f t="shared" si="20"/>
        <v>-7.9525622274193329E-9</v>
      </c>
      <c r="L139" s="4">
        <f t="shared" si="21"/>
        <v>-7.8612453818322787E-9</v>
      </c>
      <c r="M139" s="4">
        <f t="shared" si="23"/>
        <v>-1.1192276822532741E-8</v>
      </c>
      <c r="N139" s="5">
        <f t="shared" si="24"/>
        <v>6.7679007522972679E-8</v>
      </c>
      <c r="O139" s="5">
        <f t="shared" si="25"/>
        <v>4.1212230968016854E-7</v>
      </c>
      <c r="P139" s="5">
        <f t="shared" si="26"/>
        <v>1.3201986827968587E-6</v>
      </c>
      <c r="Q139" s="1">
        <f t="shared" si="22"/>
        <v>1.7999999999999999E-6</v>
      </c>
    </row>
    <row r="140" spans="1:17" x14ac:dyDescent="0.25">
      <c r="A140" s="1">
        <v>6.9</v>
      </c>
      <c r="B140" s="1">
        <v>6.2800999999999996E-2</v>
      </c>
      <c r="C140" s="1">
        <v>1.8479E-3</v>
      </c>
      <c r="D140" s="1">
        <v>2.6775000000000002E-3</v>
      </c>
      <c r="E140" s="1">
        <v>7.0077E-2</v>
      </c>
      <c r="F140" s="1">
        <v>4.0223999999999998E-7</v>
      </c>
      <c r="G140" s="1">
        <v>7.1481000000000003</v>
      </c>
      <c r="H140" s="1">
        <v>8.0848999999999998E-8</v>
      </c>
      <c r="I140" s="1">
        <f t="shared" si="18"/>
        <v>8.0848999999999998E-8</v>
      </c>
      <c r="J140" s="4">
        <f t="shared" si="19"/>
        <v>-1.0693168141084947E-9</v>
      </c>
      <c r="K140" s="4">
        <f t="shared" si="20"/>
        <v>-8.036385038763401E-9</v>
      </c>
      <c r="L140" s="4">
        <f t="shared" si="21"/>
        <v>-7.8337080726889765E-9</v>
      </c>
      <c r="M140" s="4">
        <f t="shared" si="23"/>
        <v>-1.1185733192647485E-8</v>
      </c>
      <c r="N140" s="5">
        <f t="shared" si="24"/>
        <v>6.6812367674938614E-8</v>
      </c>
      <c r="O140" s="5">
        <f t="shared" si="25"/>
        <v>4.1634097464816117E-7</v>
      </c>
      <c r="P140" s="5">
        <f t="shared" si="26"/>
        <v>1.3168466576769002E-6</v>
      </c>
      <c r="Q140" s="1">
        <f t="shared" si="22"/>
        <v>1.8000000000000001E-6</v>
      </c>
    </row>
    <row r="141" spans="1:17" x14ac:dyDescent="0.25">
      <c r="A141" s="1">
        <v>6.95</v>
      </c>
      <c r="B141" s="1">
        <v>6.2710000000000002E-2</v>
      </c>
      <c r="C141" s="1">
        <v>1.8653999999999999E-3</v>
      </c>
      <c r="D141" s="1">
        <v>2.7141999999999999E-3</v>
      </c>
      <c r="E141" s="1">
        <v>6.9985000000000006E-2</v>
      </c>
      <c r="F141" s="1">
        <v>4.0698000000000001E-7</v>
      </c>
      <c r="G141" s="1">
        <v>7.1471</v>
      </c>
      <c r="H141" s="1">
        <v>8.1005000000000003E-8</v>
      </c>
      <c r="I141" s="1">
        <f t="shared" si="18"/>
        <v>8.1005000000000003E-8</v>
      </c>
      <c r="J141" s="4">
        <f t="shared" si="19"/>
        <v>-1.0810041828599674E-9</v>
      </c>
      <c r="K141" s="4">
        <f t="shared" si="20"/>
        <v>-8.118649005639114E-9</v>
      </c>
      <c r="L141" s="4">
        <f t="shared" si="21"/>
        <v>-7.8156610483157682E-9</v>
      </c>
      <c r="M141" s="4">
        <f t="shared" si="23"/>
        <v>-1.1178902219784531E-8</v>
      </c>
      <c r="N141" s="5">
        <f t="shared" si="24"/>
        <v>6.6034351449401983E-8</v>
      </c>
      <c r="O141" s="5">
        <f t="shared" si="25"/>
        <v>4.2048223204516651E-7</v>
      </c>
      <c r="P141" s="5">
        <f t="shared" si="26"/>
        <v>1.3134834165054313E-6</v>
      </c>
      <c r="Q141" s="1">
        <f t="shared" si="22"/>
        <v>1.7999999999999997E-6</v>
      </c>
    </row>
    <row r="142" spans="1:17" x14ac:dyDescent="0.25">
      <c r="A142" s="1">
        <v>7</v>
      </c>
      <c r="B142" s="1">
        <v>6.2618999999999994E-2</v>
      </c>
      <c r="C142" s="1">
        <v>1.8829000000000001E-3</v>
      </c>
      <c r="D142" s="1">
        <v>2.7509000000000001E-3</v>
      </c>
      <c r="E142" s="1">
        <v>6.9893999999999998E-2</v>
      </c>
      <c r="F142" s="1">
        <v>4.1172999999999999E-7</v>
      </c>
      <c r="G142" s="1">
        <v>7.1460999999999997</v>
      </c>
      <c r="H142" s="1">
        <v>8.1160999999999995E-8</v>
      </c>
      <c r="I142" s="1">
        <f t="shared" si="18"/>
        <v>8.1160999999999995E-8</v>
      </c>
      <c r="J142" s="4">
        <f t="shared" si="19"/>
        <v>-1.0937449270414095E-9</v>
      </c>
      <c r="K142" s="4">
        <f t="shared" si="20"/>
        <v>-8.1994035248807184E-9</v>
      </c>
      <c r="L142" s="4">
        <f t="shared" si="21"/>
        <v>-7.8054158849039535E-9</v>
      </c>
      <c r="M142" s="4">
        <f t="shared" si="23"/>
        <v>-1.117186603617232E-8</v>
      </c>
      <c r="N142" s="5">
        <f t="shared" si="24"/>
        <v>6.5334594162337337E-8</v>
      </c>
      <c r="O142" s="5">
        <f t="shared" si="25"/>
        <v>4.2454843948349951E-7</v>
      </c>
      <c r="P142" s="5">
        <f t="shared" si="26"/>
        <v>1.310116966354163E-6</v>
      </c>
      <c r="Q142" s="1">
        <f t="shared" si="22"/>
        <v>1.7999999999999997E-6</v>
      </c>
    </row>
    <row r="143" spans="1:17" x14ac:dyDescent="0.25">
      <c r="A143" s="1">
        <v>7.05</v>
      </c>
      <c r="B143" s="1">
        <v>6.2528E-2</v>
      </c>
      <c r="C143" s="1">
        <v>1.9002999999999999E-3</v>
      </c>
      <c r="D143" s="1">
        <v>2.7875999999999999E-3</v>
      </c>
      <c r="E143" s="1">
        <v>6.9803000000000004E-2</v>
      </c>
      <c r="F143" s="1">
        <v>4.1647999999999998E-7</v>
      </c>
      <c r="G143" s="1">
        <v>7.1451000000000002</v>
      </c>
      <c r="H143" s="1">
        <v>8.1317E-8</v>
      </c>
      <c r="I143" s="1">
        <f t="shared" si="18"/>
        <v>8.1317E-8</v>
      </c>
      <c r="J143" s="4">
        <f t="shared" si="19"/>
        <v>-1.1075624473874427E-9</v>
      </c>
      <c r="K143" s="4">
        <f t="shared" si="20"/>
        <v>-8.2786945699282106E-9</v>
      </c>
      <c r="L143" s="4">
        <f t="shared" si="21"/>
        <v>-7.8026783145616383E-9</v>
      </c>
      <c r="M143" s="4">
        <f t="shared" si="23"/>
        <v>-1.1164692326158333E-8</v>
      </c>
      <c r="N143" s="5">
        <f t="shared" si="24"/>
        <v>6.4703047970316467E-8</v>
      </c>
      <c r="O143" s="5">
        <f t="shared" si="25"/>
        <v>4.2854199968711704E-7</v>
      </c>
      <c r="P143" s="5">
        <f t="shared" si="26"/>
        <v>1.3067549523425664E-6</v>
      </c>
      <c r="Q143" s="1">
        <f t="shared" si="22"/>
        <v>1.7999999999999999E-6</v>
      </c>
    </row>
    <row r="144" spans="1:17" x14ac:dyDescent="0.25">
      <c r="A144" s="1">
        <v>7.1</v>
      </c>
      <c r="B144" s="1">
        <v>6.2438E-2</v>
      </c>
      <c r="C144" s="1">
        <v>1.9176E-3</v>
      </c>
      <c r="D144" s="1">
        <v>2.8243000000000001E-3</v>
      </c>
      <c r="E144" s="1">
        <v>6.9711999999999996E-2</v>
      </c>
      <c r="F144" s="1">
        <v>4.2123000000000002E-7</v>
      </c>
      <c r="G144" s="1">
        <v>7.1440999999999999</v>
      </c>
      <c r="H144" s="1">
        <v>8.1472000000000003E-8</v>
      </c>
      <c r="I144" s="1">
        <f t="shared" si="18"/>
        <v>8.1472000000000003E-8</v>
      </c>
      <c r="J144" s="4">
        <f t="shared" si="19"/>
        <v>-1.1223105386370724E-9</v>
      </c>
      <c r="K144" s="4">
        <f t="shared" si="20"/>
        <v>-8.3565689938987538E-9</v>
      </c>
      <c r="L144" s="4">
        <f t="shared" si="21"/>
        <v>-7.8062251847197171E-9</v>
      </c>
      <c r="M144" s="4">
        <f t="shared" si="23"/>
        <v>-1.1157446208262209E-8</v>
      </c>
      <c r="N144" s="5">
        <f t="shared" si="24"/>
        <v>6.4131081240858434E-8</v>
      </c>
      <c r="O144" s="5">
        <f t="shared" si="25"/>
        <v>4.3246518744011754E-7</v>
      </c>
      <c r="P144" s="5">
        <f t="shared" si="26"/>
        <v>1.3034037313190239E-6</v>
      </c>
      <c r="Q144" s="1">
        <f t="shared" si="22"/>
        <v>1.7999999999999999E-6</v>
      </c>
    </row>
    <row r="145" spans="1:17" x14ac:dyDescent="0.25">
      <c r="A145" s="1">
        <v>7.15</v>
      </c>
      <c r="B145" s="1">
        <v>6.2347E-2</v>
      </c>
      <c r="C145" s="1">
        <v>1.9348E-3</v>
      </c>
      <c r="D145" s="1">
        <v>2.8609999999999998E-3</v>
      </c>
      <c r="E145" s="1">
        <v>6.9620000000000001E-2</v>
      </c>
      <c r="F145" s="1">
        <v>4.2597E-7</v>
      </c>
      <c r="G145" s="1">
        <v>7.1430999999999996</v>
      </c>
      <c r="H145" s="1">
        <v>8.1627999999999995E-8</v>
      </c>
      <c r="I145" s="1">
        <f t="shared" si="18"/>
        <v>8.1627999999999995E-8</v>
      </c>
      <c r="J145" s="4">
        <f t="shared" si="19"/>
        <v>-1.1379079987938456E-9</v>
      </c>
      <c r="K145" s="4">
        <f t="shared" si="20"/>
        <v>-8.4330711550824116E-9</v>
      </c>
      <c r="L145" s="4">
        <f t="shared" si="21"/>
        <v>-7.8152611639592077E-9</v>
      </c>
      <c r="M145" s="4">
        <f t="shared" si="23"/>
        <v>-1.115004542379263E-8</v>
      </c>
      <c r="N145" s="5">
        <f t="shared" si="24"/>
        <v>6.3610983233187804E-8</v>
      </c>
      <c r="O145" s="5">
        <f t="shared" si="25"/>
        <v>4.3632006970762161E-7</v>
      </c>
      <c r="P145" s="5">
        <f t="shared" si="26"/>
        <v>1.3000689470591906E-6</v>
      </c>
      <c r="Q145" s="1">
        <f t="shared" si="22"/>
        <v>1.8000000000000001E-6</v>
      </c>
    </row>
    <row r="146" spans="1:17" x14ac:dyDescent="0.25">
      <c r="A146" s="1">
        <v>7.2</v>
      </c>
      <c r="B146" s="1">
        <v>6.2255999999999999E-2</v>
      </c>
      <c r="C146" s="1">
        <v>1.952E-3</v>
      </c>
      <c r="D146" s="1">
        <v>2.8976000000000002E-3</v>
      </c>
      <c r="E146" s="1">
        <v>6.9528999999999994E-2</v>
      </c>
      <c r="F146" s="1">
        <v>4.3071999999999998E-7</v>
      </c>
      <c r="G146" s="1">
        <v>7.1421999999999999</v>
      </c>
      <c r="H146" s="1">
        <v>8.1784E-8</v>
      </c>
      <c r="I146" s="1">
        <f t="shared" si="18"/>
        <v>8.1784E-8</v>
      </c>
      <c r="J146" s="4">
        <f t="shared" si="19"/>
        <v>-1.1542240953744391E-9</v>
      </c>
      <c r="K146" s="4">
        <f t="shared" si="20"/>
        <v>-8.5082413592985912E-9</v>
      </c>
      <c r="L146" s="4">
        <f t="shared" si="21"/>
        <v>-7.8287646620153795E-9</v>
      </c>
      <c r="M146" s="4">
        <f t="shared" si="23"/>
        <v>-1.1142812941107458E-8</v>
      </c>
      <c r="N146" s="5">
        <f t="shared" si="24"/>
        <v>6.3136235835096568E-8</v>
      </c>
      <c r="O146" s="5">
        <f t="shared" si="25"/>
        <v>4.401088653848049E-7</v>
      </c>
      <c r="P146" s="5">
        <f t="shared" si="26"/>
        <v>1.2967548987800986E-6</v>
      </c>
      <c r="Q146" s="1">
        <f t="shared" si="22"/>
        <v>1.8000000000000001E-6</v>
      </c>
    </row>
    <row r="147" spans="1:17" x14ac:dyDescent="0.25">
      <c r="A147" s="1">
        <v>7.25</v>
      </c>
      <c r="B147" s="1">
        <v>6.2165999999999999E-2</v>
      </c>
      <c r="C147" s="1">
        <v>1.9691000000000001E-3</v>
      </c>
      <c r="D147" s="1">
        <v>2.9342999999999999E-3</v>
      </c>
      <c r="E147" s="1">
        <v>6.9438E-2</v>
      </c>
      <c r="F147" s="1">
        <v>4.3547999999999998E-7</v>
      </c>
      <c r="G147" s="1">
        <v>7.1412000000000004</v>
      </c>
      <c r="H147" s="1">
        <v>8.1939000000000003E-8</v>
      </c>
      <c r="I147" s="1">
        <f t="shared" si="18"/>
        <v>8.1939000000000003E-8</v>
      </c>
      <c r="J147" s="4">
        <f t="shared" si="19"/>
        <v>-1.1713016692963062E-9</v>
      </c>
      <c r="K147" s="4">
        <f t="shared" si="20"/>
        <v>-8.5821228750036655E-9</v>
      </c>
      <c r="L147" s="4">
        <f t="shared" si="21"/>
        <v>-7.8467136451218177E-9</v>
      </c>
      <c r="M147" s="4">
        <f t="shared" si="23"/>
        <v>-1.1135649277392276E-8</v>
      </c>
      <c r="N147" s="5">
        <f t="shared" si="24"/>
        <v>6.270034339568211E-8</v>
      </c>
      <c r="O147" s="5">
        <f t="shared" si="25"/>
        <v>4.438336934564898E-7</v>
      </c>
      <c r="P147" s="5">
        <f t="shared" si="26"/>
        <v>1.2934659631478281E-6</v>
      </c>
      <c r="Q147" s="1">
        <f t="shared" si="22"/>
        <v>1.8000000000000001E-6</v>
      </c>
    </row>
    <row r="148" spans="1:17" x14ac:dyDescent="0.25">
      <c r="A148" s="1">
        <v>7.3</v>
      </c>
      <c r="B148" s="1">
        <v>6.2075999999999999E-2</v>
      </c>
      <c r="C148" s="1">
        <v>1.9861000000000002E-3</v>
      </c>
      <c r="D148" s="1">
        <v>2.9710000000000001E-3</v>
      </c>
      <c r="E148" s="1">
        <v>6.9347000000000006E-2</v>
      </c>
      <c r="F148" s="1">
        <v>4.4023000000000002E-7</v>
      </c>
      <c r="G148" s="1">
        <v>7.1402000000000001</v>
      </c>
      <c r="H148" s="1">
        <v>8.2094999999999995E-8</v>
      </c>
      <c r="I148" s="1">
        <f t="shared" si="18"/>
        <v>8.2094999999999995E-8</v>
      </c>
      <c r="J148" s="4">
        <f t="shared" si="19"/>
        <v>-1.189067058860906E-9</v>
      </c>
      <c r="K148" s="4">
        <f t="shared" si="20"/>
        <v>-8.6547570224015208E-9</v>
      </c>
      <c r="L148" s="4">
        <f t="shared" si="21"/>
        <v>-7.8683457219094294E-9</v>
      </c>
      <c r="M148" s="4">
        <f t="shared" si="23"/>
        <v>-1.11284572932088E-8</v>
      </c>
      <c r="N148" s="5">
        <f t="shared" si="24"/>
        <v>6.229768763731329E-8</v>
      </c>
      <c r="O148" s="5">
        <f t="shared" si="25"/>
        <v>4.4749646078615799E-7</v>
      </c>
      <c r="P148" s="5">
        <f t="shared" si="26"/>
        <v>1.2902058515765288E-6</v>
      </c>
      <c r="Q148" s="1">
        <f t="shared" si="22"/>
        <v>1.8000000000000001E-6</v>
      </c>
    </row>
    <row r="149" spans="1:17" x14ac:dyDescent="0.25">
      <c r="A149" s="1">
        <v>7.35</v>
      </c>
      <c r="B149" s="1">
        <v>6.1984999999999998E-2</v>
      </c>
      <c r="C149" s="1">
        <v>2.003E-3</v>
      </c>
      <c r="D149" s="1">
        <v>3.0076999999999999E-3</v>
      </c>
      <c r="E149" s="1">
        <v>6.9255999999999998E-2</v>
      </c>
      <c r="F149" s="1">
        <v>4.4498E-7</v>
      </c>
      <c r="G149" s="1">
        <v>7.1391999999999998</v>
      </c>
      <c r="H149" s="1">
        <v>8.2249999999999999E-8</v>
      </c>
      <c r="I149" s="1">
        <f t="shared" si="18"/>
        <v>8.2249999999999999E-8</v>
      </c>
      <c r="J149" s="4">
        <f t="shared" si="19"/>
        <v>-1.2073444674109279E-9</v>
      </c>
      <c r="K149" s="4">
        <f t="shared" si="20"/>
        <v>-8.7261809853300491E-9</v>
      </c>
      <c r="L149" s="4">
        <f t="shared" si="21"/>
        <v>-7.8927316321789591E-9</v>
      </c>
      <c r="M149" s="4">
        <f t="shared" si="23"/>
        <v>-1.1121542185443348E-8</v>
      </c>
      <c r="N149" s="5">
        <f t="shared" si="24"/>
        <v>6.1923792523053465E-8</v>
      </c>
      <c r="O149" s="5">
        <f t="shared" si="25"/>
        <v>4.5109916645368223E-7</v>
      </c>
      <c r="P149" s="5">
        <f t="shared" si="26"/>
        <v>1.2869770410232646E-6</v>
      </c>
      <c r="Q149" s="1">
        <f t="shared" si="22"/>
        <v>1.8000000000000001E-6</v>
      </c>
    </row>
    <row r="150" spans="1:17" x14ac:dyDescent="0.25">
      <c r="A150" s="1">
        <v>7.4</v>
      </c>
      <c r="B150" s="1">
        <v>6.1894999999999999E-2</v>
      </c>
      <c r="C150" s="1">
        <v>2.0198999999999998E-3</v>
      </c>
      <c r="D150" s="1">
        <v>3.0444000000000001E-3</v>
      </c>
      <c r="E150" s="1">
        <v>6.9165000000000004E-2</v>
      </c>
      <c r="F150" s="1">
        <v>4.4972999999999999E-7</v>
      </c>
      <c r="G150" s="1">
        <v>7.1383000000000001</v>
      </c>
      <c r="H150" s="1">
        <v>8.2406000000000003E-8</v>
      </c>
      <c r="I150" s="1">
        <f t="shared" si="18"/>
        <v>8.2406000000000003E-8</v>
      </c>
      <c r="J150" s="4">
        <f t="shared" si="19"/>
        <v>-1.2261356795640444E-9</v>
      </c>
      <c r="K150" s="4">
        <f t="shared" si="20"/>
        <v>-8.7964337458469296E-9</v>
      </c>
      <c r="L150" s="4">
        <f t="shared" si="21"/>
        <v>-7.9196053393216077E-9</v>
      </c>
      <c r="M150" s="4">
        <f t="shared" si="23"/>
        <v>-1.1114655470537327E-8</v>
      </c>
      <c r="N150" s="5">
        <f t="shared" si="24"/>
        <v>6.157448525001475E-8</v>
      </c>
      <c r="O150" s="5">
        <f t="shared" si="25"/>
        <v>4.5464352385793666E-7</v>
      </c>
      <c r="P150" s="5">
        <f t="shared" si="26"/>
        <v>1.2837819908920489E-6</v>
      </c>
      <c r="Q150" s="1">
        <f t="shared" si="22"/>
        <v>1.8000000000000003E-6</v>
      </c>
    </row>
    <row r="151" spans="1:17" x14ac:dyDescent="0.25">
      <c r="A151" s="1">
        <v>7.45</v>
      </c>
      <c r="B151" s="1">
        <v>6.1804999999999999E-2</v>
      </c>
      <c r="C151" s="1">
        <v>2.0366999999999998E-3</v>
      </c>
      <c r="D151" s="1">
        <v>3.0810999999999998E-3</v>
      </c>
      <c r="E151" s="1">
        <v>6.9073999999999997E-2</v>
      </c>
      <c r="F151" s="1">
        <v>4.5447999999999998E-7</v>
      </c>
      <c r="G151" s="1">
        <v>7.1372999999999998</v>
      </c>
      <c r="H151" s="1">
        <v>8.2560999999999994E-8</v>
      </c>
      <c r="I151" s="1">
        <f t="shared" si="18"/>
        <v>8.2560999999999994E-8</v>
      </c>
      <c r="J151" s="4">
        <f t="shared" si="19"/>
        <v>-1.2453875151992161E-9</v>
      </c>
      <c r="K151" s="4">
        <f t="shared" si="20"/>
        <v>-8.8655487152297333E-9</v>
      </c>
      <c r="L151" s="4">
        <f t="shared" si="21"/>
        <v>-7.9485356564678433E-9</v>
      </c>
      <c r="M151" s="4">
        <f t="shared" si="23"/>
        <v>-1.1108090567852229E-8</v>
      </c>
      <c r="N151" s="5">
        <f t="shared" si="24"/>
        <v>6.1246110793577432E-8</v>
      </c>
      <c r="O151" s="5">
        <f t="shared" si="25"/>
        <v>4.5813145322575833E-7</v>
      </c>
      <c r="P151" s="5">
        <f t="shared" si="26"/>
        <v>1.2806224359806645E-6</v>
      </c>
      <c r="Q151" s="1">
        <f t="shared" si="22"/>
        <v>1.8000000000000001E-6</v>
      </c>
    </row>
    <row r="152" spans="1:17" x14ac:dyDescent="0.25">
      <c r="A152" s="1">
        <v>7.5</v>
      </c>
      <c r="B152" s="1">
        <v>6.1714999999999999E-2</v>
      </c>
      <c r="C152" s="1">
        <v>2.0533999999999999E-3</v>
      </c>
      <c r="D152" s="1">
        <v>3.1178E-3</v>
      </c>
      <c r="E152" s="1">
        <v>6.8983000000000003E-2</v>
      </c>
      <c r="F152" s="1">
        <v>4.5923999999999998E-7</v>
      </c>
      <c r="G152" s="1">
        <v>7.1363000000000003</v>
      </c>
      <c r="H152" s="1">
        <v>8.2716999999999999E-8</v>
      </c>
      <c r="I152" s="1">
        <f t="shared" si="18"/>
        <v>8.2716999999999999E-8</v>
      </c>
      <c r="J152" s="4">
        <f t="shared" si="19"/>
        <v>-1.265051098836116E-9</v>
      </c>
      <c r="K152" s="4">
        <f t="shared" si="20"/>
        <v>-8.9335633379022566E-9</v>
      </c>
      <c r="L152" s="4">
        <f t="shared" si="21"/>
        <v>-7.9791383414930116E-9</v>
      </c>
      <c r="M152" s="4">
        <f t="shared" si="23"/>
        <v>-1.1101594238384921E-8</v>
      </c>
      <c r="N152" s="5">
        <f t="shared" si="24"/>
        <v>6.0935484691150567E-8</v>
      </c>
      <c r="O152" s="5">
        <f t="shared" si="25"/>
        <v>4.6156453522507709E-7</v>
      </c>
      <c r="P152" s="5">
        <f t="shared" si="26"/>
        <v>1.2774999800837726E-6</v>
      </c>
      <c r="Q152" s="1">
        <f t="shared" si="22"/>
        <v>1.8000000000000001E-6</v>
      </c>
    </row>
    <row r="153" spans="1:17" x14ac:dyDescent="0.25">
      <c r="A153" s="1">
        <v>7.55</v>
      </c>
      <c r="B153" s="1">
        <v>6.1624999999999999E-2</v>
      </c>
      <c r="C153" s="1">
        <v>2.0701000000000001E-3</v>
      </c>
      <c r="D153" s="1">
        <v>3.1545000000000002E-3</v>
      </c>
      <c r="E153" s="1">
        <v>6.8891999999999995E-2</v>
      </c>
      <c r="F153" s="1">
        <v>4.6399000000000001E-7</v>
      </c>
      <c r="G153" s="1">
        <v>7.1353999999999997</v>
      </c>
      <c r="H153" s="1">
        <v>8.2872000000000003E-8</v>
      </c>
      <c r="I153" s="1">
        <f t="shared" si="18"/>
        <v>8.2872000000000003E-8</v>
      </c>
      <c r="J153" s="4">
        <f t="shared" si="19"/>
        <v>-1.2851377666087317E-9</v>
      </c>
      <c r="K153" s="4">
        <f t="shared" si="20"/>
        <v>-9.0005084368889725E-9</v>
      </c>
      <c r="L153" s="4">
        <f t="shared" si="21"/>
        <v>-8.0112475611657571E-9</v>
      </c>
      <c r="M153" s="4">
        <f t="shared" si="23"/>
        <v>-1.109545141452185E-8</v>
      </c>
      <c r="N153" s="5">
        <f t="shared" si="24"/>
        <v>6.0639607800265052E-8</v>
      </c>
      <c r="O153" s="5">
        <f t="shared" si="25"/>
        <v>4.6494461596931866E-7</v>
      </c>
      <c r="P153" s="5">
        <f t="shared" si="26"/>
        <v>1.2744157762304163E-6</v>
      </c>
      <c r="Q153" s="1">
        <f t="shared" si="22"/>
        <v>1.8000000000000001E-6</v>
      </c>
    </row>
    <row r="154" spans="1:17" x14ac:dyDescent="0.25">
      <c r="A154" s="1">
        <v>7.6</v>
      </c>
      <c r="B154" s="1">
        <v>6.1534999999999999E-2</v>
      </c>
      <c r="C154" s="1">
        <v>2.0866999999999999E-3</v>
      </c>
      <c r="D154" s="1">
        <v>3.1911999999999999E-3</v>
      </c>
      <c r="E154" s="1">
        <v>6.8801000000000001E-2</v>
      </c>
      <c r="F154" s="1">
        <v>4.6875000000000001E-7</v>
      </c>
      <c r="G154" s="1">
        <v>7.1344000000000003</v>
      </c>
      <c r="H154" s="1">
        <v>8.3027999999999994E-8</v>
      </c>
      <c r="I154" s="1">
        <f t="shared" si="18"/>
        <v>8.3027999999999994E-8</v>
      </c>
      <c r="J154" s="4">
        <f t="shared" si="19"/>
        <v>-1.3054902271469395E-9</v>
      </c>
      <c r="K154" s="4">
        <f t="shared" si="20"/>
        <v>-9.066420011401682E-9</v>
      </c>
      <c r="L154" s="4">
        <f t="shared" si="21"/>
        <v>-8.0441821121946333E-9</v>
      </c>
      <c r="M154" s="4">
        <f t="shared" si="23"/>
        <v>-1.1089405341815503E-8</v>
      </c>
      <c r="N154" s="5">
        <f t="shared" si="24"/>
        <v>6.0356355472325151E-8</v>
      </c>
      <c r="O154" s="5">
        <f t="shared" si="25"/>
        <v>4.6827309152687941E-7</v>
      </c>
      <c r="P154" s="5">
        <f t="shared" si="26"/>
        <v>1.2713705530007954E-6</v>
      </c>
      <c r="Q154" s="1">
        <f t="shared" si="22"/>
        <v>1.7999999999999999E-6</v>
      </c>
    </row>
    <row r="155" spans="1:17" x14ac:dyDescent="0.25">
      <c r="A155" s="1">
        <v>7.65</v>
      </c>
      <c r="B155" s="1">
        <v>6.1445E-2</v>
      </c>
      <c r="C155" s="1">
        <v>2.1031999999999999E-3</v>
      </c>
      <c r="D155" s="1">
        <v>3.2279000000000001E-3</v>
      </c>
      <c r="E155" s="1">
        <v>6.8709999999999993E-2</v>
      </c>
      <c r="F155" s="1">
        <v>4.735E-7</v>
      </c>
      <c r="G155" s="1">
        <v>7.1334999999999997</v>
      </c>
      <c r="H155" s="1">
        <v>8.3182999999999998E-8</v>
      </c>
      <c r="I155" s="1">
        <f t="shared" si="18"/>
        <v>8.3182999999999998E-8</v>
      </c>
      <c r="J155" s="4">
        <f t="shared" si="19"/>
        <v>-1.3261894512962259E-9</v>
      </c>
      <c r="K155" s="4">
        <f t="shared" si="20"/>
        <v>-9.1313252847742787E-9</v>
      </c>
      <c r="L155" s="4">
        <f t="shared" si="21"/>
        <v>-8.0780611375001876E-9</v>
      </c>
      <c r="M155" s="4">
        <f t="shared" si="23"/>
        <v>-1.1083732198827911E-8</v>
      </c>
      <c r="N155" s="5">
        <f t="shared" si="24"/>
        <v>6.0083430168303006E-8</v>
      </c>
      <c r="O155" s="5">
        <f t="shared" si="25"/>
        <v>4.7155168789222924E-7</v>
      </c>
      <c r="P155" s="5">
        <f t="shared" si="26"/>
        <v>1.2683648819394677E-6</v>
      </c>
      <c r="Q155" s="1">
        <f t="shared" si="22"/>
        <v>1.7999999999999999E-6</v>
      </c>
    </row>
    <row r="156" spans="1:17" x14ac:dyDescent="0.25">
      <c r="A156" s="1">
        <v>7.7</v>
      </c>
      <c r="B156" s="1">
        <v>6.1355E-2</v>
      </c>
      <c r="C156" s="1">
        <v>2.1196000000000001E-3</v>
      </c>
      <c r="D156" s="1">
        <v>3.2645999999999999E-3</v>
      </c>
      <c r="E156" s="1">
        <v>6.8618999999999999E-2</v>
      </c>
      <c r="F156" s="1">
        <v>4.7826E-7</v>
      </c>
      <c r="G156" s="1">
        <v>7.1325000000000003</v>
      </c>
      <c r="H156" s="1">
        <v>8.3338000000000002E-8</v>
      </c>
      <c r="I156" s="1">
        <f t="shared" si="18"/>
        <v>8.3338000000000002E-8</v>
      </c>
      <c r="J156" s="4">
        <f t="shared" si="19"/>
        <v>-1.3470840231451365E-9</v>
      </c>
      <c r="K156" s="4">
        <f t="shared" si="20"/>
        <v>-9.1952579138984376E-9</v>
      </c>
      <c r="L156" s="4">
        <f t="shared" si="21"/>
        <v>-8.1122765450000983E-9</v>
      </c>
      <c r="M156" s="4">
        <f t="shared" si="23"/>
        <v>-1.1078171577308889E-8</v>
      </c>
      <c r="N156" s="5">
        <f t="shared" si="24"/>
        <v>5.9819327514056205E-8</v>
      </c>
      <c r="O156" s="5">
        <f t="shared" si="25"/>
        <v>4.7478168557878486E-7</v>
      </c>
      <c r="P156" s="5">
        <f t="shared" si="26"/>
        <v>1.2653989869071589E-6</v>
      </c>
      <c r="Q156" s="1">
        <f t="shared" si="22"/>
        <v>1.7999999999999999E-6</v>
      </c>
    </row>
    <row r="157" spans="1:17" x14ac:dyDescent="0.25">
      <c r="A157" s="1">
        <v>7.75</v>
      </c>
      <c r="B157" s="1">
        <v>6.1266000000000001E-2</v>
      </c>
      <c r="C157" s="1">
        <v>2.1359999999999999E-3</v>
      </c>
      <c r="D157" s="1">
        <v>3.3013000000000001E-3</v>
      </c>
      <c r="E157" s="1">
        <v>6.8528000000000006E-2</v>
      </c>
      <c r="F157" s="1">
        <v>4.8301999999999999E-7</v>
      </c>
      <c r="G157" s="1">
        <v>7.1315</v>
      </c>
      <c r="H157" s="1">
        <v>8.3493000000000005E-8</v>
      </c>
      <c r="I157" s="1">
        <f t="shared" si="18"/>
        <v>8.3493000000000005E-8</v>
      </c>
      <c r="J157" s="4">
        <f t="shared" si="19"/>
        <v>-1.3682631963555003E-9</v>
      </c>
      <c r="K157" s="4">
        <f t="shared" si="20"/>
        <v>-9.2582428687862723E-9</v>
      </c>
      <c r="L157" s="4">
        <f t="shared" si="21"/>
        <v>-8.1470065847756454E-9</v>
      </c>
      <c r="M157" s="4">
        <f t="shared" si="23"/>
        <v>-1.1072861180941186E-8</v>
      </c>
      <c r="N157" s="5">
        <f t="shared" si="24"/>
        <v>5.9562300601711325E-8</v>
      </c>
      <c r="O157" s="5">
        <f t="shared" si="25"/>
        <v>4.7796456708729524E-7</v>
      </c>
      <c r="P157" s="5">
        <f t="shared" si="26"/>
        <v>1.2624731323109934E-6</v>
      </c>
      <c r="Q157" s="1">
        <f t="shared" si="22"/>
        <v>1.7999999999999999E-6</v>
      </c>
    </row>
    <row r="158" spans="1:17" x14ac:dyDescent="0.25">
      <c r="A158" s="1">
        <v>7.8</v>
      </c>
      <c r="B158" s="1">
        <v>6.1176000000000001E-2</v>
      </c>
      <c r="C158" s="1">
        <v>2.1522999999999998E-3</v>
      </c>
      <c r="D158" s="1">
        <v>3.3379999999999998E-3</v>
      </c>
      <c r="E158" s="1">
        <v>6.8436999999999998E-2</v>
      </c>
      <c r="F158" s="1">
        <v>4.8777000000000003E-7</v>
      </c>
      <c r="G158" s="1">
        <v>7.1306000000000003</v>
      </c>
      <c r="H158" s="1">
        <v>8.3648999999999997E-8</v>
      </c>
      <c r="I158" s="1">
        <f t="shared" si="18"/>
        <v>8.3648999999999997E-8</v>
      </c>
      <c r="J158" s="4">
        <f t="shared" si="19"/>
        <v>-1.389638031254513E-9</v>
      </c>
      <c r="K158" s="4">
        <f t="shared" si="20"/>
        <v>-9.3203090582022239E-9</v>
      </c>
      <c r="L158" s="4">
        <f t="shared" si="21"/>
        <v>-8.181872950894548E-9</v>
      </c>
      <c r="M158" s="4">
        <f t="shared" si="23"/>
        <v>-1.1067805269784347E-8</v>
      </c>
      <c r="N158" s="5">
        <f t="shared" si="24"/>
        <v>5.9311098677764483E-8</v>
      </c>
      <c r="O158" s="5">
        <f t="shared" si="25"/>
        <v>4.811017013301319E-7</v>
      </c>
      <c r="P158" s="5">
        <f t="shared" si="26"/>
        <v>1.2595871999921035E-6</v>
      </c>
      <c r="Q158" s="1">
        <f t="shared" si="22"/>
        <v>1.7999999999999997E-6</v>
      </c>
    </row>
    <row r="159" spans="1:17" x14ac:dyDescent="0.25">
      <c r="A159" s="1">
        <v>7.85</v>
      </c>
      <c r="B159" s="1">
        <v>6.1086000000000001E-2</v>
      </c>
      <c r="C159" s="1">
        <v>2.1686000000000001E-3</v>
      </c>
      <c r="D159" s="1">
        <v>3.3747E-3</v>
      </c>
      <c r="E159" s="1">
        <v>6.8347000000000005E-2</v>
      </c>
      <c r="F159" s="1">
        <v>4.9253000000000003E-7</v>
      </c>
      <c r="G159" s="1">
        <v>7.1295999999999999</v>
      </c>
      <c r="H159" s="1">
        <v>8.3804000000000001E-8</v>
      </c>
      <c r="I159" s="1">
        <f t="shared" si="18"/>
        <v>8.3804000000000001E-8</v>
      </c>
      <c r="J159" s="4">
        <f t="shared" si="19"/>
        <v>-1.4111271265643433E-9</v>
      </c>
      <c r="K159" s="4">
        <f t="shared" si="20"/>
        <v>-9.3814831759375393E-9</v>
      </c>
      <c r="L159" s="4">
        <f t="shared" si="21"/>
        <v>-8.2165615908489316E-9</v>
      </c>
      <c r="M159" s="4">
        <f t="shared" si="23"/>
        <v>-1.1063137017674603E-8</v>
      </c>
      <c r="N159" s="5">
        <f t="shared" si="24"/>
        <v>5.9064893136288748E-8</v>
      </c>
      <c r="O159" s="5">
        <f t="shared" si="25"/>
        <v>4.8419448229843327E-7</v>
      </c>
      <c r="P159" s="5">
        <f t="shared" si="26"/>
        <v>1.2567406245652778E-6</v>
      </c>
      <c r="Q159" s="1">
        <f t="shared" si="22"/>
        <v>1.7999999999999997E-6</v>
      </c>
    </row>
    <row r="160" spans="1:17" x14ac:dyDescent="0.25">
      <c r="A160" s="1">
        <v>7.9</v>
      </c>
      <c r="B160" s="1">
        <v>6.0997000000000003E-2</v>
      </c>
      <c r="C160" s="1">
        <v>2.1848000000000002E-3</v>
      </c>
      <c r="D160" s="1">
        <v>3.4114000000000002E-3</v>
      </c>
      <c r="E160" s="1">
        <v>6.8255999999999997E-2</v>
      </c>
      <c r="F160" s="1">
        <v>4.9729000000000003E-7</v>
      </c>
      <c r="G160" s="1">
        <v>7.1287000000000003</v>
      </c>
      <c r="H160" s="1">
        <v>8.3959000000000004E-8</v>
      </c>
      <c r="I160" s="1">
        <f t="shared" si="18"/>
        <v>8.3959000000000004E-8</v>
      </c>
      <c r="J160" s="4">
        <f t="shared" si="19"/>
        <v>-1.4328304406539725E-9</v>
      </c>
      <c r="K160" s="4">
        <f t="shared" si="20"/>
        <v>-9.4417924048195838E-9</v>
      </c>
      <c r="L160" s="4">
        <f t="shared" si="21"/>
        <v>-8.251438446970028E-9</v>
      </c>
      <c r="M160" s="4">
        <f t="shared" si="23"/>
        <v>-1.1058588586612354E-8</v>
      </c>
      <c r="N160" s="5">
        <f t="shared" si="24"/>
        <v>5.8822416653484333E-8</v>
      </c>
      <c r="O160" s="5">
        <f t="shared" si="25"/>
        <v>4.8724410892087991E-7</v>
      </c>
      <c r="P160" s="5">
        <f t="shared" si="26"/>
        <v>1.2539334744256354E-6</v>
      </c>
      <c r="Q160" s="1">
        <f t="shared" si="22"/>
        <v>1.7999999999999997E-6</v>
      </c>
    </row>
    <row r="161" spans="1:17" x14ac:dyDescent="0.25">
      <c r="A161" s="1">
        <v>7.95</v>
      </c>
      <c r="B161" s="1">
        <v>6.0907000000000003E-2</v>
      </c>
      <c r="C161" s="1">
        <v>2.2009E-3</v>
      </c>
      <c r="D161" s="1">
        <v>3.4480999999999999E-3</v>
      </c>
      <c r="E161" s="1">
        <v>6.8165000000000003E-2</v>
      </c>
      <c r="F161" s="1">
        <v>5.0205000000000003E-7</v>
      </c>
      <c r="G161" s="1">
        <v>7.1276999999999999</v>
      </c>
      <c r="H161" s="1">
        <v>8.4113999999999995E-8</v>
      </c>
      <c r="I161" s="1">
        <f t="shared" si="18"/>
        <v>8.4113999999999995E-8</v>
      </c>
      <c r="J161" s="4">
        <f t="shared" si="19"/>
        <v>-1.4546627411950237E-9</v>
      </c>
      <c r="K161" s="4">
        <f t="shared" si="20"/>
        <v>-9.5012601239571246E-9</v>
      </c>
      <c r="L161" s="4">
        <f t="shared" si="21"/>
        <v>-8.2859349526731124E-9</v>
      </c>
      <c r="M161" s="4">
        <f t="shared" si="23"/>
        <v>-1.1054295060826664E-8</v>
      </c>
      <c r="N161" s="5">
        <f t="shared" si="24"/>
        <v>5.8583079083573318E-8</v>
      </c>
      <c r="O161" s="5">
        <f t="shared" si="25"/>
        <v>4.9025180659894449E-7</v>
      </c>
      <c r="P161" s="5">
        <f t="shared" si="26"/>
        <v>1.251165114317482E-6</v>
      </c>
      <c r="Q161" s="1">
        <f t="shared" si="22"/>
        <v>1.7999999999999997E-6</v>
      </c>
    </row>
    <row r="162" spans="1:17" x14ac:dyDescent="0.25">
      <c r="A162" s="1">
        <v>8</v>
      </c>
      <c r="B162" s="1">
        <v>6.0817999999999997E-2</v>
      </c>
      <c r="C162" s="1">
        <v>2.2168999999999999E-3</v>
      </c>
      <c r="D162" s="1">
        <v>3.4848000000000001E-3</v>
      </c>
      <c r="E162" s="1">
        <v>6.8073999999999996E-2</v>
      </c>
      <c r="F162" s="1">
        <v>5.0681000000000002E-7</v>
      </c>
      <c r="G162" s="1">
        <v>7.1268000000000002</v>
      </c>
      <c r="H162" s="1">
        <v>8.4268999999999998E-8</v>
      </c>
      <c r="I162" s="1">
        <f t="shared" si="18"/>
        <v>8.4268999999999998E-8</v>
      </c>
      <c r="J162" s="4">
        <f t="shared" si="19"/>
        <v>-1.4766111278404455E-9</v>
      </c>
      <c r="K162" s="4">
        <f t="shared" si="20"/>
        <v>-9.5599102286793846E-9</v>
      </c>
      <c r="L162" s="4">
        <f t="shared" si="21"/>
        <v>-8.320102972739018E-9</v>
      </c>
      <c r="M162" s="4">
        <f t="shared" si="23"/>
        <v>-1.1050252754698531E-8</v>
      </c>
      <c r="N162" s="5">
        <f t="shared" si="24"/>
        <v>5.8346275211673239E-8</v>
      </c>
      <c r="O162" s="5">
        <f t="shared" si="25"/>
        <v>4.9321876025280415E-7</v>
      </c>
      <c r="P162" s="5">
        <f t="shared" si="26"/>
        <v>1.2484349645355226E-6</v>
      </c>
      <c r="Q162" s="1">
        <f t="shared" si="22"/>
        <v>1.7999999999999999E-6</v>
      </c>
    </row>
    <row r="163" spans="1:17" x14ac:dyDescent="0.25">
      <c r="A163" s="1">
        <v>8.0500000000000007</v>
      </c>
      <c r="B163" s="1">
        <v>6.0728999999999998E-2</v>
      </c>
      <c r="C163" s="1">
        <v>2.2328999999999999E-3</v>
      </c>
      <c r="D163" s="1">
        <v>3.5214999999999999E-3</v>
      </c>
      <c r="E163" s="1">
        <v>6.7984000000000003E-2</v>
      </c>
      <c r="F163" s="1">
        <v>5.1157000000000002E-7</v>
      </c>
      <c r="G163" s="1">
        <v>7.1258999999999997</v>
      </c>
      <c r="H163" s="1">
        <v>8.4424000000000002E-8</v>
      </c>
      <c r="I163" s="1">
        <f t="shared" si="18"/>
        <v>8.4424000000000002E-8</v>
      </c>
      <c r="J163" s="4">
        <f t="shared" si="19"/>
        <v>-1.498661280980386E-9</v>
      </c>
      <c r="K163" s="4">
        <f t="shared" si="20"/>
        <v>-9.6177658249298177E-9</v>
      </c>
      <c r="L163" s="4">
        <f t="shared" si="21"/>
        <v>-8.3538693469358157E-9</v>
      </c>
      <c r="M163" s="4">
        <f t="shared" si="23"/>
        <v>-1.1046458432776773E-8</v>
      </c>
      <c r="N163" s="5">
        <f t="shared" si="24"/>
        <v>5.8111510408686866E-8</v>
      </c>
      <c r="O163" s="5">
        <f t="shared" si="25"/>
        <v>4.9614611414163163E-7</v>
      </c>
      <c r="P163" s="5">
        <f t="shared" si="26"/>
        <v>1.2457423754496816E-6</v>
      </c>
      <c r="Q163" s="1">
        <f t="shared" si="22"/>
        <v>1.8000000000000001E-6</v>
      </c>
    </row>
    <row r="164" spans="1:17" x14ac:dyDescent="0.25">
      <c r="A164" s="1">
        <v>8.1</v>
      </c>
      <c r="B164" s="1">
        <v>6.0638999999999998E-2</v>
      </c>
      <c r="C164" s="1">
        <v>2.2488E-3</v>
      </c>
      <c r="D164" s="1">
        <v>3.5582000000000001E-3</v>
      </c>
      <c r="E164" s="1">
        <v>6.7892999999999995E-2</v>
      </c>
      <c r="F164" s="1">
        <v>5.1633000000000002E-7</v>
      </c>
      <c r="G164" s="1">
        <v>7.1249000000000002</v>
      </c>
      <c r="H164" s="1">
        <v>8.4579000000000006E-8</v>
      </c>
      <c r="I164" s="1">
        <f t="shared" si="18"/>
        <v>8.4579000000000006E-8</v>
      </c>
      <c r="J164" s="4">
        <f t="shared" si="19"/>
        <v>-1.5208006869129611E-9</v>
      </c>
      <c r="K164" s="4">
        <f t="shared" si="20"/>
        <v>-9.6748492257616109E-9</v>
      </c>
      <c r="L164" s="4">
        <f t="shared" si="21"/>
        <v>-8.3872973919742468E-9</v>
      </c>
      <c r="M164" s="4">
        <f t="shared" si="23"/>
        <v>-1.1042908202020976E-8</v>
      </c>
      <c r="N164" s="5">
        <f t="shared" si="24"/>
        <v>5.7878261555561265E-8</v>
      </c>
      <c r="O164" s="5">
        <f t="shared" si="25"/>
        <v>4.9903497380480394E-7</v>
      </c>
      <c r="P164" s="5">
        <f t="shared" si="26"/>
        <v>1.2430867646396349E-6</v>
      </c>
      <c r="Q164" s="1">
        <f t="shared" si="22"/>
        <v>1.8000000000000001E-6</v>
      </c>
    </row>
    <row r="165" spans="1:17" x14ac:dyDescent="0.25">
      <c r="A165" s="1">
        <v>8.15</v>
      </c>
      <c r="B165" s="1">
        <v>6.055E-2</v>
      </c>
      <c r="C165" s="1">
        <v>2.2647000000000001E-3</v>
      </c>
      <c r="D165" s="1">
        <v>3.5948999999999998E-3</v>
      </c>
      <c r="E165" s="1">
        <v>6.7803000000000002E-2</v>
      </c>
      <c r="F165" s="1">
        <v>5.2109000000000002E-7</v>
      </c>
      <c r="G165" s="1">
        <v>7.1239999999999997</v>
      </c>
      <c r="H165" s="1">
        <v>8.4732999999999995E-8</v>
      </c>
      <c r="I165" s="1">
        <f t="shared" si="18"/>
        <v>8.4732999999999995E-8</v>
      </c>
      <c r="J165" s="4">
        <f t="shared" si="19"/>
        <v>-1.5430151732435788E-9</v>
      </c>
      <c r="K165" s="4">
        <f t="shared" si="20"/>
        <v>-9.7311819891938147E-9</v>
      </c>
      <c r="L165" s="4">
        <f t="shared" si="21"/>
        <v>-8.4200744872786595E-9</v>
      </c>
      <c r="M165" s="4">
        <f t="shared" si="23"/>
        <v>-1.1039598723978003E-8</v>
      </c>
      <c r="N165" s="5">
        <f t="shared" si="24"/>
        <v>5.7646353884232843E-8</v>
      </c>
      <c r="O165" s="5">
        <f t="shared" si="25"/>
        <v>5.0188640571283173E-7</v>
      </c>
      <c r="P165" s="5">
        <f t="shared" si="26"/>
        <v>1.2404672404029357E-6</v>
      </c>
      <c r="Q165" s="1">
        <f t="shared" si="22"/>
        <v>1.8000000000000001E-6</v>
      </c>
    </row>
    <row r="166" spans="1:17" x14ac:dyDescent="0.25">
      <c r="A166" s="1">
        <v>8.1999999999999993</v>
      </c>
      <c r="B166" s="1">
        <v>6.0461000000000001E-2</v>
      </c>
      <c r="C166" s="1">
        <v>2.2804000000000001E-3</v>
      </c>
      <c r="D166" s="1">
        <v>3.6316E-3</v>
      </c>
      <c r="E166" s="1">
        <v>6.7711999999999994E-2</v>
      </c>
      <c r="F166" s="1">
        <v>5.2585000000000001E-7</v>
      </c>
      <c r="G166" s="1">
        <v>7.1231</v>
      </c>
      <c r="H166" s="1">
        <v>8.4887999999999999E-8</v>
      </c>
      <c r="I166" s="1">
        <f t="shared" si="18"/>
        <v>8.4887999999999999E-8</v>
      </c>
      <c r="J166" s="4">
        <f t="shared" si="19"/>
        <v>-1.5652990486692445E-9</v>
      </c>
      <c r="K166" s="4">
        <f t="shared" si="20"/>
        <v>-9.7867849114000091E-9</v>
      </c>
      <c r="L166" s="4">
        <f t="shared" si="21"/>
        <v>-8.4524301233418639E-9</v>
      </c>
      <c r="M166" s="4">
        <f t="shared" si="23"/>
        <v>-1.1036393621511269E-8</v>
      </c>
      <c r="N166" s="5">
        <f t="shared" si="24"/>
        <v>5.7415409623621737E-8</v>
      </c>
      <c r="O166" s="5">
        <f t="shared" si="25"/>
        <v>5.0470131347161218E-7</v>
      </c>
      <c r="P166" s="5">
        <f t="shared" si="26"/>
        <v>1.2378832769047662E-6</v>
      </c>
      <c r="Q166" s="1">
        <f t="shared" si="22"/>
        <v>1.8000000000000001E-6</v>
      </c>
    </row>
    <row r="167" spans="1:17" x14ac:dyDescent="0.25">
      <c r="A167" s="1">
        <v>8.25</v>
      </c>
      <c r="B167" s="1">
        <v>6.0372000000000002E-2</v>
      </c>
      <c r="C167" s="1">
        <v>2.2961000000000001E-3</v>
      </c>
      <c r="D167" s="1">
        <v>3.6681999999999999E-3</v>
      </c>
      <c r="E167" s="1">
        <v>6.7622000000000002E-2</v>
      </c>
      <c r="F167" s="1">
        <v>5.3061000000000001E-7</v>
      </c>
      <c r="G167" s="1">
        <v>7.1220999999999997</v>
      </c>
      <c r="H167" s="1">
        <v>8.5043000000000003E-8</v>
      </c>
      <c r="I167" s="1">
        <f t="shared" si="18"/>
        <v>8.5043000000000003E-8</v>
      </c>
      <c r="J167" s="4">
        <f t="shared" si="19"/>
        <v>-1.5876407013233504E-9</v>
      </c>
      <c r="K167" s="4">
        <f t="shared" si="20"/>
        <v>-9.8416756126965777E-9</v>
      </c>
      <c r="L167" s="4">
        <f t="shared" si="21"/>
        <v>-8.4840668964006426E-9</v>
      </c>
      <c r="M167" s="4">
        <f t="shared" si="23"/>
        <v>-1.1033550739038794E-8</v>
      </c>
      <c r="N167" s="5">
        <f t="shared" si="24"/>
        <v>5.7185377638594315E-8</v>
      </c>
      <c r="O167" s="5">
        <f t="shared" si="25"/>
        <v>5.0748082929927774E-7</v>
      </c>
      <c r="P167" s="5">
        <f t="shared" si="26"/>
        <v>1.2353337930621281E-6</v>
      </c>
      <c r="Q167" s="1">
        <f t="shared" si="22"/>
        <v>1.8000000000000001E-6</v>
      </c>
    </row>
    <row r="168" spans="1:17" x14ac:dyDescent="0.25">
      <c r="A168" s="1">
        <v>8.3000000000000007</v>
      </c>
      <c r="B168" s="1">
        <v>6.0283000000000003E-2</v>
      </c>
      <c r="C168" s="1">
        <v>2.3118000000000001E-3</v>
      </c>
      <c r="D168" s="1">
        <v>3.7049000000000001E-3</v>
      </c>
      <c r="E168" s="1">
        <v>6.7530999999999994E-2</v>
      </c>
      <c r="F168" s="1">
        <v>5.3537000000000001E-7</v>
      </c>
      <c r="G168" s="1">
        <v>7.1212</v>
      </c>
      <c r="H168" s="1">
        <v>8.5198000000000006E-8</v>
      </c>
      <c r="I168" s="1">
        <f t="shared" si="18"/>
        <v>8.5198000000000006E-8</v>
      </c>
      <c r="J168" s="4">
        <f t="shared" si="19"/>
        <v>-1.6100369922541509E-9</v>
      </c>
      <c r="K168" s="4">
        <f t="shared" si="20"/>
        <v>-9.895876171336056E-9</v>
      </c>
      <c r="L168" s="4">
        <f t="shared" si="21"/>
        <v>-8.5152329240755403E-9</v>
      </c>
      <c r="M168" s="4">
        <f t="shared" si="23"/>
        <v>-1.1030931635155328E-8</v>
      </c>
      <c r="N168" s="5">
        <f t="shared" si="24"/>
        <v>5.6955983893600683E-8</v>
      </c>
      <c r="O168" s="5">
        <f t="shared" si="25"/>
        <v>5.1022592175535117E-7</v>
      </c>
      <c r="P168" s="5">
        <f t="shared" si="26"/>
        <v>1.2328180943510482E-6</v>
      </c>
      <c r="Q168" s="1">
        <f t="shared" si="22"/>
        <v>1.8000000000000001E-6</v>
      </c>
    </row>
    <row r="169" spans="1:17" x14ac:dyDescent="0.25">
      <c r="A169" s="1">
        <v>8.35</v>
      </c>
      <c r="B169" s="1">
        <v>6.0193999999999998E-2</v>
      </c>
      <c r="C169" s="1">
        <v>2.3273999999999999E-3</v>
      </c>
      <c r="D169" s="1">
        <v>3.7415999999999999E-3</v>
      </c>
      <c r="E169" s="1">
        <v>6.7441000000000001E-2</v>
      </c>
      <c r="F169" s="1">
        <v>5.4013999999999996E-7</v>
      </c>
      <c r="G169" s="1">
        <v>7.1203000000000003</v>
      </c>
      <c r="H169" s="1">
        <v>8.5351999999999996E-8</v>
      </c>
      <c r="I169" s="1">
        <f t="shared" si="18"/>
        <v>8.5351999999999996E-8</v>
      </c>
      <c r="J169" s="4">
        <f t="shared" si="19"/>
        <v>-1.6324783161243179E-9</v>
      </c>
      <c r="K169" s="4">
        <f t="shared" si="20"/>
        <v>-9.9494054742291372E-9</v>
      </c>
      <c r="L169" s="4">
        <f t="shared" si="21"/>
        <v>-8.5456414561834595E-9</v>
      </c>
      <c r="M169" s="4">
        <f t="shared" si="23"/>
        <v>-1.1028531780264429E-8</v>
      </c>
      <c r="N169" s="5">
        <f t="shared" si="24"/>
        <v>5.6727269595522037E-8</v>
      </c>
      <c r="O169" s="5">
        <f t="shared" si="25"/>
        <v>5.1293752637751079E-7</v>
      </c>
      <c r="P169" s="5">
        <f t="shared" si="26"/>
        <v>1.2303352040269673E-6</v>
      </c>
      <c r="Q169" s="1">
        <f t="shared" si="22"/>
        <v>1.8000000000000001E-6</v>
      </c>
    </row>
    <row r="170" spans="1:17" x14ac:dyDescent="0.25">
      <c r="A170" s="1">
        <v>8.4</v>
      </c>
      <c r="B170" s="1">
        <v>6.0106E-2</v>
      </c>
      <c r="C170" s="1">
        <v>2.3429000000000002E-3</v>
      </c>
      <c r="D170" s="1">
        <v>3.7783000000000001E-3</v>
      </c>
      <c r="E170" s="1">
        <v>6.7349999999999993E-2</v>
      </c>
      <c r="F170" s="1">
        <v>5.4489999999999996E-7</v>
      </c>
      <c r="G170" s="1">
        <v>7.1193</v>
      </c>
      <c r="H170" s="1">
        <v>8.5506999999999999E-8</v>
      </c>
      <c r="I170" s="1">
        <f t="shared" si="18"/>
        <v>8.5506999999999999E-8</v>
      </c>
      <c r="J170" s="4">
        <f t="shared" si="19"/>
        <v>-1.6550250089071785E-9</v>
      </c>
      <c r="K170" s="4">
        <f t="shared" si="20"/>
        <v>-1.0002281764361603E-8</v>
      </c>
      <c r="L170" s="4">
        <f t="shared" si="21"/>
        <v>-8.5757145878233887E-9</v>
      </c>
      <c r="M170" s="4">
        <f t="shared" si="23"/>
        <v>-1.1026214885081677E-8</v>
      </c>
      <c r="N170" s="5">
        <f t="shared" si="24"/>
        <v>5.6498811763153072E-8</v>
      </c>
      <c r="O170" s="5">
        <f t="shared" si="25"/>
        <v>5.1561648450713807E-7</v>
      </c>
      <c r="P170" s="5">
        <f t="shared" si="26"/>
        <v>1.227884703729709E-6</v>
      </c>
      <c r="Q170" s="1">
        <f t="shared" si="22"/>
        <v>1.8000000000000001E-6</v>
      </c>
    </row>
    <row r="171" spans="1:17" x14ac:dyDescent="0.25">
      <c r="A171" s="1">
        <v>8.4499999999999993</v>
      </c>
      <c r="B171" s="1">
        <v>6.0017000000000001E-2</v>
      </c>
      <c r="C171" s="1">
        <v>2.3584000000000001E-3</v>
      </c>
      <c r="D171" s="1">
        <v>3.8149E-3</v>
      </c>
      <c r="E171" s="1">
        <v>6.726E-2</v>
      </c>
      <c r="F171" s="1">
        <v>5.4965999999999996E-7</v>
      </c>
      <c r="G171" s="1">
        <v>7.1184000000000003</v>
      </c>
      <c r="H171" s="1">
        <v>8.5661000000000002E-8</v>
      </c>
      <c r="I171" s="1">
        <f t="shared" si="18"/>
        <v>8.5661000000000002E-8</v>
      </c>
      <c r="J171" s="4">
        <f t="shared" si="19"/>
        <v>-1.6775401758456117E-9</v>
      </c>
      <c r="K171" s="4">
        <f t="shared" si="20"/>
        <v>-1.0054521447888979E-8</v>
      </c>
      <c r="L171" s="4">
        <f t="shared" si="21"/>
        <v>-8.6048205725690571E-9</v>
      </c>
      <c r="M171" s="4">
        <f t="shared" si="23"/>
        <v>-1.1024237422990469E-8</v>
      </c>
      <c r="N171" s="5">
        <f t="shared" si="24"/>
        <v>5.6270972462627379E-8</v>
      </c>
      <c r="O171" s="5">
        <f t="shared" si="25"/>
        <v>5.1826374065808515E-7</v>
      </c>
      <c r="P171" s="5">
        <f t="shared" si="26"/>
        <v>1.2254652868792876E-6</v>
      </c>
      <c r="Q171" s="1">
        <f t="shared" si="22"/>
        <v>1.8000000000000001E-6</v>
      </c>
    </row>
    <row r="172" spans="1:17" x14ac:dyDescent="0.25">
      <c r="A172" s="1">
        <v>8.5</v>
      </c>
      <c r="B172" s="1">
        <v>5.9928000000000002E-2</v>
      </c>
      <c r="C172" s="1">
        <v>2.3736999999999999E-3</v>
      </c>
      <c r="D172" s="1">
        <v>3.8516000000000002E-3</v>
      </c>
      <c r="E172" s="1">
        <v>6.7169999999999994E-2</v>
      </c>
      <c r="F172" s="1">
        <v>5.5441999999999996E-7</v>
      </c>
      <c r="G172" s="1">
        <v>7.1174999999999997</v>
      </c>
      <c r="H172" s="1">
        <v>8.5816000000000006E-8</v>
      </c>
      <c r="I172" s="1">
        <f t="shared" si="18"/>
        <v>8.5816000000000006E-8</v>
      </c>
      <c r="J172" s="4">
        <f t="shared" si="19"/>
        <v>-1.7000930331168417E-9</v>
      </c>
      <c r="K172" s="4">
        <f t="shared" si="20"/>
        <v>-1.0106142942832804E-8</v>
      </c>
      <c r="L172" s="4">
        <f t="shared" si="21"/>
        <v>-8.6334328173938589E-9</v>
      </c>
      <c r="M172" s="4">
        <f t="shared" si="23"/>
        <v>-1.1022331103633655E-8</v>
      </c>
      <c r="N172" s="5">
        <f t="shared" si="24"/>
        <v>5.6043589554949478E-8</v>
      </c>
      <c r="O172" s="5">
        <f t="shared" si="25"/>
        <v>5.2088002185200282E-7</v>
      </c>
      <c r="P172" s="5">
        <f t="shared" si="26"/>
        <v>1.2230763885930479E-6</v>
      </c>
      <c r="Q172" s="1">
        <f t="shared" si="22"/>
        <v>1.8000000000000001E-6</v>
      </c>
    </row>
    <row r="173" spans="1:17" x14ac:dyDescent="0.25">
      <c r="A173" s="1">
        <v>8.5500000000000007</v>
      </c>
      <c r="B173" s="1">
        <v>5.9839999999999997E-2</v>
      </c>
      <c r="C173" s="1">
        <v>2.3890999999999999E-3</v>
      </c>
      <c r="D173" s="1">
        <v>3.8882000000000001E-3</v>
      </c>
      <c r="E173" s="1">
        <v>6.7079E-2</v>
      </c>
      <c r="F173" s="1">
        <v>5.5917999999999996E-7</v>
      </c>
      <c r="G173" s="1">
        <v>7.1166</v>
      </c>
      <c r="H173" s="1">
        <v>8.5969999999999995E-8</v>
      </c>
      <c r="I173" s="1">
        <f t="shared" si="18"/>
        <v>8.5969999999999995E-8</v>
      </c>
      <c r="J173" s="4">
        <f t="shared" si="19"/>
        <v>-1.7226764662771606E-9</v>
      </c>
      <c r="K173" s="4">
        <f t="shared" si="20"/>
        <v>-1.0157160426114201E-8</v>
      </c>
      <c r="L173" s="4">
        <f t="shared" si="21"/>
        <v>-8.6614036235222938E-9</v>
      </c>
      <c r="M173" s="4">
        <f t="shared" si="23"/>
        <v>-1.1020749953167763E-8</v>
      </c>
      <c r="N173" s="5">
        <f t="shared" si="24"/>
        <v>5.581666989126422E-8</v>
      </c>
      <c r="O173" s="5">
        <f t="shared" si="25"/>
        <v>5.2346628784533353E-7</v>
      </c>
      <c r="P173" s="5">
        <f t="shared" si="26"/>
        <v>1.2207170422634023E-6</v>
      </c>
      <c r="Q173" s="1">
        <f t="shared" si="22"/>
        <v>1.8000000000000001E-6</v>
      </c>
    </row>
    <row r="174" spans="1:17" x14ac:dyDescent="0.25">
      <c r="A174" s="1">
        <v>8.6</v>
      </c>
      <c r="B174" s="1">
        <v>5.9750999999999999E-2</v>
      </c>
      <c r="C174" s="1">
        <v>2.4042999999999998E-3</v>
      </c>
      <c r="D174" s="1">
        <v>3.9249000000000003E-3</v>
      </c>
      <c r="E174" s="1">
        <v>6.6989000000000007E-2</v>
      </c>
      <c r="F174" s="1">
        <v>5.6395000000000002E-7</v>
      </c>
      <c r="G174" s="1">
        <v>7.1157000000000004</v>
      </c>
      <c r="H174" s="1">
        <v>8.6124999999999999E-8</v>
      </c>
      <c r="I174" s="1">
        <f t="shared" si="18"/>
        <v>8.6124999999999999E-8</v>
      </c>
      <c r="J174" s="4">
        <f t="shared" si="19"/>
        <v>-1.7452883179400782E-9</v>
      </c>
      <c r="K174" s="4">
        <f t="shared" si="20"/>
        <v>-1.0207592612983786E-8</v>
      </c>
      <c r="L174" s="4">
        <f t="shared" si="21"/>
        <v>-8.6886084906161771E-9</v>
      </c>
      <c r="M174" s="4">
        <f t="shared" si="23"/>
        <v>-1.1019229632955157E-8</v>
      </c>
      <c r="N174" s="5">
        <f t="shared" si="24"/>
        <v>5.5590365695691755E-8</v>
      </c>
      <c r="O174" s="5">
        <f t="shared" si="25"/>
        <v>5.2602321318324494E-7</v>
      </c>
      <c r="P174" s="5">
        <f t="shared" si="26"/>
        <v>1.2183864211210633E-6</v>
      </c>
      <c r="Q174" s="1">
        <f t="shared" si="22"/>
        <v>1.7999999999999999E-6</v>
      </c>
    </row>
    <row r="175" spans="1:17" x14ac:dyDescent="0.25">
      <c r="A175" s="1">
        <v>8.65</v>
      </c>
      <c r="B175" s="1">
        <v>5.9663000000000001E-2</v>
      </c>
      <c r="C175" s="1">
        <v>2.4195000000000002E-3</v>
      </c>
      <c r="D175" s="1">
        <v>3.9614999999999997E-3</v>
      </c>
      <c r="E175" s="1">
        <v>6.6899E-2</v>
      </c>
      <c r="F175" s="1">
        <v>5.6871000000000001E-7</v>
      </c>
      <c r="G175" s="1">
        <v>7.1147</v>
      </c>
      <c r="H175" s="1">
        <v>8.6279000000000001E-8</v>
      </c>
      <c r="I175" s="1">
        <f t="shared" si="18"/>
        <v>8.6279000000000001E-8</v>
      </c>
      <c r="J175" s="4">
        <f t="shared" si="19"/>
        <v>-1.7679937808687693E-9</v>
      </c>
      <c r="K175" s="4">
        <f t="shared" si="20"/>
        <v>-1.0257452657073422E-8</v>
      </c>
      <c r="L175" s="4">
        <f t="shared" si="21"/>
        <v>-8.7154882853881497E-9</v>
      </c>
      <c r="M175" s="4">
        <f t="shared" si="23"/>
        <v>-1.101802070450057E-8</v>
      </c>
      <c r="N175" s="5">
        <f t="shared" si="24"/>
        <v>5.5364336286508259E-8</v>
      </c>
      <c r="O175" s="5">
        <f t="shared" si="25"/>
        <v>5.2855177501154091E-7</v>
      </c>
      <c r="P175" s="5">
        <f t="shared" si="26"/>
        <v>1.2160838887019509E-6</v>
      </c>
      <c r="Q175" s="1">
        <f t="shared" si="22"/>
        <v>1.8000000000000001E-6</v>
      </c>
    </row>
    <row r="176" spans="1:17" x14ac:dyDescent="0.25">
      <c r="A176" s="1">
        <v>8.6999999999999993</v>
      </c>
      <c r="B176" s="1">
        <v>5.9574000000000002E-2</v>
      </c>
      <c r="C176" s="1">
        <v>2.4347000000000001E-3</v>
      </c>
      <c r="D176" s="1">
        <v>3.9982000000000004E-3</v>
      </c>
      <c r="E176" s="1">
        <v>6.6808999999999993E-2</v>
      </c>
      <c r="F176" s="1">
        <v>5.7347000000000001E-7</v>
      </c>
      <c r="G176" s="1">
        <v>7.1138000000000003</v>
      </c>
      <c r="H176" s="1">
        <v>8.6433000000000004E-8</v>
      </c>
      <c r="I176" s="1">
        <f t="shared" si="18"/>
        <v>8.6433000000000004E-8</v>
      </c>
      <c r="J176" s="4">
        <f t="shared" si="19"/>
        <v>-1.7906546198335226E-9</v>
      </c>
      <c r="K176" s="4">
        <f t="shared" si="20"/>
        <v>-1.0306759612724829E-8</v>
      </c>
      <c r="L176" s="4">
        <f t="shared" si="21"/>
        <v>-8.7415548198696659E-9</v>
      </c>
      <c r="M176" s="4">
        <f t="shared" si="23"/>
        <v>-1.1016862692497905E-8</v>
      </c>
      <c r="N176" s="5">
        <f t="shared" si="24"/>
        <v>5.5138886459529904E-8</v>
      </c>
      <c r="O176" s="5">
        <f t="shared" si="25"/>
        <v>5.3105253271114743E-7</v>
      </c>
      <c r="P176" s="5">
        <f t="shared" si="26"/>
        <v>1.2138085808293227E-6</v>
      </c>
      <c r="Q176" s="1">
        <f t="shared" si="22"/>
        <v>1.8000000000000001E-6</v>
      </c>
    </row>
    <row r="177" spans="1:17" x14ac:dyDescent="0.25">
      <c r="A177" s="1">
        <v>8.75</v>
      </c>
      <c r="B177" s="1">
        <v>5.9485999999999997E-2</v>
      </c>
      <c r="C177" s="1">
        <v>2.4497999999999998E-3</v>
      </c>
      <c r="D177" s="1">
        <v>4.0347999999999998E-3</v>
      </c>
      <c r="E177" s="1">
        <v>6.6719000000000001E-2</v>
      </c>
      <c r="F177" s="1">
        <v>5.7823000000000001E-7</v>
      </c>
      <c r="G177" s="1">
        <v>7.1128999999999998</v>
      </c>
      <c r="H177" s="1">
        <v>8.6587000000000006E-8</v>
      </c>
      <c r="I177" s="1">
        <f t="shared" si="18"/>
        <v>8.6587000000000006E-8</v>
      </c>
      <c r="J177" s="4">
        <f t="shared" si="19"/>
        <v>-1.8133406539576101E-9</v>
      </c>
      <c r="K177" s="4">
        <f t="shared" si="20"/>
        <v>-1.0355524387867523E-8</v>
      </c>
      <c r="L177" s="4">
        <f t="shared" si="21"/>
        <v>-8.7670152643303755E-9</v>
      </c>
      <c r="M177" s="4">
        <f t="shared" si="23"/>
        <v>-1.1015877292016347E-8</v>
      </c>
      <c r="N177" s="5">
        <f t="shared" si="24"/>
        <v>5.4914054929109443E-8</v>
      </c>
      <c r="O177" s="5">
        <f t="shared" si="25"/>
        <v>5.3352622626925389E-7</v>
      </c>
      <c r="P177" s="5">
        <f t="shared" si="26"/>
        <v>1.2115597188016366E-6</v>
      </c>
      <c r="Q177" s="1">
        <f t="shared" si="22"/>
        <v>1.7999999999999999E-6</v>
      </c>
    </row>
    <row r="178" spans="1:17" x14ac:dyDescent="0.25">
      <c r="A178" s="1">
        <v>8.8000000000000007</v>
      </c>
      <c r="B178" s="1">
        <v>5.9397999999999999E-2</v>
      </c>
      <c r="C178" s="1">
        <v>2.4648000000000001E-3</v>
      </c>
      <c r="D178" s="1">
        <v>4.0714999999999996E-3</v>
      </c>
      <c r="E178" s="1">
        <v>6.6628999999999994E-2</v>
      </c>
      <c r="F178" s="1">
        <v>5.8299000000000001E-7</v>
      </c>
      <c r="G178" s="1">
        <v>7.1120000000000001</v>
      </c>
      <c r="H178" s="1">
        <v>8.6741999999999997E-8</v>
      </c>
      <c r="I178" s="1">
        <f t="shared" si="18"/>
        <v>8.6741999999999997E-8</v>
      </c>
      <c r="J178" s="4">
        <f t="shared" si="19"/>
        <v>-1.8360510580814915E-9</v>
      </c>
      <c r="K178" s="4">
        <f t="shared" si="20"/>
        <v>-1.0403761412250598E-8</v>
      </c>
      <c r="L178" s="4">
        <f t="shared" si="21"/>
        <v>-8.7918801473146864E-9</v>
      </c>
      <c r="M178" s="4">
        <f t="shared" si="23"/>
        <v>-1.1015058744047274E-8</v>
      </c>
      <c r="N178" s="5">
        <f t="shared" si="24"/>
        <v>5.4689885135963871E-8</v>
      </c>
      <c r="O178" s="5">
        <f t="shared" si="25"/>
        <v>5.3597357465913202E-7</v>
      </c>
      <c r="P178" s="5">
        <f t="shared" si="26"/>
        <v>1.209336540204904E-6</v>
      </c>
      <c r="Q178" s="1">
        <f t="shared" si="22"/>
        <v>1.7999999999999999E-6</v>
      </c>
    </row>
    <row r="179" spans="1:17" x14ac:dyDescent="0.25">
      <c r="A179" s="1">
        <v>8.85</v>
      </c>
      <c r="B179" s="1">
        <v>5.9309000000000001E-2</v>
      </c>
      <c r="C179" s="1">
        <v>2.4797E-3</v>
      </c>
      <c r="D179" s="1">
        <v>4.1080999999999999E-3</v>
      </c>
      <c r="E179" s="1">
        <v>6.6539000000000001E-2</v>
      </c>
      <c r="F179" s="1">
        <v>5.8775999999999996E-7</v>
      </c>
      <c r="G179" s="1">
        <v>7.1111000000000004</v>
      </c>
      <c r="H179" s="1">
        <v>8.6895999999999999E-8</v>
      </c>
      <c r="I179" s="1">
        <f t="shared" si="18"/>
        <v>8.6895999999999999E-8</v>
      </c>
      <c r="J179" s="4">
        <f t="shared" si="19"/>
        <v>-1.8587852690385531E-9</v>
      </c>
      <c r="K179" s="4">
        <f t="shared" si="20"/>
        <v>-1.0451484705852853E-8</v>
      </c>
      <c r="L179" s="4">
        <f t="shared" si="21"/>
        <v>-8.8161609172832202E-9</v>
      </c>
      <c r="M179" s="4">
        <f t="shared" si="23"/>
        <v>-1.1014528367897412E-8</v>
      </c>
      <c r="N179" s="5">
        <f t="shared" si="24"/>
        <v>5.4466423655494947E-8</v>
      </c>
      <c r="O179" s="5">
        <f t="shared" si="25"/>
        <v>5.3839540359021516E-7</v>
      </c>
      <c r="P179" s="5">
        <f t="shared" si="26"/>
        <v>1.2071381727542899E-6</v>
      </c>
      <c r="Q179" s="1">
        <f t="shared" si="22"/>
        <v>1.7999999999999999E-6</v>
      </c>
    </row>
    <row r="180" spans="1:17" x14ac:dyDescent="0.25">
      <c r="A180" s="1">
        <v>8.9</v>
      </c>
      <c r="B180" s="1">
        <v>5.9221000000000003E-2</v>
      </c>
      <c r="C180" s="1">
        <v>2.4946E-3</v>
      </c>
      <c r="D180" s="1">
        <v>4.1447000000000003E-3</v>
      </c>
      <c r="E180" s="1">
        <v>6.6448999999999994E-2</v>
      </c>
      <c r="F180" s="1">
        <v>5.9251999999999996E-7</v>
      </c>
      <c r="G180" s="1">
        <v>7.1101999999999999</v>
      </c>
      <c r="H180" s="1">
        <v>8.7050000000000002E-8</v>
      </c>
      <c r="I180" s="1">
        <f t="shared" si="18"/>
        <v>8.7050000000000002E-8</v>
      </c>
      <c r="J180" s="4">
        <f t="shared" si="19"/>
        <v>-1.8816069714199184E-9</v>
      </c>
      <c r="K180" s="4">
        <f t="shared" si="20"/>
        <v>-1.0498710370009345E-8</v>
      </c>
      <c r="L180" s="4">
        <f t="shared" si="21"/>
        <v>-8.8400201106903564E-9</v>
      </c>
      <c r="M180" s="4">
        <f t="shared" si="23"/>
        <v>-1.1014025259264118E-8</v>
      </c>
      <c r="N180" s="5">
        <f t="shared" si="24"/>
        <v>5.4243506943394023E-8</v>
      </c>
      <c r="O180" s="5">
        <f t="shared" si="25"/>
        <v>5.4079232545088991E-7</v>
      </c>
      <c r="P180" s="5">
        <f t="shared" si="26"/>
        <v>1.2049641676057161E-6</v>
      </c>
      <c r="Q180" s="1">
        <f t="shared" si="22"/>
        <v>1.8000000000000001E-6</v>
      </c>
    </row>
    <row r="181" spans="1:17" x14ac:dyDescent="0.25">
      <c r="A181" s="1">
        <v>8.9499999999999993</v>
      </c>
      <c r="B181" s="1">
        <v>5.9132999999999998E-2</v>
      </c>
      <c r="C181" s="1">
        <v>2.5095E-3</v>
      </c>
      <c r="D181" s="1">
        <v>4.1812999999999998E-3</v>
      </c>
      <c r="E181" s="1">
        <v>6.6359000000000001E-2</v>
      </c>
      <c r="F181" s="1">
        <v>5.9727999999999996E-7</v>
      </c>
      <c r="G181" s="1">
        <v>7.1093000000000002</v>
      </c>
      <c r="H181" s="1">
        <v>8.7204000000000005E-8</v>
      </c>
      <c r="I181" s="1">
        <f t="shared" si="18"/>
        <v>8.7204000000000005E-8</v>
      </c>
      <c r="J181" s="4">
        <f t="shared" si="19"/>
        <v>-1.9043807727208422E-9</v>
      </c>
      <c r="K181" s="4">
        <f t="shared" si="20"/>
        <v>-1.054545034629213E-8</v>
      </c>
      <c r="L181" s="4">
        <f t="shared" si="21"/>
        <v>-8.8631340977703374E-9</v>
      </c>
      <c r="M181" s="4">
        <f t="shared" si="23"/>
        <v>-1.1013673732957912E-8</v>
      </c>
      <c r="N181" s="5">
        <f t="shared" si="24"/>
        <v>5.4021442419194971E-8</v>
      </c>
      <c r="O181" s="5">
        <f t="shared" si="25"/>
        <v>5.4316492961027653E-7</v>
      </c>
      <c r="P181" s="5">
        <f t="shared" si="26"/>
        <v>1.2028136279705286E-6</v>
      </c>
      <c r="Q181" s="1">
        <f t="shared" si="22"/>
        <v>1.8000000000000001E-6</v>
      </c>
    </row>
    <row r="182" spans="1:17" x14ac:dyDescent="0.25">
      <c r="A182" s="1">
        <v>9</v>
      </c>
      <c r="B182" s="1">
        <v>5.9045E-2</v>
      </c>
      <c r="C182" s="1">
        <v>2.5241999999999999E-3</v>
      </c>
      <c r="D182" s="1">
        <v>4.2179000000000001E-3</v>
      </c>
      <c r="E182" s="1">
        <v>6.6268999999999995E-2</v>
      </c>
      <c r="F182" s="1">
        <v>6.0203999999999996E-7</v>
      </c>
      <c r="G182" s="1">
        <v>7.1083999999999996</v>
      </c>
      <c r="H182" s="1">
        <v>8.7357999999999994E-8</v>
      </c>
      <c r="I182" s="1">
        <f t="shared" si="18"/>
        <v>8.7357999999999994E-8</v>
      </c>
      <c r="J182" s="4">
        <f t="shared" si="19"/>
        <v>-1.9271792955093801E-9</v>
      </c>
      <c r="K182" s="4">
        <f t="shared" si="20"/>
        <v>-1.0591716127400543E-8</v>
      </c>
      <c r="L182" s="4">
        <f t="shared" si="21"/>
        <v>-8.885708831928643E-9</v>
      </c>
      <c r="M182" s="4">
        <f t="shared" si="23"/>
        <v>-1.1013466759422063E-8</v>
      </c>
      <c r="N182" s="5">
        <f t="shared" si="24"/>
        <v>5.3800270419157489E-8</v>
      </c>
      <c r="O182" s="5">
        <f t="shared" si="25"/>
        <v>5.4551385953780746E-7</v>
      </c>
      <c r="P182" s="5">
        <f t="shared" si="26"/>
        <v>1.2006858700430352E-6</v>
      </c>
      <c r="Q182" s="1">
        <f t="shared" si="22"/>
        <v>1.8000000000000001E-6</v>
      </c>
    </row>
    <row r="183" spans="1:17" x14ac:dyDescent="0.25">
      <c r="A183" s="1">
        <v>9.0500000000000007</v>
      </c>
      <c r="B183" s="1">
        <v>5.8957000000000002E-2</v>
      </c>
      <c r="C183" s="1">
        <v>2.5389000000000002E-3</v>
      </c>
      <c r="D183" s="1">
        <v>4.2545999999999999E-3</v>
      </c>
      <c r="E183" s="1">
        <v>6.6179000000000002E-2</v>
      </c>
      <c r="F183" s="1">
        <v>6.0679999999999995E-7</v>
      </c>
      <c r="G183" s="1">
        <v>7.1074999999999999</v>
      </c>
      <c r="H183" s="1">
        <v>8.7511999999999996E-8</v>
      </c>
      <c r="I183" s="1">
        <f t="shared" si="18"/>
        <v>8.7511999999999996E-8</v>
      </c>
      <c r="J183" s="4">
        <f t="shared" si="19"/>
        <v>-1.9500024308088445E-9</v>
      </c>
      <c r="K183" s="4">
        <f t="shared" si="20"/>
        <v>-1.0637520260987398E-8</v>
      </c>
      <c r="L183" s="4">
        <f t="shared" si="21"/>
        <v>-8.90775614597329E-9</v>
      </c>
      <c r="M183" s="4">
        <f t="shared" si="23"/>
        <v>-1.1013399204698201E-8</v>
      </c>
      <c r="N183" s="5">
        <f t="shared" si="24"/>
        <v>5.3580032103362753E-8</v>
      </c>
      <c r="O183" s="5">
        <f t="shared" si="25"/>
        <v>5.4783974091232714E-7</v>
      </c>
      <c r="P183" s="5">
        <f t="shared" si="26"/>
        <v>1.1985802269843102E-6</v>
      </c>
      <c r="Q183" s="1">
        <f t="shared" si="22"/>
        <v>1.8000000000000001E-6</v>
      </c>
    </row>
    <row r="184" spans="1:17" x14ac:dyDescent="0.25">
      <c r="A184" s="1">
        <v>9.1</v>
      </c>
      <c r="B184" s="1">
        <v>5.8869999999999999E-2</v>
      </c>
      <c r="C184" s="1">
        <v>2.5536000000000001E-3</v>
      </c>
      <c r="D184" s="1">
        <v>4.2912000000000002E-3</v>
      </c>
      <c r="E184" s="1">
        <v>6.6088999999999995E-2</v>
      </c>
      <c r="F184" s="1">
        <v>6.1155999999999995E-7</v>
      </c>
      <c r="G184" s="1">
        <v>7.1066000000000003</v>
      </c>
      <c r="H184" s="1">
        <v>8.7664999999999998E-8</v>
      </c>
      <c r="I184" s="1">
        <f t="shared" si="18"/>
        <v>8.7664999999999998E-8</v>
      </c>
      <c r="J184" s="4">
        <f t="shared" si="19"/>
        <v>-1.9728502159858062E-9</v>
      </c>
      <c r="K184" s="4">
        <f t="shared" si="20"/>
        <v>-1.0682874947790152E-8</v>
      </c>
      <c r="L184" s="4">
        <f t="shared" si="21"/>
        <v>-8.9292881664709545E-9</v>
      </c>
      <c r="M184" s="4">
        <f t="shared" si="23"/>
        <v>-1.1013466046504114E-8</v>
      </c>
      <c r="N184" s="5">
        <f t="shared" si="24"/>
        <v>5.3360768668696145E-8</v>
      </c>
      <c r="O184" s="5">
        <f t="shared" si="25"/>
        <v>5.5014318222702694E-7</v>
      </c>
      <c r="P184" s="5">
        <f t="shared" si="26"/>
        <v>1.196496049104277E-6</v>
      </c>
      <c r="Q184" s="1">
        <f t="shared" si="22"/>
        <v>1.8000000000000001E-6</v>
      </c>
    </row>
    <row r="185" spans="1:17" x14ac:dyDescent="0.25">
      <c r="A185" s="1">
        <v>9.15</v>
      </c>
      <c r="B185" s="1">
        <v>5.8782000000000001E-2</v>
      </c>
      <c r="C185" s="1">
        <v>2.5682000000000001E-3</v>
      </c>
      <c r="D185" s="1">
        <v>4.3277999999999997E-3</v>
      </c>
      <c r="E185" s="1">
        <v>6.5999000000000002E-2</v>
      </c>
      <c r="F185" s="1">
        <v>6.1631999999999995E-7</v>
      </c>
      <c r="G185" s="1">
        <v>7.1056999999999997</v>
      </c>
      <c r="H185" s="1">
        <v>8.7819E-8</v>
      </c>
      <c r="I185" s="1">
        <f t="shared" si="18"/>
        <v>8.7819E-8</v>
      </c>
      <c r="J185" s="4">
        <f t="shared" si="19"/>
        <v>-1.9957228095319011E-9</v>
      </c>
      <c r="K185" s="4">
        <f t="shared" si="20"/>
        <v>-1.0727792053427179E-8</v>
      </c>
      <c r="L185" s="4">
        <f t="shared" si="21"/>
        <v>-8.9503171847486483E-9</v>
      </c>
      <c r="M185" s="4">
        <f t="shared" si="23"/>
        <v>-1.1013536745196432E-8</v>
      </c>
      <c r="N185" s="5">
        <f t="shared" si="24"/>
        <v>5.3142520727842773E-8</v>
      </c>
      <c r="O185" s="5">
        <f t="shared" si="25"/>
        <v>5.524246497283281E-7</v>
      </c>
      <c r="P185" s="5">
        <f t="shared" si="26"/>
        <v>1.1944328295438292E-6</v>
      </c>
      <c r="Q185" s="1">
        <f t="shared" si="22"/>
        <v>1.8000000000000001E-6</v>
      </c>
    </row>
    <row r="186" spans="1:17" x14ac:dyDescent="0.25">
      <c r="A186" s="1">
        <v>9.1999999999999993</v>
      </c>
      <c r="B186" s="1">
        <v>5.8694000000000003E-2</v>
      </c>
      <c r="C186" s="1">
        <v>2.5826999999999998E-3</v>
      </c>
      <c r="D186" s="1">
        <v>4.3642999999999998E-3</v>
      </c>
      <c r="E186" s="1">
        <v>6.5908999999999995E-2</v>
      </c>
      <c r="F186" s="1">
        <v>6.2107999999999995E-7</v>
      </c>
      <c r="G186" s="1">
        <v>7.1048</v>
      </c>
      <c r="H186" s="1">
        <v>8.7973000000000003E-8</v>
      </c>
      <c r="I186" s="1">
        <f t="shared" si="18"/>
        <v>8.7973000000000003E-8</v>
      </c>
      <c r="J186" s="4">
        <f t="shared" si="19"/>
        <v>-2.0186204694469744E-9</v>
      </c>
      <c r="K186" s="4">
        <f t="shared" si="20"/>
        <v>-1.0772280669702168E-8</v>
      </c>
      <c r="L186" s="4">
        <f t="shared" si="21"/>
        <v>-8.9708555507946865E-9</v>
      </c>
      <c r="M186" s="4">
        <f t="shared" si="23"/>
        <v>-1.1013859149059267E-8</v>
      </c>
      <c r="N186" s="5">
        <f t="shared" si="24"/>
        <v>5.2925325377303289E-8</v>
      </c>
      <c r="O186" s="5">
        <f t="shared" si="25"/>
        <v>5.5468484867713217E-7</v>
      </c>
      <c r="P186" s="5">
        <f t="shared" si="26"/>
        <v>1.1923898259455645E-6</v>
      </c>
      <c r="Q186" s="1">
        <f t="shared" si="22"/>
        <v>1.8000000000000001E-6</v>
      </c>
    </row>
    <row r="187" spans="1:17" x14ac:dyDescent="0.25">
      <c r="A187" s="1">
        <v>9.25</v>
      </c>
      <c r="B187" s="1">
        <v>5.8606999999999999E-2</v>
      </c>
      <c r="C187" s="1">
        <v>2.5972E-3</v>
      </c>
      <c r="D187" s="1">
        <v>4.4009000000000001E-3</v>
      </c>
      <c r="E187" s="1">
        <v>6.5820000000000004E-2</v>
      </c>
      <c r="F187" s="1">
        <v>6.2584000000000005E-7</v>
      </c>
      <c r="G187" s="1">
        <v>7.1039000000000003</v>
      </c>
      <c r="H187" s="1">
        <v>8.8126000000000004E-8</v>
      </c>
      <c r="I187" s="1">
        <f t="shared" si="18"/>
        <v>8.8126000000000004E-8</v>
      </c>
      <c r="J187" s="4">
        <f t="shared" si="19"/>
        <v>-2.0415434402880474E-9</v>
      </c>
      <c r="K187" s="4">
        <f t="shared" si="20"/>
        <v>-1.0816354549204231E-8</v>
      </c>
      <c r="L187" s="4">
        <f t="shared" si="21"/>
        <v>-8.9909151705846504E-9</v>
      </c>
      <c r="M187" s="4">
        <f t="shared" si="23"/>
        <v>-1.1014301566580618E-8</v>
      </c>
      <c r="N187" s="5">
        <f t="shared" si="24"/>
        <v>5.2709221315634817E-8</v>
      </c>
      <c r="O187" s="5">
        <f t="shared" si="25"/>
        <v>5.5692433913479661E-7</v>
      </c>
      <c r="P187" s="5">
        <f t="shared" si="26"/>
        <v>1.1903664395495685E-6</v>
      </c>
      <c r="Q187" s="1">
        <f t="shared" si="22"/>
        <v>1.7999999999999999E-6</v>
      </c>
    </row>
    <row r="188" spans="1:17" x14ac:dyDescent="0.25">
      <c r="A188" s="1">
        <v>9.3000000000000007</v>
      </c>
      <c r="B188" s="1">
        <v>5.8519000000000002E-2</v>
      </c>
      <c r="C188" s="1">
        <v>2.6115999999999999E-3</v>
      </c>
      <c r="D188" s="1">
        <v>4.4374999999999996E-3</v>
      </c>
      <c r="E188" s="1">
        <v>6.5729999999999997E-2</v>
      </c>
      <c r="F188" s="1">
        <v>6.3058999999999998E-7</v>
      </c>
      <c r="G188" s="1">
        <v>7.1031000000000004</v>
      </c>
      <c r="H188" s="1">
        <v>8.8279999999999994E-8</v>
      </c>
      <c r="I188" s="1">
        <f t="shared" si="18"/>
        <v>8.8279999999999994E-8</v>
      </c>
      <c r="J188" s="4">
        <f t="shared" si="19"/>
        <v>-2.0644921450428125E-9</v>
      </c>
      <c r="K188" s="4">
        <f t="shared" si="20"/>
        <v>-1.0860024613128689E-8</v>
      </c>
      <c r="L188" s="4">
        <f t="shared" si="21"/>
        <v>-9.0106452590898537E-9</v>
      </c>
      <c r="M188" s="4">
        <f t="shared" si="23"/>
        <v>-1.1014734449433411E-8</v>
      </c>
      <c r="N188" s="5">
        <f t="shared" si="24"/>
        <v>5.2494108524630835E-8</v>
      </c>
      <c r="O188" s="5">
        <f t="shared" si="25"/>
        <v>5.5914354111614415E-7</v>
      </c>
      <c r="P188" s="5">
        <f t="shared" si="26"/>
        <v>1.1883623503592249E-6</v>
      </c>
      <c r="Q188" s="1">
        <f t="shared" si="22"/>
        <v>1.7999999999999999E-6</v>
      </c>
    </row>
    <row r="189" spans="1:17" x14ac:dyDescent="0.25">
      <c r="A189" s="1">
        <v>9.35</v>
      </c>
      <c r="B189" s="1">
        <v>5.8431999999999998E-2</v>
      </c>
      <c r="C189" s="1">
        <v>2.6259E-3</v>
      </c>
      <c r="D189" s="1">
        <v>4.4741E-3</v>
      </c>
      <c r="E189" s="1">
        <v>6.5640000000000004E-2</v>
      </c>
      <c r="F189" s="1">
        <v>6.3534999999999998E-7</v>
      </c>
      <c r="G189" s="1">
        <v>7.1021999999999998</v>
      </c>
      <c r="H189" s="1">
        <v>8.8433999999999996E-8</v>
      </c>
      <c r="I189" s="1">
        <f t="shared" si="18"/>
        <v>8.8433999999999996E-8</v>
      </c>
      <c r="J189" s="4">
        <f t="shared" si="19"/>
        <v>-2.087395406690192E-9</v>
      </c>
      <c r="K189" s="4">
        <f t="shared" si="20"/>
        <v>-1.090329905176458E-8</v>
      </c>
      <c r="L189" s="4">
        <f t="shared" si="21"/>
        <v>-9.0296179029043778E-9</v>
      </c>
      <c r="M189" s="4">
        <f t="shared" si="23"/>
        <v>-1.1015405970419565E-8</v>
      </c>
      <c r="N189" s="5">
        <f t="shared" si="24"/>
        <v>5.2280394266800849E-8</v>
      </c>
      <c r="O189" s="5">
        <f t="shared" si="25"/>
        <v>5.6134304344148934E-7</v>
      </c>
      <c r="P189" s="5">
        <f t="shared" si="26"/>
        <v>1.1863765622917096E-6</v>
      </c>
      <c r="Q189" s="1">
        <f t="shared" si="22"/>
        <v>1.7999999999999997E-6</v>
      </c>
    </row>
    <row r="190" spans="1:17" x14ac:dyDescent="0.25">
      <c r="A190" s="1">
        <v>9.4</v>
      </c>
      <c r="B190" s="1">
        <v>5.8344E-2</v>
      </c>
      <c r="C190" s="1">
        <v>2.6402000000000001E-3</v>
      </c>
      <c r="D190" s="1">
        <v>4.5107000000000003E-3</v>
      </c>
      <c r="E190" s="1">
        <v>6.5550999999999998E-2</v>
      </c>
      <c r="F190" s="1">
        <v>6.4010999999999998E-7</v>
      </c>
      <c r="G190" s="1">
        <v>7.1013000000000002</v>
      </c>
      <c r="H190" s="1">
        <v>8.8586999999999998E-8</v>
      </c>
      <c r="I190" s="1">
        <f t="shared" si="18"/>
        <v>8.8586999999999998E-8</v>
      </c>
      <c r="J190" s="4">
        <f t="shared" si="19"/>
        <v>-2.1104007017830965E-9</v>
      </c>
      <c r="K190" s="4">
        <f t="shared" si="20"/>
        <v>-1.0946189347109198E-8</v>
      </c>
      <c r="L190" s="4">
        <f t="shared" si="21"/>
        <v>-9.0483326287861197E-9</v>
      </c>
      <c r="M190" s="4">
        <f t="shared" si="23"/>
        <v>-1.1016182615519185E-8</v>
      </c>
      <c r="N190" s="5">
        <f t="shared" si="24"/>
        <v>5.2067850283340831E-8</v>
      </c>
      <c r="O190" s="5">
        <f t="shared" si="25"/>
        <v>5.6352343741168245E-7</v>
      </c>
      <c r="P190" s="5">
        <f t="shared" si="26"/>
        <v>1.1844087123049764E-6</v>
      </c>
      <c r="Q190" s="1">
        <f t="shared" si="22"/>
        <v>1.7999999999999997E-6</v>
      </c>
    </row>
    <row r="191" spans="1:17" x14ac:dyDescent="0.25">
      <c r="A191" s="1">
        <v>9.4499999999999993</v>
      </c>
      <c r="B191" s="1">
        <v>5.8257000000000003E-2</v>
      </c>
      <c r="C191" s="1">
        <v>2.6543999999999999E-3</v>
      </c>
      <c r="D191" s="1">
        <v>4.5472000000000004E-3</v>
      </c>
      <c r="E191" s="1">
        <v>6.5461000000000005E-2</v>
      </c>
      <c r="F191" s="1">
        <v>6.4486000000000002E-7</v>
      </c>
      <c r="G191" s="1">
        <v>7.1003999999999996</v>
      </c>
      <c r="H191" s="1">
        <v>8.8739999999999999E-8</v>
      </c>
      <c r="I191" s="1">
        <f t="shared" si="18"/>
        <v>8.8739999999999999E-8</v>
      </c>
      <c r="J191" s="4">
        <f t="shared" si="19"/>
        <v>-2.133432325939683E-9</v>
      </c>
      <c r="K191" s="4">
        <f t="shared" si="20"/>
        <v>-1.0988707029527574E-8</v>
      </c>
      <c r="L191" s="4">
        <f t="shared" si="21"/>
        <v>-9.0667507608120399E-9</v>
      </c>
      <c r="M191" s="4">
        <f t="shared" si="23"/>
        <v>-1.1016937532680665E-8</v>
      </c>
      <c r="N191" s="5">
        <f t="shared" si="24"/>
        <v>5.1856374226116681E-8</v>
      </c>
      <c r="O191" s="5">
        <f t="shared" si="25"/>
        <v>5.6568510024077525E-7</v>
      </c>
      <c r="P191" s="5">
        <f t="shared" si="26"/>
        <v>1.1824585255331078E-6</v>
      </c>
      <c r="Q191" s="1">
        <f t="shared" si="22"/>
        <v>1.7999999999999997E-6</v>
      </c>
    </row>
    <row r="192" spans="1:17" x14ac:dyDescent="0.25">
      <c r="A192" s="1">
        <v>9.5</v>
      </c>
      <c r="B192" s="1">
        <v>5.8169999999999999E-2</v>
      </c>
      <c r="C192" s="1">
        <v>2.6686000000000001E-3</v>
      </c>
      <c r="D192" s="1">
        <v>4.5837999999999999E-3</v>
      </c>
      <c r="E192" s="1">
        <v>6.5372E-2</v>
      </c>
      <c r="F192" s="1">
        <v>6.4962000000000002E-7</v>
      </c>
      <c r="G192" s="1">
        <v>7.0994999999999999</v>
      </c>
      <c r="H192" s="1">
        <v>8.8894000000000002E-8</v>
      </c>
      <c r="I192" s="1">
        <f t="shared" si="18"/>
        <v>8.8894000000000002E-8</v>
      </c>
      <c r="J192" s="4">
        <f t="shared" si="19"/>
        <v>-2.1564183842620197E-9</v>
      </c>
      <c r="K192" s="4">
        <f t="shared" si="20"/>
        <v>-1.1030859454695274E-8</v>
      </c>
      <c r="L192" s="4">
        <f t="shared" si="21"/>
        <v>-9.0844433053148087E-9</v>
      </c>
      <c r="M192" s="4">
        <f t="shared" si="23"/>
        <v>-1.1017793803359996E-8</v>
      </c>
      <c r="N192" s="5">
        <f t="shared" si="24"/>
        <v>5.1646371991235126E-8</v>
      </c>
      <c r="O192" s="5">
        <f t="shared" si="25"/>
        <v>5.6782845297370203E-7</v>
      </c>
      <c r="P192" s="5">
        <f t="shared" si="26"/>
        <v>1.1805251750350626E-6</v>
      </c>
      <c r="Q192" s="1">
        <f t="shared" si="22"/>
        <v>1.7999999999999997E-6</v>
      </c>
    </row>
    <row r="193" spans="1:17" x14ac:dyDescent="0.25">
      <c r="A193" s="1">
        <v>9.5500000000000007</v>
      </c>
      <c r="B193" s="1">
        <v>5.8083000000000003E-2</v>
      </c>
      <c r="C193" s="1">
        <v>2.6827000000000001E-3</v>
      </c>
      <c r="D193" s="1">
        <v>4.6202999999999999E-3</v>
      </c>
      <c r="E193" s="1">
        <v>6.5282000000000007E-2</v>
      </c>
      <c r="F193" s="1">
        <v>6.5436999999999995E-7</v>
      </c>
      <c r="G193" s="1">
        <v>7.0987</v>
      </c>
      <c r="H193" s="1">
        <v>8.9047000000000003E-8</v>
      </c>
      <c r="I193" s="1">
        <f t="shared" si="18"/>
        <v>8.9047000000000003E-8</v>
      </c>
      <c r="J193" s="4">
        <f t="shared" si="19"/>
        <v>-2.1795086316269596E-9</v>
      </c>
      <c r="K193" s="4">
        <f t="shared" si="20"/>
        <v>-1.1072654832987348E-8</v>
      </c>
      <c r="L193" s="4">
        <f t="shared" si="21"/>
        <v>-9.1020470245201508E-9</v>
      </c>
      <c r="M193" s="4">
        <f t="shared" si="23"/>
        <v>-1.1018868515504679E-8</v>
      </c>
      <c r="N193" s="5">
        <f t="shared" si="24"/>
        <v>5.1437471168075365E-8</v>
      </c>
      <c r="O193" s="5">
        <f t="shared" si="25"/>
        <v>5.699541752878463E-7</v>
      </c>
      <c r="P193" s="5">
        <f t="shared" si="26"/>
        <v>1.178608353544078E-6</v>
      </c>
      <c r="Q193" s="1">
        <f t="shared" si="22"/>
        <v>1.7999999999999997E-6</v>
      </c>
    </row>
    <row r="194" spans="1:17" x14ac:dyDescent="0.25">
      <c r="A194" s="1">
        <v>9.6</v>
      </c>
      <c r="B194" s="1">
        <v>5.7995999999999999E-2</v>
      </c>
      <c r="C194" s="1">
        <v>2.6968000000000001E-3</v>
      </c>
      <c r="D194" s="1">
        <v>4.6569000000000003E-3</v>
      </c>
      <c r="E194" s="1">
        <v>6.5193000000000001E-2</v>
      </c>
      <c r="F194" s="1">
        <v>6.5911999999999999E-7</v>
      </c>
      <c r="G194" s="1">
        <v>7.0978000000000003</v>
      </c>
      <c r="H194" s="1">
        <v>8.9200000000000005E-8</v>
      </c>
      <c r="I194" s="1">
        <f t="shared" si="18"/>
        <v>8.9200000000000005E-8</v>
      </c>
      <c r="J194" s="4">
        <f t="shared" si="19"/>
        <v>-2.2025530138460354E-9</v>
      </c>
      <c r="K194" s="4">
        <f t="shared" si="20"/>
        <v>-1.1114106418112768E-8</v>
      </c>
      <c r="L194" s="4">
        <f t="shared" si="21"/>
        <v>-9.1189437669372409E-9</v>
      </c>
      <c r="M194" s="4">
        <f t="shared" si="23"/>
        <v>-1.1019911496093915E-8</v>
      </c>
      <c r="N194" s="5">
        <f t="shared" si="24"/>
        <v>5.1230080805404853E-8</v>
      </c>
      <c r="O194" s="5">
        <f t="shared" si="25"/>
        <v>5.7206253337967355E-7</v>
      </c>
      <c r="P194" s="5">
        <f t="shared" si="26"/>
        <v>1.1767073858149212E-6</v>
      </c>
      <c r="Q194" s="1">
        <f t="shared" si="22"/>
        <v>1.7999999999999997E-6</v>
      </c>
    </row>
    <row r="195" spans="1:17" x14ac:dyDescent="0.25">
      <c r="A195" s="1">
        <v>9.65</v>
      </c>
      <c r="B195" s="1">
        <v>5.7909000000000002E-2</v>
      </c>
      <c r="C195" s="1">
        <v>2.7108000000000002E-3</v>
      </c>
      <c r="D195" s="1">
        <v>4.6934000000000003E-3</v>
      </c>
      <c r="E195" s="1">
        <v>6.5102999999999994E-2</v>
      </c>
      <c r="F195" s="1">
        <v>6.6387999999999999E-7</v>
      </c>
      <c r="G195" s="1">
        <v>7.0968999999999998</v>
      </c>
      <c r="H195" s="1">
        <v>8.9353000000000006E-8</v>
      </c>
      <c r="I195" s="1">
        <f t="shared" ref="I195:I258" si="27">H195</f>
        <v>8.9353000000000006E-8</v>
      </c>
      <c r="J195" s="4">
        <f t="shared" ref="J195:J258" si="28">(-$T$4*F194^2*N194)*(A195-A194)</f>
        <v>-2.2256354009545689E-9</v>
      </c>
      <c r="K195" s="4">
        <f t="shared" ref="K195:K258" si="29">-O194*$T$7*(A195-A194)</f>
        <v>-1.1155219400903793E-8</v>
      </c>
      <c r="L195" s="4">
        <f t="shared" ref="L195:L258" si="30">-$T$5*F194*E194*(A195-A194)*N194</f>
        <v>-9.1356319347294808E-9</v>
      </c>
      <c r="M195" s="4">
        <f t="shared" si="23"/>
        <v>-1.1021041375542709E-8</v>
      </c>
      <c r="N195" s="5">
        <f t="shared" si="24"/>
        <v>5.1024032870624593E-8</v>
      </c>
      <c r="O195" s="5">
        <f t="shared" si="25"/>
        <v>5.74153990755267E-7</v>
      </c>
      <c r="P195" s="5">
        <f t="shared" si="26"/>
        <v>1.174821976374108E-6</v>
      </c>
      <c r="Q195" s="1">
        <f t="shared" ref="Q195:Q258" si="31">N195+O195+P195</f>
        <v>1.7999999999999997E-6</v>
      </c>
    </row>
    <row r="196" spans="1:17" x14ac:dyDescent="0.25">
      <c r="A196" s="1">
        <v>9.6999999999999993</v>
      </c>
      <c r="B196" s="1">
        <v>5.7821999999999998E-2</v>
      </c>
      <c r="C196" s="1">
        <v>2.7247E-3</v>
      </c>
      <c r="D196" s="1">
        <v>4.7299000000000004E-3</v>
      </c>
      <c r="E196" s="1">
        <v>6.5014000000000002E-2</v>
      </c>
      <c r="F196" s="1">
        <v>6.6863000000000003E-7</v>
      </c>
      <c r="G196" s="1">
        <v>7.0960000000000001</v>
      </c>
      <c r="H196" s="1">
        <v>8.9506999999999995E-8</v>
      </c>
      <c r="I196" s="1">
        <f t="shared" si="27"/>
        <v>8.9506999999999995E-8</v>
      </c>
      <c r="J196" s="4">
        <f t="shared" si="28"/>
        <v>-2.2488161541394232E-9</v>
      </c>
      <c r="K196" s="4">
        <f t="shared" si="29"/>
        <v>-1.1196002819727469E-8</v>
      </c>
      <c r="L196" s="4">
        <f t="shared" si="30"/>
        <v>-9.1519463463908572E-9</v>
      </c>
      <c r="M196" s="4">
        <f t="shared" ref="M196:M259" si="32">-P195*$T$8*I195*(A196-A195)</f>
        <v>-1.1022256145770112E-8</v>
      </c>
      <c r="N196" s="5">
        <f t="shared" ref="N196:N259" si="33">N195+J196-K196+L196</f>
        <v>5.0819273189821775E-8</v>
      </c>
      <c r="O196" s="5">
        <f t="shared" ref="O196:O259" si="34">-J196+O195+K196-M196</f>
        <v>5.7622906023544906E-7</v>
      </c>
      <c r="P196" s="5">
        <f t="shared" ref="P196:P259" si="35">P195-L196+M196</f>
        <v>1.1729516665747286E-6</v>
      </c>
      <c r="Q196" s="1">
        <f t="shared" si="31"/>
        <v>1.7999999999999995E-6</v>
      </c>
    </row>
    <row r="197" spans="1:17" x14ac:dyDescent="0.25">
      <c r="A197" s="1">
        <v>9.75</v>
      </c>
      <c r="B197" s="1">
        <v>5.7735000000000002E-2</v>
      </c>
      <c r="C197" s="1">
        <v>2.7385999999999999E-3</v>
      </c>
      <c r="D197" s="1">
        <v>4.7663999999999996E-3</v>
      </c>
      <c r="E197" s="1">
        <v>6.4924999999999997E-2</v>
      </c>
      <c r="F197" s="1">
        <v>6.7337999999999996E-7</v>
      </c>
      <c r="G197" s="1">
        <v>7.0952000000000002</v>
      </c>
      <c r="H197" s="1">
        <v>8.9659999999999997E-8</v>
      </c>
      <c r="I197" s="1">
        <f t="shared" si="27"/>
        <v>8.9659999999999997E-8</v>
      </c>
      <c r="J197" s="4">
        <f t="shared" si="28"/>
        <v>-2.2719573095883295E-9</v>
      </c>
      <c r="K197" s="4">
        <f t="shared" si="29"/>
        <v>-1.1236466674591417E-8</v>
      </c>
      <c r="L197" s="4">
        <f t="shared" si="30"/>
        <v>-9.1678878450135199E-9</v>
      </c>
      <c r="M197" s="4">
        <f t="shared" si="32"/>
        <v>-1.1023675406111102E-8</v>
      </c>
      <c r="N197" s="5">
        <f t="shared" si="33"/>
        <v>5.0615894709811341E-8</v>
      </c>
      <c r="O197" s="5">
        <f t="shared" si="34"/>
        <v>5.782882262765571E-7</v>
      </c>
      <c r="P197" s="5">
        <f t="shared" si="35"/>
        <v>1.1710958790136312E-6</v>
      </c>
      <c r="Q197" s="1">
        <f t="shared" si="31"/>
        <v>1.7999999999999997E-6</v>
      </c>
    </row>
    <row r="198" spans="1:17" x14ac:dyDescent="0.25">
      <c r="A198" s="1">
        <v>9.8000000000000007</v>
      </c>
      <c r="B198" s="1">
        <v>5.7647999999999998E-2</v>
      </c>
      <c r="C198" s="1">
        <v>2.7523999999999999E-3</v>
      </c>
      <c r="D198" s="1">
        <v>4.8028999999999997E-3</v>
      </c>
      <c r="E198" s="1">
        <v>6.4835000000000004E-2</v>
      </c>
      <c r="F198" s="1">
        <v>6.7813E-7</v>
      </c>
      <c r="G198" s="1">
        <v>7.0942999999999996</v>
      </c>
      <c r="H198" s="1">
        <v>8.9812999999999998E-8</v>
      </c>
      <c r="I198" s="1">
        <f t="shared" si="27"/>
        <v>8.9812999999999998E-8</v>
      </c>
      <c r="J198" s="4">
        <f t="shared" si="28"/>
        <v>-2.2951302901781834E-9</v>
      </c>
      <c r="K198" s="4">
        <f t="shared" si="29"/>
        <v>-1.1276620412393024E-8</v>
      </c>
      <c r="L198" s="4">
        <f t="shared" si="30"/>
        <v>-9.1834779243925723E-9</v>
      </c>
      <c r="M198" s="4">
        <f t="shared" si="32"/>
        <v>-1.1025047933798184E-8</v>
      </c>
      <c r="N198" s="5">
        <f t="shared" si="33"/>
        <v>5.0413906907633609E-8</v>
      </c>
      <c r="O198" s="5">
        <f t="shared" si="34"/>
        <v>5.8033178408814052E-7</v>
      </c>
      <c r="P198" s="5">
        <f t="shared" si="35"/>
        <v>1.1692543090042256E-6</v>
      </c>
      <c r="Q198" s="1">
        <f t="shared" si="31"/>
        <v>1.7999999999999997E-6</v>
      </c>
    </row>
    <row r="199" spans="1:17" x14ac:dyDescent="0.25">
      <c r="A199" s="1">
        <v>9.85</v>
      </c>
      <c r="B199" s="1">
        <v>5.7561000000000001E-2</v>
      </c>
      <c r="C199" s="1">
        <v>2.7661000000000001E-3</v>
      </c>
      <c r="D199" s="1">
        <v>4.8395000000000001E-3</v>
      </c>
      <c r="E199" s="1">
        <v>6.4745999999999998E-2</v>
      </c>
      <c r="F199" s="1">
        <v>6.8286999999999997E-7</v>
      </c>
      <c r="G199" s="1">
        <v>7.0933999999999999</v>
      </c>
      <c r="H199" s="1">
        <v>8.9966E-8</v>
      </c>
      <c r="I199" s="1">
        <f t="shared" si="27"/>
        <v>8.9966E-8</v>
      </c>
      <c r="J199" s="4">
        <f t="shared" si="28"/>
        <v>-2.3183354198432856E-9</v>
      </c>
      <c r="K199" s="4">
        <f t="shared" si="29"/>
        <v>-1.1316469789718498E-8</v>
      </c>
      <c r="L199" s="4">
        <f t="shared" si="30"/>
        <v>-9.1985828576230024E-9</v>
      </c>
      <c r="M199" s="4">
        <f t="shared" si="32"/>
        <v>-1.1026494911732398E-8</v>
      </c>
      <c r="N199" s="5">
        <f t="shared" si="33"/>
        <v>5.0213458419885814E-8</v>
      </c>
      <c r="O199" s="5">
        <f t="shared" si="34"/>
        <v>5.8236014462999778E-7</v>
      </c>
      <c r="P199" s="5">
        <f t="shared" si="35"/>
        <v>1.1674263969501161E-6</v>
      </c>
      <c r="Q199" s="1">
        <f t="shared" si="31"/>
        <v>1.7999999999999997E-6</v>
      </c>
    </row>
    <row r="200" spans="1:17" x14ac:dyDescent="0.25">
      <c r="A200" s="1">
        <v>9.9</v>
      </c>
      <c r="B200" s="1">
        <v>5.7474999999999998E-2</v>
      </c>
      <c r="C200" s="1">
        <v>2.7797999999999998E-3</v>
      </c>
      <c r="D200" s="1">
        <v>4.8760000000000001E-3</v>
      </c>
      <c r="E200" s="1">
        <v>6.4657000000000006E-2</v>
      </c>
      <c r="F200" s="1">
        <v>6.8762000000000001E-7</v>
      </c>
      <c r="G200" s="1">
        <v>7.0926</v>
      </c>
      <c r="H200" s="1">
        <v>9.0118E-8</v>
      </c>
      <c r="I200" s="1">
        <f t="shared" si="27"/>
        <v>9.0118E-8</v>
      </c>
      <c r="J200" s="4">
        <f t="shared" si="28"/>
        <v>-2.3415109947495687E-9</v>
      </c>
      <c r="K200" s="4">
        <f t="shared" si="29"/>
        <v>-1.1356022820285119E-8</v>
      </c>
      <c r="L200" s="4">
        <f t="shared" si="30"/>
        <v>-9.2133847451803517E-9</v>
      </c>
      <c r="M200" s="4">
        <f t="shared" si="32"/>
        <v>-1.1028011738941642E-8</v>
      </c>
      <c r="N200" s="5">
        <f t="shared" si="33"/>
        <v>5.0014585500241014E-8</v>
      </c>
      <c r="O200" s="5">
        <f t="shared" si="34"/>
        <v>5.8437364454340379E-7</v>
      </c>
      <c r="P200" s="5">
        <f t="shared" si="35"/>
        <v>1.1656117699563548E-6</v>
      </c>
      <c r="Q200" s="1">
        <f t="shared" si="31"/>
        <v>1.7999999999999997E-6</v>
      </c>
    </row>
    <row r="201" spans="1:17" x14ac:dyDescent="0.25">
      <c r="A201" s="1">
        <v>9.9499999999999993</v>
      </c>
      <c r="B201" s="1">
        <v>5.7388000000000002E-2</v>
      </c>
      <c r="C201" s="1">
        <v>2.7935E-3</v>
      </c>
      <c r="D201" s="1">
        <v>4.9123999999999999E-3</v>
      </c>
      <c r="E201" s="1">
        <v>6.4568E-2</v>
      </c>
      <c r="F201" s="1">
        <v>6.9235999999999999E-7</v>
      </c>
      <c r="G201" s="1">
        <v>7.0917000000000003</v>
      </c>
      <c r="H201" s="1">
        <v>9.0271000000000001E-8</v>
      </c>
      <c r="I201" s="1">
        <f t="shared" si="27"/>
        <v>9.0271000000000001E-8</v>
      </c>
      <c r="J201" s="4">
        <f t="shared" si="28"/>
        <v>-2.3647959554665363E-9</v>
      </c>
      <c r="K201" s="4">
        <f t="shared" si="29"/>
        <v>-1.1395286068596132E-8</v>
      </c>
      <c r="L201" s="4">
        <f t="shared" si="30"/>
        <v>-9.2280262381008308E-9</v>
      </c>
      <c r="M201" s="4">
        <f t="shared" si="32"/>
        <v>-1.1029473155917078E-8</v>
      </c>
      <c r="N201" s="5">
        <f t="shared" si="33"/>
        <v>4.9817049375269776E-8</v>
      </c>
      <c r="O201" s="5">
        <f t="shared" si="34"/>
        <v>5.863726275861913E-7</v>
      </c>
      <c r="P201" s="5">
        <f t="shared" si="35"/>
        <v>1.1638103230385386E-6</v>
      </c>
      <c r="Q201" s="1">
        <f t="shared" si="31"/>
        <v>1.7999999999999997E-6</v>
      </c>
    </row>
    <row r="202" spans="1:17" x14ac:dyDescent="0.25">
      <c r="A202" s="1">
        <v>10</v>
      </c>
      <c r="B202" s="1">
        <v>5.7300999999999998E-2</v>
      </c>
      <c r="C202" s="1">
        <v>2.8070999999999999E-3</v>
      </c>
      <c r="D202" s="1">
        <v>4.9489E-3</v>
      </c>
      <c r="E202" s="1">
        <v>6.4478999999999995E-2</v>
      </c>
      <c r="F202" s="1">
        <v>6.9711000000000003E-7</v>
      </c>
      <c r="G202" s="1">
        <v>7.0909000000000004</v>
      </c>
      <c r="H202" s="1">
        <v>9.0424000000000003E-8</v>
      </c>
      <c r="I202" s="1">
        <f t="shared" si="27"/>
        <v>9.0424000000000003E-8</v>
      </c>
      <c r="J202" s="4">
        <f t="shared" si="28"/>
        <v>-2.3880418835009858E-9</v>
      </c>
      <c r="K202" s="4">
        <f t="shared" si="29"/>
        <v>-1.1434266237930894E-8</v>
      </c>
      <c r="L202" s="4">
        <f t="shared" si="30"/>
        <v>-9.2422008288412159E-9</v>
      </c>
      <c r="M202" s="4">
        <f t="shared" si="32"/>
        <v>-1.1031123775456409E-8</v>
      </c>
      <c r="N202" s="5">
        <f t="shared" si="33"/>
        <v>4.9621072900858471E-8</v>
      </c>
      <c r="O202" s="5">
        <f t="shared" si="34"/>
        <v>5.8835752700721782E-7</v>
      </c>
      <c r="P202" s="5">
        <f t="shared" si="35"/>
        <v>1.1620214000919234E-6</v>
      </c>
      <c r="Q202" s="1">
        <f t="shared" si="31"/>
        <v>1.7999999999999997E-6</v>
      </c>
    </row>
    <row r="203" spans="1:17" x14ac:dyDescent="0.25">
      <c r="A203" s="1">
        <v>10.050000000000001</v>
      </c>
      <c r="B203" s="1">
        <v>5.7215000000000002E-2</v>
      </c>
      <c r="C203" s="1">
        <v>2.8205999999999999E-3</v>
      </c>
      <c r="D203" s="1">
        <v>4.9854000000000001E-3</v>
      </c>
      <c r="E203" s="1">
        <v>6.4390000000000003E-2</v>
      </c>
      <c r="F203" s="1">
        <v>7.0185E-7</v>
      </c>
      <c r="G203" s="1">
        <v>7.09</v>
      </c>
      <c r="H203" s="1">
        <v>9.0577000000000004E-8</v>
      </c>
      <c r="I203" s="1">
        <f t="shared" si="27"/>
        <v>9.0577000000000004E-8</v>
      </c>
      <c r="J203" s="4">
        <f t="shared" si="28"/>
        <v>-2.4113973300627099E-9</v>
      </c>
      <c r="K203" s="4">
        <f t="shared" si="29"/>
        <v>-1.1472971776640911E-8</v>
      </c>
      <c r="L203" s="4">
        <f t="shared" si="30"/>
        <v>-9.2562239395105621E-9</v>
      </c>
      <c r="M203" s="4">
        <f t="shared" si="32"/>
        <v>-1.1032835423600926E-8</v>
      </c>
      <c r="N203" s="5">
        <f t="shared" si="33"/>
        <v>4.9426423407926105E-8</v>
      </c>
      <c r="O203" s="5">
        <f t="shared" si="34"/>
        <v>5.9032878798424055E-7</v>
      </c>
      <c r="P203" s="5">
        <f t="shared" si="35"/>
        <v>1.1602447886078329E-6</v>
      </c>
      <c r="Q203" s="1">
        <f t="shared" si="31"/>
        <v>1.7999999999999997E-6</v>
      </c>
    </row>
    <row r="204" spans="1:17" x14ac:dyDescent="0.25">
      <c r="A204" s="1">
        <v>10.1</v>
      </c>
      <c r="B204" s="1">
        <v>5.7128999999999999E-2</v>
      </c>
      <c r="C204" s="1">
        <v>2.8341E-3</v>
      </c>
      <c r="D204" s="1">
        <v>5.0219000000000001E-3</v>
      </c>
      <c r="E204" s="1">
        <v>6.4300999999999997E-2</v>
      </c>
      <c r="F204" s="1">
        <v>7.0658999999999998E-7</v>
      </c>
      <c r="G204" s="1">
        <v>7.0891999999999999</v>
      </c>
      <c r="H204" s="1">
        <v>9.0729000000000005E-8</v>
      </c>
      <c r="I204" s="1">
        <f t="shared" si="27"/>
        <v>9.0729000000000005E-8</v>
      </c>
      <c r="J204" s="4">
        <f t="shared" si="28"/>
        <v>-2.4347131068443909E-9</v>
      </c>
      <c r="K204" s="4">
        <f t="shared" si="29"/>
        <v>-1.1511411365692444E-8</v>
      </c>
      <c r="L204" s="4">
        <f t="shared" si="30"/>
        <v>-9.2697924676397809E-9</v>
      </c>
      <c r="M204" s="4">
        <f t="shared" si="32"/>
        <v>-1.1034606682861592E-8</v>
      </c>
      <c r="N204" s="5">
        <f t="shared" si="33"/>
        <v>4.9233329199134379E-8</v>
      </c>
      <c r="O204" s="5">
        <f t="shared" si="34"/>
        <v>5.9228669640825415E-7</v>
      </c>
      <c r="P204" s="5">
        <f t="shared" si="35"/>
        <v>1.1584799743926112E-6</v>
      </c>
      <c r="Q204" s="1">
        <f t="shared" si="31"/>
        <v>1.7999999999999997E-6</v>
      </c>
    </row>
    <row r="205" spans="1:17" x14ac:dyDescent="0.25">
      <c r="A205" s="1">
        <v>10.15</v>
      </c>
      <c r="B205" s="1">
        <v>5.7042000000000002E-2</v>
      </c>
      <c r="C205" s="1">
        <v>2.8475000000000002E-3</v>
      </c>
      <c r="D205" s="1">
        <v>5.0582999999999999E-3</v>
      </c>
      <c r="E205" s="1">
        <v>6.4212000000000005E-2</v>
      </c>
      <c r="F205" s="1">
        <v>7.1132999999999995E-7</v>
      </c>
      <c r="G205" s="1">
        <v>7.0883000000000003</v>
      </c>
      <c r="H205" s="1">
        <v>9.0882000000000006E-8</v>
      </c>
      <c r="I205" s="1">
        <f t="shared" si="27"/>
        <v>9.0882000000000006E-8</v>
      </c>
      <c r="J205" s="4">
        <f t="shared" si="28"/>
        <v>-2.4580696112711199E-9</v>
      </c>
      <c r="K205" s="4">
        <f t="shared" si="29"/>
        <v>-1.1549590579961121E-8</v>
      </c>
      <c r="L205" s="4">
        <f t="shared" si="30"/>
        <v>-9.2830890107209106E-9</v>
      </c>
      <c r="M205" s="4">
        <f t="shared" si="32"/>
        <v>-1.1036311607650217E-8</v>
      </c>
      <c r="N205" s="5">
        <f t="shared" si="33"/>
        <v>4.9041761157103466E-8</v>
      </c>
      <c r="O205" s="5">
        <f t="shared" si="34"/>
        <v>5.9423148704721429E-7</v>
      </c>
      <c r="P205" s="5">
        <f t="shared" si="35"/>
        <v>1.1567267517956818E-6</v>
      </c>
      <c r="Q205" s="1">
        <f t="shared" si="31"/>
        <v>1.7999999999999997E-6</v>
      </c>
    </row>
    <row r="206" spans="1:17" x14ac:dyDescent="0.25">
      <c r="A206" s="1">
        <v>10.199999999999999</v>
      </c>
      <c r="B206" s="1">
        <v>5.6956E-2</v>
      </c>
      <c r="C206" s="1">
        <v>2.8609E-3</v>
      </c>
      <c r="D206" s="1">
        <v>5.0948E-3</v>
      </c>
      <c r="E206" s="1">
        <v>6.4122999999999999E-2</v>
      </c>
      <c r="F206" s="1">
        <v>7.1607000000000003E-7</v>
      </c>
      <c r="G206" s="1">
        <v>7.0875000000000004</v>
      </c>
      <c r="H206" s="1">
        <v>9.1034000000000006E-8</v>
      </c>
      <c r="I206" s="1">
        <f t="shared" si="27"/>
        <v>9.1034000000000006E-8</v>
      </c>
      <c r="J206" s="4">
        <f t="shared" si="28"/>
        <v>-2.4814658819387943E-9</v>
      </c>
      <c r="K206" s="4">
        <f t="shared" si="29"/>
        <v>-1.1587513997420432E-8</v>
      </c>
      <c r="L206" s="4">
        <f t="shared" si="30"/>
        <v>-9.2961147698799943E-9</v>
      </c>
      <c r="M206" s="4">
        <f t="shared" si="32"/>
        <v>-1.1038192268952756E-8</v>
      </c>
      <c r="N206" s="5">
        <f t="shared" si="33"/>
        <v>4.8851694502705115E-8</v>
      </c>
      <c r="O206" s="5">
        <f t="shared" si="34"/>
        <v>5.9616363120068551E-7</v>
      </c>
      <c r="P206" s="5">
        <f t="shared" si="35"/>
        <v>1.1549846742966092E-6</v>
      </c>
      <c r="Q206" s="1">
        <f t="shared" si="31"/>
        <v>1.7999999999999997E-6</v>
      </c>
    </row>
    <row r="207" spans="1:17" x14ac:dyDescent="0.25">
      <c r="A207" s="1">
        <v>10.25</v>
      </c>
      <c r="B207" s="1">
        <v>5.6869999999999997E-2</v>
      </c>
      <c r="C207" s="1">
        <v>2.8741999999999999E-3</v>
      </c>
      <c r="D207" s="1">
        <v>5.1311999999999998E-3</v>
      </c>
      <c r="E207" s="1">
        <v>6.4033999999999994E-2</v>
      </c>
      <c r="F207" s="1">
        <v>7.2080000000000005E-7</v>
      </c>
      <c r="G207" s="1">
        <v>7.0865999999999998</v>
      </c>
      <c r="H207" s="1">
        <v>9.1185999999999993E-8</v>
      </c>
      <c r="I207" s="1">
        <f t="shared" si="27"/>
        <v>9.1185999999999993E-8</v>
      </c>
      <c r="J207" s="4">
        <f t="shared" si="28"/>
        <v>-2.5049011430209405E-9</v>
      </c>
      <c r="K207" s="4">
        <f t="shared" si="29"/>
        <v>-1.1625190808413533E-8</v>
      </c>
      <c r="L207" s="4">
        <f t="shared" si="30"/>
        <v>-9.3088716239308575E-9</v>
      </c>
      <c r="M207" s="4">
        <f t="shared" si="32"/>
        <v>-1.1040001858191497E-8</v>
      </c>
      <c r="N207" s="5">
        <f t="shared" si="33"/>
        <v>4.8663112544166854E-8</v>
      </c>
      <c r="O207" s="5">
        <f t="shared" si="34"/>
        <v>5.9808334339348436E-7</v>
      </c>
      <c r="P207" s="5">
        <f t="shared" si="35"/>
        <v>1.1532535440623485E-6</v>
      </c>
      <c r="Q207" s="1">
        <f t="shared" si="31"/>
        <v>1.7999999999999997E-6</v>
      </c>
    </row>
    <row r="208" spans="1:17" x14ac:dyDescent="0.25">
      <c r="A208" s="1">
        <v>10.3</v>
      </c>
      <c r="B208" s="1">
        <v>5.6784000000000001E-2</v>
      </c>
      <c r="C208" s="1">
        <v>2.8874E-3</v>
      </c>
      <c r="D208" s="1">
        <v>5.1676999999999999E-3</v>
      </c>
      <c r="E208" s="1">
        <v>6.3945000000000002E-2</v>
      </c>
      <c r="F208" s="1">
        <v>7.2554000000000002E-7</v>
      </c>
      <c r="G208" s="1">
        <v>7.0857999999999999</v>
      </c>
      <c r="H208" s="1">
        <v>9.1338999999999995E-8</v>
      </c>
      <c r="I208" s="1">
        <f t="shared" si="27"/>
        <v>9.1338999999999995E-8</v>
      </c>
      <c r="J208" s="4">
        <f t="shared" si="28"/>
        <v>-2.528304859293937E-9</v>
      </c>
      <c r="K208" s="4">
        <f t="shared" si="29"/>
        <v>-1.1662625196173111E-8</v>
      </c>
      <c r="L208" s="4">
        <f t="shared" si="30"/>
        <v>-9.3212335522213641E-9</v>
      </c>
      <c r="M208" s="4">
        <f t="shared" si="32"/>
        <v>-1.1041860655231433E-8</v>
      </c>
      <c r="N208" s="5">
        <f t="shared" si="33"/>
        <v>4.8476199328824659E-8</v>
      </c>
      <c r="O208" s="5">
        <f t="shared" si="34"/>
        <v>5.9999088371183658E-7</v>
      </c>
      <c r="P208" s="5">
        <f t="shared" si="35"/>
        <v>1.1515329169593384E-6</v>
      </c>
      <c r="Q208" s="1">
        <f t="shared" si="31"/>
        <v>1.7999999999999997E-6</v>
      </c>
    </row>
    <row r="209" spans="1:17" x14ac:dyDescent="0.25">
      <c r="A209" s="1">
        <v>10.35</v>
      </c>
      <c r="B209" s="1">
        <v>5.6697999999999998E-2</v>
      </c>
      <c r="C209" s="1">
        <v>2.9006000000000001E-3</v>
      </c>
      <c r="D209" s="1">
        <v>5.2040999999999997E-3</v>
      </c>
      <c r="E209" s="1">
        <v>6.3855999999999996E-2</v>
      </c>
      <c r="F209" s="1">
        <v>7.3027000000000004E-7</v>
      </c>
      <c r="G209" s="1">
        <v>7.0849000000000002</v>
      </c>
      <c r="H209" s="1">
        <v>9.1490999999999995E-8</v>
      </c>
      <c r="I209" s="1">
        <f t="shared" si="27"/>
        <v>9.1490999999999995E-8</v>
      </c>
      <c r="J209" s="4">
        <f t="shared" si="28"/>
        <v>-2.551827327194711E-9</v>
      </c>
      <c r="K209" s="4">
        <f t="shared" si="29"/>
        <v>-1.1699822232380564E-8</v>
      </c>
      <c r="L209" s="4">
        <f t="shared" si="30"/>
        <v>-9.3335017161766842E-9</v>
      </c>
      <c r="M209" s="4">
        <f t="shared" si="32"/>
        <v>-1.1043885835725409E-8</v>
      </c>
      <c r="N209" s="5">
        <f t="shared" si="33"/>
        <v>4.829069251783383E-8</v>
      </c>
      <c r="O209" s="5">
        <f t="shared" si="34"/>
        <v>6.0188677464237612E-7</v>
      </c>
      <c r="P209" s="5">
        <f t="shared" si="35"/>
        <v>1.1498225328397897E-6</v>
      </c>
      <c r="Q209" s="1">
        <f t="shared" si="31"/>
        <v>1.7999999999999997E-6</v>
      </c>
    </row>
    <row r="210" spans="1:17" x14ac:dyDescent="0.25">
      <c r="A210" s="1">
        <v>10.4</v>
      </c>
      <c r="B210" s="1">
        <v>5.6612000000000003E-2</v>
      </c>
      <c r="C210" s="1">
        <v>2.9137E-3</v>
      </c>
      <c r="D210" s="1">
        <v>5.2405000000000004E-3</v>
      </c>
      <c r="E210" s="1">
        <v>6.3768000000000005E-2</v>
      </c>
      <c r="F210" s="1">
        <v>7.3499999999999995E-7</v>
      </c>
      <c r="G210" s="1">
        <v>7.0841000000000003</v>
      </c>
      <c r="H210" s="1">
        <v>9.1642999999999995E-8</v>
      </c>
      <c r="I210" s="1">
        <f t="shared" si="27"/>
        <v>9.1642999999999995E-8</v>
      </c>
      <c r="J210" s="4">
        <f t="shared" si="28"/>
        <v>-2.5753149754136033E-9</v>
      </c>
      <c r="K210" s="4">
        <f t="shared" si="29"/>
        <v>-1.1736792105526502E-8</v>
      </c>
      <c r="L210" s="4">
        <f t="shared" si="30"/>
        <v>-9.3453743032103976E-9</v>
      </c>
      <c r="M210" s="4">
        <f t="shared" si="32"/>
        <v>-1.1045833401964903E-8</v>
      </c>
      <c r="N210" s="5">
        <f t="shared" si="33"/>
        <v>4.8106795344736328E-8</v>
      </c>
      <c r="O210" s="5">
        <f t="shared" si="34"/>
        <v>6.0377113091422811E-7</v>
      </c>
      <c r="P210" s="5">
        <f t="shared" si="35"/>
        <v>1.1481220737410352E-6</v>
      </c>
      <c r="Q210" s="1">
        <f t="shared" si="31"/>
        <v>1.7999999999999997E-6</v>
      </c>
    </row>
    <row r="211" spans="1:17" x14ac:dyDescent="0.25">
      <c r="A211" s="1">
        <v>10.45</v>
      </c>
      <c r="B211" s="1">
        <v>5.6526E-2</v>
      </c>
      <c r="C211" s="1">
        <v>2.9267999999999998E-3</v>
      </c>
      <c r="D211" s="1">
        <v>5.2769000000000002E-3</v>
      </c>
      <c r="E211" s="1">
        <v>6.3678999999999999E-2</v>
      </c>
      <c r="F211" s="1">
        <v>7.3972999999999997E-7</v>
      </c>
      <c r="G211" s="1">
        <v>7.0831999999999997</v>
      </c>
      <c r="H211" s="1">
        <v>9.1794999999999996E-8</v>
      </c>
      <c r="I211" s="1">
        <f t="shared" si="27"/>
        <v>9.1794999999999996E-8</v>
      </c>
      <c r="J211" s="4">
        <f t="shared" si="28"/>
        <v>-2.5988493515109626E-9</v>
      </c>
      <c r="K211" s="4">
        <f t="shared" si="29"/>
        <v>-1.1773537052827198E-8</v>
      </c>
      <c r="L211" s="4">
        <f t="shared" si="30"/>
        <v>-9.3571730014377834E-9</v>
      </c>
      <c r="M211" s="4">
        <f t="shared" si="32"/>
        <v>-1.1047821876403982E-8</v>
      </c>
      <c r="N211" s="5">
        <f t="shared" si="33"/>
        <v>4.7924310044614786E-8</v>
      </c>
      <c r="O211" s="5">
        <f t="shared" si="34"/>
        <v>6.0564426508931584E-7</v>
      </c>
      <c r="P211" s="5">
        <f t="shared" si="35"/>
        <v>1.1464314248660692E-6</v>
      </c>
      <c r="Q211" s="1">
        <f t="shared" si="31"/>
        <v>1.7999999999999997E-6</v>
      </c>
    </row>
    <row r="212" spans="1:17" x14ac:dyDescent="0.25">
      <c r="A212" s="1">
        <v>10.5</v>
      </c>
      <c r="B212" s="1">
        <v>5.6439999999999997E-2</v>
      </c>
      <c r="C212" s="1">
        <v>2.9397999999999998E-3</v>
      </c>
      <c r="D212" s="1">
        <v>5.3133E-3</v>
      </c>
      <c r="E212" s="1">
        <v>6.3589999999999994E-2</v>
      </c>
      <c r="F212" s="1">
        <v>7.4445999999999998E-7</v>
      </c>
      <c r="G212" s="1">
        <v>7.0823999999999998</v>
      </c>
      <c r="H212" s="1">
        <v>9.1946999999999996E-8</v>
      </c>
      <c r="I212" s="1">
        <f t="shared" si="27"/>
        <v>9.1946999999999996E-8</v>
      </c>
      <c r="J212" s="4">
        <f t="shared" si="28"/>
        <v>-2.6224205119819799E-9</v>
      </c>
      <c r="K212" s="4">
        <f t="shared" si="29"/>
        <v>-1.1810063169241826E-8</v>
      </c>
      <c r="L212" s="4">
        <f t="shared" si="30"/>
        <v>-9.3685727292035889E-9</v>
      </c>
      <c r="M212" s="4">
        <f t="shared" si="32"/>
        <v>-1.1049850627786143E-8</v>
      </c>
      <c r="N212" s="5">
        <f t="shared" si="33"/>
        <v>4.7743379972671046E-8</v>
      </c>
      <c r="O212" s="5">
        <f t="shared" si="34"/>
        <v>6.0750647305984212E-7</v>
      </c>
      <c r="P212" s="5">
        <f t="shared" si="35"/>
        <v>1.1447501469674868E-6</v>
      </c>
      <c r="Q212" s="1">
        <f t="shared" si="31"/>
        <v>1.7999999999999999E-6</v>
      </c>
    </row>
    <row r="213" spans="1:17" x14ac:dyDescent="0.25">
      <c r="A213" s="1">
        <v>10.55</v>
      </c>
      <c r="B213" s="1">
        <v>5.6355000000000002E-2</v>
      </c>
      <c r="C213" s="1">
        <v>2.9528000000000002E-3</v>
      </c>
      <c r="D213" s="1">
        <v>5.3496999999999998E-3</v>
      </c>
      <c r="E213" s="1">
        <v>6.3502000000000003E-2</v>
      </c>
      <c r="F213" s="1">
        <v>7.4918000000000004E-7</v>
      </c>
      <c r="G213" s="1">
        <v>7.0815999999999999</v>
      </c>
      <c r="H213" s="1">
        <v>9.2098999999999996E-8</v>
      </c>
      <c r="I213" s="1">
        <f t="shared" si="27"/>
        <v>9.2098999999999996E-8</v>
      </c>
      <c r="J213" s="4">
        <f t="shared" si="28"/>
        <v>-2.6460369067775713E-9</v>
      </c>
      <c r="K213" s="4">
        <f t="shared" si="29"/>
        <v>-1.184637622466709E-8</v>
      </c>
      <c r="L213" s="4">
        <f t="shared" si="30"/>
        <v>-9.379754058555743E-9</v>
      </c>
      <c r="M213" s="4">
        <f t="shared" si="32"/>
        <v>-1.1051915885138205E-8</v>
      </c>
      <c r="N213" s="5">
        <f t="shared" si="33"/>
        <v>4.7563965232004826E-8</v>
      </c>
      <c r="O213" s="5">
        <f t="shared" si="34"/>
        <v>6.093580496270909E-7</v>
      </c>
      <c r="P213" s="5">
        <f t="shared" si="35"/>
        <v>1.1430779851409043E-6</v>
      </c>
      <c r="Q213" s="1">
        <f t="shared" si="31"/>
        <v>1.8000000000000001E-6</v>
      </c>
    </row>
    <row r="214" spans="1:17" x14ac:dyDescent="0.25">
      <c r="A214" s="1">
        <v>10.6</v>
      </c>
      <c r="B214" s="1">
        <v>5.6269E-2</v>
      </c>
      <c r="C214" s="1">
        <v>2.9656999999999999E-3</v>
      </c>
      <c r="D214" s="1">
        <v>5.3860999999999996E-3</v>
      </c>
      <c r="E214" s="1">
        <v>6.3412999999999997E-2</v>
      </c>
      <c r="F214" s="1">
        <v>7.5389999999999999E-7</v>
      </c>
      <c r="G214" s="1">
        <v>7.0807000000000002</v>
      </c>
      <c r="H214" s="1">
        <v>9.2250999999999997E-8</v>
      </c>
      <c r="I214" s="1">
        <f t="shared" si="27"/>
        <v>9.2250999999999997E-8</v>
      </c>
      <c r="J214" s="4">
        <f t="shared" si="28"/>
        <v>-2.6696258747777005E-9</v>
      </c>
      <c r="K214" s="4">
        <f t="shared" si="29"/>
        <v>-1.188248196772802E-8</v>
      </c>
      <c r="L214" s="4">
        <f t="shared" si="30"/>
        <v>-9.3907380942571104E-9</v>
      </c>
      <c r="M214" s="4">
        <f t="shared" si="32"/>
        <v>-1.105401563211644E-8</v>
      </c>
      <c r="N214" s="5">
        <f t="shared" si="33"/>
        <v>4.7386083230698034E-8</v>
      </c>
      <c r="O214" s="5">
        <f t="shared" si="34"/>
        <v>6.1119920916625707E-7</v>
      </c>
      <c r="P214" s="5">
        <f t="shared" si="35"/>
        <v>1.141414707603045E-6</v>
      </c>
      <c r="Q214" s="1">
        <f t="shared" si="31"/>
        <v>1.8000000000000001E-6</v>
      </c>
    </row>
    <row r="215" spans="1:17" x14ac:dyDescent="0.25">
      <c r="A215" s="1">
        <v>10.65</v>
      </c>
      <c r="B215" s="1">
        <v>5.6183999999999998E-2</v>
      </c>
      <c r="C215" s="1">
        <v>2.9786000000000001E-3</v>
      </c>
      <c r="D215" s="1">
        <v>5.4225000000000002E-3</v>
      </c>
      <c r="E215" s="1">
        <v>6.3325000000000006E-2</v>
      </c>
      <c r="F215" s="1">
        <v>7.5862000000000005E-7</v>
      </c>
      <c r="G215" s="1">
        <v>7.0799000000000003</v>
      </c>
      <c r="H215" s="1">
        <v>9.2402999999999997E-8</v>
      </c>
      <c r="I215" s="1">
        <f t="shared" si="27"/>
        <v>9.2402999999999997E-8</v>
      </c>
      <c r="J215" s="4">
        <f t="shared" si="28"/>
        <v>-2.6932601146493549E-9</v>
      </c>
      <c r="K215" s="4">
        <f t="shared" si="29"/>
        <v>-1.1918384578742183E-8</v>
      </c>
      <c r="L215" s="4">
        <f t="shared" si="30"/>
        <v>-9.4013658329828509E-9</v>
      </c>
      <c r="M215" s="4">
        <f t="shared" si="32"/>
        <v>-1.1056148060064449E-8</v>
      </c>
      <c r="N215" s="5">
        <f t="shared" si="33"/>
        <v>4.720984186180801E-8</v>
      </c>
      <c r="O215" s="5">
        <f t="shared" si="34"/>
        <v>6.1303023276222872E-7</v>
      </c>
      <c r="P215" s="5">
        <f t="shared" si="35"/>
        <v>1.1397599253759633E-6</v>
      </c>
      <c r="Q215" s="1">
        <f t="shared" si="31"/>
        <v>1.8000000000000001E-6</v>
      </c>
    </row>
    <row r="216" spans="1:17" x14ac:dyDescent="0.25">
      <c r="A216" s="1">
        <v>10.7</v>
      </c>
      <c r="B216" s="1">
        <v>5.6098000000000002E-2</v>
      </c>
      <c r="C216" s="1">
        <v>2.9914E-3</v>
      </c>
      <c r="D216" s="1">
        <v>5.4587999999999998E-3</v>
      </c>
      <c r="E216" s="1">
        <v>6.3236000000000001E-2</v>
      </c>
      <c r="F216" s="1">
        <v>7.6334E-7</v>
      </c>
      <c r="G216" s="1">
        <v>7.0791000000000004</v>
      </c>
      <c r="H216" s="1">
        <v>9.2554999999999997E-8</v>
      </c>
      <c r="I216" s="1">
        <f t="shared" si="27"/>
        <v>9.2554999999999997E-8</v>
      </c>
      <c r="J216" s="4">
        <f t="shared" si="28"/>
        <v>-2.7169467201513241E-9</v>
      </c>
      <c r="K216" s="4">
        <f t="shared" si="29"/>
        <v>-1.1954089538863206E-8</v>
      </c>
      <c r="L216" s="4">
        <f t="shared" si="30"/>
        <v>-9.4119612173732291E-9</v>
      </c>
      <c r="M216" s="4">
        <f t="shared" si="32"/>
        <v>-1.1058309820373854E-8</v>
      </c>
      <c r="N216" s="5">
        <f t="shared" si="33"/>
        <v>4.7035023463146665E-8</v>
      </c>
      <c r="O216" s="5">
        <f t="shared" si="34"/>
        <v>6.1485139976389054E-7</v>
      </c>
      <c r="P216" s="5">
        <f t="shared" si="35"/>
        <v>1.1381135767729625E-6</v>
      </c>
      <c r="Q216" s="1">
        <f t="shared" si="31"/>
        <v>1.7999999999999997E-6</v>
      </c>
    </row>
    <row r="217" spans="1:17" x14ac:dyDescent="0.25">
      <c r="A217" s="1">
        <v>10.75</v>
      </c>
      <c r="B217" s="1">
        <v>5.6013E-2</v>
      </c>
      <c r="C217" s="1">
        <v>3.0041E-3</v>
      </c>
      <c r="D217" s="1">
        <v>5.4952000000000004E-3</v>
      </c>
      <c r="E217" s="1">
        <v>6.3147999999999996E-2</v>
      </c>
      <c r="F217" s="1">
        <v>7.6805999999999996E-7</v>
      </c>
      <c r="G217" s="1">
        <v>7.0781999999999998</v>
      </c>
      <c r="H217" s="1">
        <v>9.2706999999999998E-8</v>
      </c>
      <c r="I217" s="1">
        <f t="shared" si="27"/>
        <v>9.2706999999999998E-8</v>
      </c>
      <c r="J217" s="4">
        <f t="shared" si="28"/>
        <v>-2.7406741663339351E-9</v>
      </c>
      <c r="K217" s="4">
        <f t="shared" si="29"/>
        <v>-1.1989602295396036E-8</v>
      </c>
      <c r="L217" s="4">
        <f t="shared" si="30"/>
        <v>-9.4221903354535941E-9</v>
      </c>
      <c r="M217" s="4">
        <f t="shared" si="32"/>
        <v>-1.1060500720313419E-8</v>
      </c>
      <c r="N217" s="5">
        <f t="shared" si="33"/>
        <v>4.6861761256755168E-8</v>
      </c>
      <c r="O217" s="5">
        <f t="shared" si="34"/>
        <v>6.1666297235514186E-7</v>
      </c>
      <c r="P217" s="5">
        <f t="shared" si="35"/>
        <v>1.1364752663881026E-6</v>
      </c>
      <c r="Q217" s="1">
        <f t="shared" si="31"/>
        <v>1.7999999999999997E-6</v>
      </c>
    </row>
    <row r="218" spans="1:17" x14ac:dyDescent="0.25">
      <c r="A218" s="1">
        <v>10.8</v>
      </c>
      <c r="B218" s="1">
        <v>5.5926999999999998E-2</v>
      </c>
      <c r="C218" s="1">
        <v>3.0168E-3</v>
      </c>
      <c r="D218" s="1">
        <v>5.5315E-3</v>
      </c>
      <c r="E218" s="1">
        <v>6.3059000000000004E-2</v>
      </c>
      <c r="F218" s="1">
        <v>7.7276999999999995E-7</v>
      </c>
      <c r="G218" s="1">
        <v>7.0773999999999999</v>
      </c>
      <c r="H218" s="1">
        <v>9.2857999999999997E-8</v>
      </c>
      <c r="I218" s="1">
        <f t="shared" si="27"/>
        <v>9.2857999999999997E-8</v>
      </c>
      <c r="J218" s="4">
        <f t="shared" si="28"/>
        <v>-2.7644510420124514E-9</v>
      </c>
      <c r="K218" s="4">
        <f t="shared" si="29"/>
        <v>-1.2024927960925436E-8</v>
      </c>
      <c r="L218" s="4">
        <f t="shared" si="30"/>
        <v>-9.4323835476936636E-9</v>
      </c>
      <c r="M218" s="4">
        <f t="shared" si="32"/>
        <v>-1.1062717314709548E-8</v>
      </c>
      <c r="N218" s="5">
        <f t="shared" si="33"/>
        <v>4.6689854627974494E-8</v>
      </c>
      <c r="O218" s="5">
        <f t="shared" si="34"/>
        <v>6.1846521275093833E-7</v>
      </c>
      <c r="P218" s="5">
        <f t="shared" si="35"/>
        <v>1.1348449326210868E-6</v>
      </c>
      <c r="Q218" s="1">
        <f t="shared" si="31"/>
        <v>1.7999999999999997E-6</v>
      </c>
    </row>
    <row r="219" spans="1:17" x14ac:dyDescent="0.25">
      <c r="A219" s="1">
        <v>10.85</v>
      </c>
      <c r="B219" s="1">
        <v>5.5842000000000003E-2</v>
      </c>
      <c r="C219" s="1">
        <v>3.0293999999999998E-3</v>
      </c>
      <c r="D219" s="1">
        <v>5.5678999999999998E-3</v>
      </c>
      <c r="E219" s="1">
        <v>6.2970999999999999E-2</v>
      </c>
      <c r="F219" s="1">
        <v>7.7748000000000005E-7</v>
      </c>
      <c r="G219" s="1">
        <v>7.0766</v>
      </c>
      <c r="H219" s="1">
        <v>9.3009999999999997E-8</v>
      </c>
      <c r="I219" s="1">
        <f t="shared" si="27"/>
        <v>9.3009999999999997E-8</v>
      </c>
      <c r="J219" s="4">
        <f t="shared" si="28"/>
        <v>-2.7881942637383063E-9</v>
      </c>
      <c r="K219" s="4">
        <f t="shared" si="29"/>
        <v>-1.2060071648643041E-8</v>
      </c>
      <c r="L219" s="4">
        <f t="shared" si="30"/>
        <v>-9.4420859973841741E-9</v>
      </c>
      <c r="M219" s="4">
        <f t="shared" si="32"/>
        <v>-1.1064840229099295E-8</v>
      </c>
      <c r="N219" s="5">
        <f t="shared" si="33"/>
        <v>4.651964601549506E-8</v>
      </c>
      <c r="O219" s="5">
        <f t="shared" si="34"/>
        <v>6.2025817559513278E-7</v>
      </c>
      <c r="P219" s="5">
        <f t="shared" si="35"/>
        <v>1.1332221783893717E-6</v>
      </c>
      <c r="Q219" s="1">
        <f t="shared" si="31"/>
        <v>1.7999999999999997E-6</v>
      </c>
    </row>
    <row r="220" spans="1:17" x14ac:dyDescent="0.25">
      <c r="A220" s="1">
        <v>10.9</v>
      </c>
      <c r="B220" s="1">
        <v>5.5757000000000001E-2</v>
      </c>
      <c r="C220" s="1">
        <v>3.042E-3</v>
      </c>
      <c r="D220" s="1">
        <v>5.6042000000000002E-3</v>
      </c>
      <c r="E220" s="1">
        <v>6.2882999999999994E-2</v>
      </c>
      <c r="F220" s="1">
        <v>7.8219000000000004E-7</v>
      </c>
      <c r="G220" s="1">
        <v>7.0758000000000001</v>
      </c>
      <c r="H220" s="1">
        <v>9.3161999999999997E-8</v>
      </c>
      <c r="I220" s="1">
        <f t="shared" si="27"/>
        <v>9.3161999999999997E-8</v>
      </c>
      <c r="J220" s="4">
        <f t="shared" si="28"/>
        <v>-2.8119970021771543E-9</v>
      </c>
      <c r="K220" s="4">
        <f t="shared" si="29"/>
        <v>-1.2095034424105262E-8</v>
      </c>
      <c r="L220" s="4">
        <f t="shared" si="30"/>
        <v>-9.451795446571033E-9</v>
      </c>
      <c r="M220" s="4">
        <f t="shared" si="32"/>
        <v>-1.1067104455259679E-8</v>
      </c>
      <c r="N220" s="5">
        <f t="shared" si="33"/>
        <v>4.6350887990852137E-8</v>
      </c>
      <c r="O220" s="5">
        <f t="shared" si="34"/>
        <v>6.2204224262846431E-7</v>
      </c>
      <c r="P220" s="5">
        <f t="shared" si="35"/>
        <v>1.131606869380683E-6</v>
      </c>
      <c r="Q220" s="1">
        <f t="shared" si="31"/>
        <v>1.7999999999999995E-6</v>
      </c>
    </row>
    <row r="221" spans="1:17" x14ac:dyDescent="0.25">
      <c r="A221" s="1">
        <v>10.95</v>
      </c>
      <c r="B221" s="1">
        <v>5.5671999999999999E-2</v>
      </c>
      <c r="C221" s="1">
        <v>3.0544999999999999E-3</v>
      </c>
      <c r="D221" s="1">
        <v>5.6404999999999997E-3</v>
      </c>
      <c r="E221" s="1">
        <v>6.2795000000000004E-2</v>
      </c>
      <c r="F221" s="1">
        <v>7.8690000000000004E-7</v>
      </c>
      <c r="G221" s="1">
        <v>7.0749000000000004</v>
      </c>
      <c r="H221" s="1">
        <v>9.3312999999999997E-8</v>
      </c>
      <c r="I221" s="1">
        <f t="shared" si="27"/>
        <v>9.3312999999999997E-8</v>
      </c>
      <c r="J221" s="4">
        <f t="shared" si="28"/>
        <v>-2.8358455730859679E-9</v>
      </c>
      <c r="K221" s="4">
        <f t="shared" si="29"/>
        <v>-1.2129823731254796E-8</v>
      </c>
      <c r="L221" s="4">
        <f t="shared" si="30"/>
        <v>-9.4613186088458613E-9</v>
      </c>
      <c r="M221" s="4">
        <f t="shared" si="32"/>
        <v>-1.1069389712350298E-8</v>
      </c>
      <c r="N221" s="5">
        <f t="shared" si="33"/>
        <v>4.6183547540175102E-8</v>
      </c>
      <c r="O221" s="5">
        <f t="shared" si="34"/>
        <v>6.2381765418264576E-7</v>
      </c>
      <c r="P221" s="5">
        <f t="shared" si="35"/>
        <v>1.1299987982771787E-6</v>
      </c>
      <c r="Q221" s="1">
        <f t="shared" si="31"/>
        <v>1.7999999999999995E-6</v>
      </c>
    </row>
    <row r="222" spans="1:17" x14ac:dyDescent="0.25">
      <c r="A222" s="1">
        <v>11</v>
      </c>
      <c r="B222" s="1">
        <v>5.5586999999999998E-2</v>
      </c>
      <c r="C222" s="1">
        <v>3.0669999999999998E-3</v>
      </c>
      <c r="D222" s="1">
        <v>5.6768000000000001E-3</v>
      </c>
      <c r="E222" s="1">
        <v>6.2705999999999998E-2</v>
      </c>
      <c r="F222" s="1">
        <v>7.9159999999999997E-7</v>
      </c>
      <c r="G222" s="1">
        <v>7.0740999999999996</v>
      </c>
      <c r="H222" s="1">
        <v>9.3463999999999996E-8</v>
      </c>
      <c r="I222" s="1">
        <f t="shared" si="27"/>
        <v>9.3463999999999996E-8</v>
      </c>
      <c r="J222" s="4">
        <f t="shared" si="28"/>
        <v>-2.8597388827863772E-9</v>
      </c>
      <c r="K222" s="4">
        <f t="shared" si="29"/>
        <v>-1.2164444256561765E-8</v>
      </c>
      <c r="L222" s="4">
        <f t="shared" si="30"/>
        <v>-9.4706545691951686E-9</v>
      </c>
      <c r="M222" s="4">
        <f t="shared" si="32"/>
        <v>-1.1071575675682187E-8</v>
      </c>
      <c r="N222" s="5">
        <f t="shared" si="33"/>
        <v>4.601759834475532E-8</v>
      </c>
      <c r="O222" s="5">
        <f t="shared" si="34"/>
        <v>6.2558452448455258E-7</v>
      </c>
      <c r="P222" s="5">
        <f t="shared" si="35"/>
        <v>1.1283978771706919E-6</v>
      </c>
      <c r="Q222" s="1">
        <f t="shared" si="31"/>
        <v>1.7999999999999997E-6</v>
      </c>
    </row>
    <row r="223" spans="1:17" x14ac:dyDescent="0.25">
      <c r="A223" s="1">
        <v>11.05</v>
      </c>
      <c r="B223" s="1">
        <v>5.5502000000000003E-2</v>
      </c>
      <c r="C223" s="1">
        <v>3.0793999999999999E-3</v>
      </c>
      <c r="D223" s="1">
        <v>5.7130999999999996E-3</v>
      </c>
      <c r="E223" s="1">
        <v>6.2617999999999993E-2</v>
      </c>
      <c r="F223" s="1">
        <v>7.963E-7</v>
      </c>
      <c r="G223" s="1">
        <v>7.0732999999999997</v>
      </c>
      <c r="H223" s="1">
        <v>9.3615999999999996E-8</v>
      </c>
      <c r="I223" s="1">
        <f t="shared" si="27"/>
        <v>9.3615999999999996E-8</v>
      </c>
      <c r="J223" s="4">
        <f t="shared" si="28"/>
        <v>-2.8836033420629506E-9</v>
      </c>
      <c r="K223" s="4">
        <f t="shared" si="29"/>
        <v>-1.2198898227448949E-8</v>
      </c>
      <c r="L223" s="4">
        <f t="shared" si="30"/>
        <v>-9.4795327102666426E-9</v>
      </c>
      <c r="M223" s="4">
        <f t="shared" si="32"/>
        <v>-1.1073780815147719E-8</v>
      </c>
      <c r="N223" s="5">
        <f t="shared" si="33"/>
        <v>4.585336051987468E-8</v>
      </c>
      <c r="O223" s="5">
        <f t="shared" si="34"/>
        <v>6.2734301041431427E-7</v>
      </c>
      <c r="P223" s="5">
        <f t="shared" si="35"/>
        <v>1.126803629065811E-6</v>
      </c>
      <c r="Q223" s="1">
        <f t="shared" si="31"/>
        <v>1.7999999999999999E-6</v>
      </c>
    </row>
    <row r="224" spans="1:17" x14ac:dyDescent="0.25">
      <c r="A224" s="1">
        <v>11.1</v>
      </c>
      <c r="B224" s="1">
        <v>5.5417000000000001E-2</v>
      </c>
      <c r="C224" s="1">
        <v>3.0918E-3</v>
      </c>
      <c r="D224" s="1">
        <v>5.7494E-3</v>
      </c>
      <c r="E224" s="1">
        <v>6.2530000000000002E-2</v>
      </c>
      <c r="F224" s="1">
        <v>8.0100000000000004E-7</v>
      </c>
      <c r="G224" s="1">
        <v>7.0724999999999998</v>
      </c>
      <c r="H224" s="1">
        <v>9.3766999999999995E-8</v>
      </c>
      <c r="I224" s="1">
        <f t="shared" si="27"/>
        <v>9.3766999999999995E-8</v>
      </c>
      <c r="J224" s="4">
        <f t="shared" si="28"/>
        <v>-2.9075326570947035E-9</v>
      </c>
      <c r="K224" s="4">
        <f t="shared" si="29"/>
        <v>-1.2233188703078869E-8</v>
      </c>
      <c r="L224" s="4">
        <f t="shared" si="30"/>
        <v>-9.4884478422217494E-9</v>
      </c>
      <c r="M224" s="4">
        <f t="shared" si="32"/>
        <v>-1.1076119096555384E-8</v>
      </c>
      <c r="N224" s="5">
        <f t="shared" si="33"/>
        <v>4.5690568723637098E-8</v>
      </c>
      <c r="O224" s="5">
        <f t="shared" si="34"/>
        <v>6.2909347346488554E-7</v>
      </c>
      <c r="P224" s="5">
        <f t="shared" si="35"/>
        <v>1.1252159578114773E-6</v>
      </c>
      <c r="Q224" s="1">
        <f t="shared" si="31"/>
        <v>1.7999999999999999E-6</v>
      </c>
    </row>
    <row r="225" spans="1:17" x14ac:dyDescent="0.25">
      <c r="A225" s="1">
        <v>11.15</v>
      </c>
      <c r="B225" s="1">
        <v>5.5331999999999999E-2</v>
      </c>
      <c r="C225" s="1">
        <v>3.1040999999999998E-3</v>
      </c>
      <c r="D225" s="1">
        <v>5.7857000000000004E-3</v>
      </c>
      <c r="E225" s="1">
        <v>6.2441999999999998E-2</v>
      </c>
      <c r="F225" s="1">
        <v>8.0569000000000001E-7</v>
      </c>
      <c r="G225" s="1">
        <v>7.0716999999999999</v>
      </c>
      <c r="H225" s="1">
        <v>9.3917999999999994E-8</v>
      </c>
      <c r="I225" s="1">
        <f t="shared" si="27"/>
        <v>9.3917999999999994E-8</v>
      </c>
      <c r="J225" s="4">
        <f t="shared" si="28"/>
        <v>-2.9315114583654707E-9</v>
      </c>
      <c r="K225" s="4">
        <f t="shared" si="29"/>
        <v>-1.2267322732565443E-8</v>
      </c>
      <c r="L225" s="4">
        <f t="shared" si="30"/>
        <v>-9.4972004705382072E-9</v>
      </c>
      <c r="M225" s="4">
        <f t="shared" si="32"/>
        <v>-1.1078353095191579E-8</v>
      </c>
      <c r="N225" s="5">
        <f t="shared" si="33"/>
        <v>4.5529179527298866E-8</v>
      </c>
      <c r="O225" s="5">
        <f t="shared" si="34"/>
        <v>6.3083601528587717E-7</v>
      </c>
      <c r="P225" s="5">
        <f t="shared" si="35"/>
        <v>1.1236348051868238E-6</v>
      </c>
      <c r="Q225" s="1">
        <f t="shared" si="31"/>
        <v>1.7999999999999997E-6</v>
      </c>
    </row>
    <row r="226" spans="1:17" x14ac:dyDescent="0.25">
      <c r="A226" s="1">
        <v>11.2</v>
      </c>
      <c r="B226" s="1">
        <v>5.5246999999999997E-2</v>
      </c>
      <c r="C226" s="1">
        <v>3.1162999999999998E-3</v>
      </c>
      <c r="D226" s="1">
        <v>5.8218999999999996E-3</v>
      </c>
      <c r="E226" s="1">
        <v>6.2354E-2</v>
      </c>
      <c r="F226" s="1">
        <v>8.1037999999999998E-7</v>
      </c>
      <c r="G226" s="1">
        <v>7.0709</v>
      </c>
      <c r="H226" s="1">
        <v>9.4068999999999994E-8</v>
      </c>
      <c r="I226" s="1">
        <f t="shared" si="27"/>
        <v>9.4068999999999994E-8</v>
      </c>
      <c r="J226" s="4">
        <f t="shared" si="28"/>
        <v>-2.9554646605156467E-9</v>
      </c>
      <c r="K226" s="4">
        <f t="shared" si="29"/>
        <v>-1.2301302298074344E-8</v>
      </c>
      <c r="L226" s="4">
        <f t="shared" si="30"/>
        <v>-9.5056692521622423E-9</v>
      </c>
      <c r="M226" s="4">
        <f t="shared" si="32"/>
        <v>-1.1080601031521054E-8</v>
      </c>
      <c r="N226" s="5">
        <f t="shared" si="33"/>
        <v>4.5369347912695321E-8</v>
      </c>
      <c r="O226" s="5">
        <f t="shared" si="34"/>
        <v>6.3257077867983962E-7</v>
      </c>
      <c r="P226" s="5">
        <f t="shared" si="35"/>
        <v>1.122059873407465E-6</v>
      </c>
      <c r="Q226" s="1">
        <f t="shared" si="31"/>
        <v>1.8000000000000001E-6</v>
      </c>
    </row>
    <row r="227" spans="1:17" x14ac:dyDescent="0.25">
      <c r="A227" s="1">
        <v>11.25</v>
      </c>
      <c r="B227" s="1">
        <v>5.5162999999999997E-2</v>
      </c>
      <c r="C227" s="1">
        <v>3.1285000000000002E-3</v>
      </c>
      <c r="D227" s="1">
        <v>5.8582E-3</v>
      </c>
      <c r="E227" s="1">
        <v>6.2266000000000002E-2</v>
      </c>
      <c r="F227" s="1">
        <v>8.1506999999999995E-7</v>
      </c>
      <c r="G227" s="1">
        <v>7.0701000000000001</v>
      </c>
      <c r="H227" s="1">
        <v>9.4220000000000006E-8</v>
      </c>
      <c r="I227" s="1">
        <f t="shared" si="27"/>
        <v>9.4220000000000006E-8</v>
      </c>
      <c r="J227" s="4">
        <f t="shared" si="28"/>
        <v>-2.9794765087428717E-9</v>
      </c>
      <c r="K227" s="4">
        <f t="shared" si="29"/>
        <v>-1.2335130184257048E-8</v>
      </c>
      <c r="L227" s="4">
        <f t="shared" si="30"/>
        <v>-9.514011385257966E-9</v>
      </c>
      <c r="M227" s="4">
        <f t="shared" si="32"/>
        <v>-1.1082860274314675E-8</v>
      </c>
      <c r="N227" s="5">
        <f t="shared" si="33"/>
        <v>4.5210990202951527E-8</v>
      </c>
      <c r="O227" s="5">
        <f t="shared" si="34"/>
        <v>6.3429798527864018E-7</v>
      </c>
      <c r="P227" s="5">
        <f t="shared" si="35"/>
        <v>1.1204910245184083E-6</v>
      </c>
      <c r="Q227" s="1">
        <f t="shared" si="31"/>
        <v>1.7999999999999999E-6</v>
      </c>
    </row>
    <row r="228" spans="1:17" x14ac:dyDescent="0.25">
      <c r="A228" s="1">
        <v>11.3</v>
      </c>
      <c r="B228" s="1">
        <v>5.5078000000000002E-2</v>
      </c>
      <c r="C228" s="1">
        <v>3.1405999999999999E-3</v>
      </c>
      <c r="D228" s="1">
        <v>5.8945000000000004E-3</v>
      </c>
      <c r="E228" s="1">
        <v>6.2177999999999997E-2</v>
      </c>
      <c r="F228" s="1">
        <v>8.1976000000000003E-7</v>
      </c>
      <c r="G228" s="1">
        <v>7.0692000000000004</v>
      </c>
      <c r="H228" s="1">
        <v>9.4371000000000005E-8</v>
      </c>
      <c r="I228" s="1">
        <f t="shared" si="27"/>
        <v>9.4371000000000005E-8</v>
      </c>
      <c r="J228" s="4">
        <f t="shared" si="28"/>
        <v>-3.0035428763071909E-9</v>
      </c>
      <c r="K228" s="4">
        <f t="shared" si="29"/>
        <v>-1.2368810712933659E-8</v>
      </c>
      <c r="L228" s="4">
        <f t="shared" si="30"/>
        <v>-9.5222151846466659E-9</v>
      </c>
      <c r="M228" s="4">
        <f t="shared" si="32"/>
        <v>-1.1085129754663221E-8</v>
      </c>
      <c r="N228" s="5">
        <f t="shared" si="33"/>
        <v>4.5054042854931325E-8</v>
      </c>
      <c r="O228" s="5">
        <f t="shared" si="34"/>
        <v>6.3601784719667689E-7</v>
      </c>
      <c r="P228" s="5">
        <f t="shared" si="35"/>
        <v>1.1189281099483917E-6</v>
      </c>
      <c r="Q228" s="1">
        <f t="shared" si="31"/>
        <v>1.7999999999999999E-6</v>
      </c>
    </row>
    <row r="229" spans="1:17" x14ac:dyDescent="0.25">
      <c r="A229" s="1">
        <v>11.35</v>
      </c>
      <c r="B229" s="1">
        <v>5.4994000000000001E-2</v>
      </c>
      <c r="C229" s="1">
        <v>3.1527E-3</v>
      </c>
      <c r="D229" s="1">
        <v>5.9306999999999997E-3</v>
      </c>
      <c r="E229" s="1">
        <v>6.2089999999999999E-2</v>
      </c>
      <c r="F229" s="1">
        <v>8.2444000000000004E-7</v>
      </c>
      <c r="G229" s="1">
        <v>7.0683999999999996</v>
      </c>
      <c r="H229" s="1">
        <v>9.4522000000000004E-8</v>
      </c>
      <c r="I229" s="1">
        <f t="shared" si="27"/>
        <v>9.4522000000000004E-8</v>
      </c>
      <c r="J229" s="4">
        <f t="shared" si="28"/>
        <v>-3.0276607739500349E-9</v>
      </c>
      <c r="K229" s="4">
        <f t="shared" si="29"/>
        <v>-1.2402348020334936E-8</v>
      </c>
      <c r="L229" s="4">
        <f t="shared" si="30"/>
        <v>-9.530272886589499E-9</v>
      </c>
      <c r="M229" s="4">
        <f t="shared" si="32"/>
        <v>-1.108740828971343E-8</v>
      </c>
      <c r="N229" s="5">
        <f t="shared" si="33"/>
        <v>4.4898457214726729E-8</v>
      </c>
      <c r="O229" s="5">
        <f t="shared" si="34"/>
        <v>6.3773056824000549E-7</v>
      </c>
      <c r="P229" s="5">
        <f t="shared" si="35"/>
        <v>1.1173709745452678E-6</v>
      </c>
      <c r="Q229" s="1">
        <f t="shared" si="31"/>
        <v>1.8000000000000001E-6</v>
      </c>
    </row>
    <row r="230" spans="1:17" x14ac:dyDescent="0.25">
      <c r="A230" s="1">
        <v>11.4</v>
      </c>
      <c r="B230" s="1">
        <v>5.4908999999999999E-2</v>
      </c>
      <c r="C230" s="1">
        <v>3.1646999999999999E-3</v>
      </c>
      <c r="D230" s="1">
        <v>5.9668999999999998E-3</v>
      </c>
      <c r="E230" s="1">
        <v>6.2003000000000003E-2</v>
      </c>
      <c r="F230" s="1">
        <v>8.2911999999999995E-7</v>
      </c>
      <c r="G230" s="1">
        <v>7.0675999999999997</v>
      </c>
      <c r="H230" s="1">
        <v>9.4673000000000003E-8</v>
      </c>
      <c r="I230" s="1">
        <f t="shared" si="27"/>
        <v>9.4673000000000003E-8</v>
      </c>
      <c r="J230" s="4">
        <f t="shared" si="28"/>
        <v>-3.0517540347463594E-9</v>
      </c>
      <c r="K230" s="4">
        <f t="shared" si="29"/>
        <v>-1.2435746080680285E-8</v>
      </c>
      <c r="L230" s="4">
        <f t="shared" si="30"/>
        <v>-9.5380639376087538E-9</v>
      </c>
      <c r="M230" s="4">
        <f t="shared" si="32"/>
        <v>-1.1089694621876777E-8</v>
      </c>
      <c r="N230" s="5">
        <f t="shared" si="33"/>
        <v>4.4744385323051901E-8</v>
      </c>
      <c r="O230" s="5">
        <f t="shared" si="34"/>
        <v>6.3943627081594836E-7</v>
      </c>
      <c r="P230" s="5">
        <f t="shared" si="35"/>
        <v>1.1158193438609996E-6</v>
      </c>
      <c r="Q230" s="1">
        <f t="shared" si="31"/>
        <v>1.7999999999999999E-6</v>
      </c>
    </row>
    <row r="231" spans="1:17" x14ac:dyDescent="0.25">
      <c r="A231" s="1">
        <v>11.45</v>
      </c>
      <c r="B231" s="1">
        <v>5.4824999999999999E-2</v>
      </c>
      <c r="C231" s="1">
        <v>3.1767000000000002E-3</v>
      </c>
      <c r="D231" s="1">
        <v>6.0030999999999999E-3</v>
      </c>
      <c r="E231" s="1">
        <v>6.1914999999999998E-2</v>
      </c>
      <c r="F231" s="1">
        <v>8.3379E-7</v>
      </c>
      <c r="G231" s="1">
        <v>7.0667999999999997</v>
      </c>
      <c r="H231" s="1">
        <v>9.4823000000000001E-8</v>
      </c>
      <c r="I231" s="1">
        <f t="shared" si="27"/>
        <v>9.4823000000000001E-8</v>
      </c>
      <c r="J231" s="4">
        <f t="shared" si="28"/>
        <v>-3.0759079101021874E-9</v>
      </c>
      <c r="K231" s="4">
        <f t="shared" si="29"/>
        <v>-1.2469007280910729E-8</v>
      </c>
      <c r="L231" s="4">
        <f t="shared" si="30"/>
        <v>-9.5458968583892998E-9</v>
      </c>
      <c r="M231" s="4">
        <f t="shared" si="32"/>
        <v>-1.1091986297841768E-8</v>
      </c>
      <c r="N231" s="5">
        <f t="shared" si="33"/>
        <v>4.4591587835471143E-8</v>
      </c>
      <c r="O231" s="5">
        <f t="shared" si="34"/>
        <v>6.4113515774298156E-7</v>
      </c>
      <c r="P231" s="5">
        <f t="shared" si="35"/>
        <v>1.1142732544215472E-6</v>
      </c>
      <c r="Q231" s="1">
        <f t="shared" si="31"/>
        <v>1.7999999999999997E-6</v>
      </c>
    </row>
    <row r="232" spans="1:17" x14ac:dyDescent="0.25">
      <c r="A232" s="1">
        <v>11.5</v>
      </c>
      <c r="B232" s="1">
        <v>5.4739999999999997E-2</v>
      </c>
      <c r="C232" s="1">
        <v>3.1886000000000002E-3</v>
      </c>
      <c r="D232" s="1">
        <v>6.0394000000000003E-3</v>
      </c>
      <c r="E232" s="1">
        <v>6.1827E-2</v>
      </c>
      <c r="F232" s="1">
        <v>8.3847000000000002E-7</v>
      </c>
      <c r="G232" s="1">
        <v>7.0659999999999998</v>
      </c>
      <c r="H232" s="1">
        <v>9.4974000000000001E-8</v>
      </c>
      <c r="I232" s="1">
        <f t="shared" si="27"/>
        <v>9.4974000000000001E-8</v>
      </c>
      <c r="J232" s="4">
        <f t="shared" si="28"/>
        <v>-3.1000328893591426E-9</v>
      </c>
      <c r="K232" s="4">
        <f t="shared" si="29"/>
        <v>-1.250213557598832E-8</v>
      </c>
      <c r="L232" s="4">
        <f t="shared" si="30"/>
        <v>-9.5533038994277437E-9</v>
      </c>
      <c r="M232" s="4">
        <f t="shared" si="32"/>
        <v>-1.1094166944421665E-8</v>
      </c>
      <c r="N232" s="5">
        <f t="shared" si="33"/>
        <v>4.4440386622672578E-8</v>
      </c>
      <c r="O232" s="5">
        <f t="shared" si="34"/>
        <v>6.4282722200077395E-7</v>
      </c>
      <c r="P232" s="5">
        <f t="shared" si="35"/>
        <v>1.1127323913765532E-6</v>
      </c>
      <c r="Q232" s="1">
        <f t="shared" si="31"/>
        <v>1.7999999999999997E-6</v>
      </c>
    </row>
    <row r="233" spans="1:17" x14ac:dyDescent="0.25">
      <c r="A233" s="1">
        <v>11.55</v>
      </c>
      <c r="B233" s="1">
        <v>5.4656000000000003E-2</v>
      </c>
      <c r="C233" s="1">
        <v>3.2004999999999998E-3</v>
      </c>
      <c r="D233" s="1">
        <v>6.0755000000000002E-3</v>
      </c>
      <c r="E233" s="1">
        <v>6.1740000000000003E-2</v>
      </c>
      <c r="F233" s="1">
        <v>8.4313999999999996E-7</v>
      </c>
      <c r="G233" s="1">
        <v>7.0651999999999999</v>
      </c>
      <c r="H233" s="1">
        <v>9.5125E-8</v>
      </c>
      <c r="I233" s="1">
        <f t="shared" si="27"/>
        <v>9.5125E-8</v>
      </c>
      <c r="J233" s="4">
        <f t="shared" si="28"/>
        <v>-3.1243011261684344E-9</v>
      </c>
      <c r="K233" s="4">
        <f t="shared" si="29"/>
        <v>-1.2535130829015271E-8</v>
      </c>
      <c r="L233" s="4">
        <f t="shared" si="30"/>
        <v>-9.5607426356292492E-9</v>
      </c>
      <c r="M233" s="4">
        <f t="shared" si="32"/>
        <v>-1.1096467844552817E-8</v>
      </c>
      <c r="N233" s="5">
        <f t="shared" si="33"/>
        <v>4.4290473689890167E-8</v>
      </c>
      <c r="O233" s="5">
        <f t="shared" si="34"/>
        <v>6.4451286014247993E-7</v>
      </c>
      <c r="P233" s="5">
        <f t="shared" si="35"/>
        <v>1.1111966661676295E-6</v>
      </c>
      <c r="Q233" s="1">
        <f t="shared" si="31"/>
        <v>1.7999999999999997E-6</v>
      </c>
    </row>
    <row r="234" spans="1:17" x14ac:dyDescent="0.25">
      <c r="A234" s="1">
        <v>11.6</v>
      </c>
      <c r="B234" s="1">
        <v>5.4572000000000002E-2</v>
      </c>
      <c r="C234" s="1">
        <v>3.2123E-3</v>
      </c>
      <c r="D234" s="1">
        <v>6.1117000000000003E-3</v>
      </c>
      <c r="E234" s="1">
        <v>6.1651999999999998E-2</v>
      </c>
      <c r="F234" s="1">
        <v>8.4779999999999996E-7</v>
      </c>
      <c r="G234" s="1">
        <v>7.0644</v>
      </c>
      <c r="H234" s="1">
        <v>9.5274999999999998E-8</v>
      </c>
      <c r="I234" s="1">
        <f t="shared" si="27"/>
        <v>9.5274999999999998E-8</v>
      </c>
      <c r="J234" s="4">
        <f t="shared" si="28"/>
        <v>-3.1485436028749137E-9</v>
      </c>
      <c r="K234" s="4">
        <f t="shared" si="29"/>
        <v>-1.2568000772778092E-8</v>
      </c>
      <c r="L234" s="4">
        <f t="shared" si="30"/>
        <v>-9.5680787351117643E-9</v>
      </c>
      <c r="M234" s="4">
        <f t="shared" si="32"/>
        <v>-1.1098771201265319E-8</v>
      </c>
      <c r="N234" s="5">
        <f t="shared" si="33"/>
        <v>4.4141852124681581E-8</v>
      </c>
      <c r="O234" s="5">
        <f t="shared" si="34"/>
        <v>6.4619217417384201E-7</v>
      </c>
      <c r="P234" s="5">
        <f t="shared" si="35"/>
        <v>1.1096659737014761E-6</v>
      </c>
      <c r="Q234" s="1">
        <f t="shared" si="31"/>
        <v>1.7999999999999997E-6</v>
      </c>
    </row>
    <row r="235" spans="1:17" x14ac:dyDescent="0.25">
      <c r="A235" s="1">
        <v>11.65</v>
      </c>
      <c r="B235" s="1">
        <v>5.4488000000000002E-2</v>
      </c>
      <c r="C235" s="1">
        <v>3.2241000000000001E-3</v>
      </c>
      <c r="D235" s="1">
        <v>6.1479000000000004E-3</v>
      </c>
      <c r="E235" s="1">
        <v>6.1564000000000001E-2</v>
      </c>
      <c r="F235" s="1">
        <v>8.5246000000000005E-7</v>
      </c>
      <c r="G235" s="1">
        <v>7.0636000000000001</v>
      </c>
      <c r="H235" s="1">
        <v>9.5425999999999997E-8</v>
      </c>
      <c r="I235" s="1">
        <f t="shared" si="27"/>
        <v>9.5425999999999997E-8</v>
      </c>
      <c r="J235" s="4">
        <f t="shared" si="28"/>
        <v>-3.1727611279700863E-9</v>
      </c>
      <c r="K235" s="4">
        <f t="shared" si="29"/>
        <v>-1.2600747396390098E-8</v>
      </c>
      <c r="L235" s="4">
        <f t="shared" si="30"/>
        <v>-9.5750098679604704E-9</v>
      </c>
      <c r="M235" s="4">
        <f t="shared" si="32"/>
        <v>-1.1100959692663012E-8</v>
      </c>
      <c r="N235" s="5">
        <f t="shared" si="33"/>
        <v>4.399482852514112E-8</v>
      </c>
      <c r="O235" s="5">
        <f t="shared" si="34"/>
        <v>6.4786514759808495E-7</v>
      </c>
      <c r="P235" s="5">
        <f t="shared" si="35"/>
        <v>1.1081400238767736E-6</v>
      </c>
      <c r="Q235" s="1">
        <f t="shared" si="31"/>
        <v>1.7999999999999997E-6</v>
      </c>
    </row>
    <row r="236" spans="1:17" x14ac:dyDescent="0.25">
      <c r="A236" s="1">
        <v>11.7</v>
      </c>
      <c r="B236" s="1">
        <v>5.4404000000000001E-2</v>
      </c>
      <c r="C236" s="1">
        <v>3.2358E-3</v>
      </c>
      <c r="D236" s="1">
        <v>6.1840999999999997E-3</v>
      </c>
      <c r="E236" s="1">
        <v>6.1476999999999997E-2</v>
      </c>
      <c r="F236" s="1">
        <v>8.5712000000000004E-7</v>
      </c>
      <c r="G236" s="1">
        <v>7.0629</v>
      </c>
      <c r="H236" s="1">
        <v>9.5575999999999995E-8</v>
      </c>
      <c r="I236" s="1">
        <f t="shared" si="27"/>
        <v>9.5575999999999995E-8</v>
      </c>
      <c r="J236" s="4">
        <f t="shared" si="28"/>
        <v>-3.1970516221410222E-9</v>
      </c>
      <c r="K236" s="4">
        <f t="shared" si="29"/>
        <v>-1.2633370378162389E-8</v>
      </c>
      <c r="L236" s="4">
        <f t="shared" si="30"/>
        <v>-9.5818764185038943E-9</v>
      </c>
      <c r="M236" s="4">
        <f t="shared" si="32"/>
        <v>-1.1103263841438589E-8</v>
      </c>
      <c r="N236" s="5">
        <f t="shared" si="33"/>
        <v>4.3849270862658599E-8</v>
      </c>
      <c r="O236" s="5">
        <f t="shared" si="34"/>
        <v>6.4953209268350216E-7</v>
      </c>
      <c r="P236" s="5">
        <f t="shared" si="35"/>
        <v>1.106618636453839E-6</v>
      </c>
      <c r="Q236" s="1">
        <f t="shared" si="31"/>
        <v>1.7999999999999997E-6</v>
      </c>
    </row>
    <row r="237" spans="1:17" x14ac:dyDescent="0.25">
      <c r="A237" s="1">
        <v>11.75</v>
      </c>
      <c r="B237" s="1">
        <v>5.432E-2</v>
      </c>
      <c r="C237" s="1">
        <v>3.2474000000000001E-3</v>
      </c>
      <c r="D237" s="1">
        <v>6.2202000000000004E-3</v>
      </c>
      <c r="E237" s="1">
        <v>6.1388999999999999E-2</v>
      </c>
      <c r="F237" s="1">
        <v>8.6178000000000003E-7</v>
      </c>
      <c r="G237" s="1">
        <v>7.0621</v>
      </c>
      <c r="H237" s="1">
        <v>9.5726000000000006E-8</v>
      </c>
      <c r="I237" s="1">
        <f t="shared" si="27"/>
        <v>9.5726000000000006E-8</v>
      </c>
      <c r="J237" s="4">
        <f t="shared" si="28"/>
        <v>-3.2214072685269737E-9</v>
      </c>
      <c r="K237" s="4">
        <f t="shared" si="29"/>
        <v>-1.2665875807328472E-8</v>
      </c>
      <c r="L237" s="4">
        <f t="shared" si="30"/>
        <v>-9.5888112141358964E-9</v>
      </c>
      <c r="M237" s="4">
        <f t="shared" si="32"/>
        <v>-1.1105449193759928E-8</v>
      </c>
      <c r="N237" s="5">
        <f t="shared" si="33"/>
        <v>4.3704928187324205E-8</v>
      </c>
      <c r="O237" s="5">
        <f t="shared" si="34"/>
        <v>6.5119307333846057E-7</v>
      </c>
      <c r="P237" s="5">
        <f t="shared" si="35"/>
        <v>1.1051019984742148E-6</v>
      </c>
      <c r="Q237" s="1">
        <f t="shared" si="31"/>
        <v>1.7999999999999997E-6</v>
      </c>
    </row>
    <row r="238" spans="1:17" x14ac:dyDescent="0.25">
      <c r="A238" s="1">
        <v>11.8</v>
      </c>
      <c r="B238" s="1">
        <v>5.4235999999999999E-2</v>
      </c>
      <c r="C238" s="1">
        <v>3.2590000000000002E-3</v>
      </c>
      <c r="D238" s="1">
        <v>6.2563999999999996E-3</v>
      </c>
      <c r="E238" s="1">
        <v>6.1302000000000002E-2</v>
      </c>
      <c r="F238" s="1">
        <v>8.6642999999999996E-7</v>
      </c>
      <c r="G238" s="1">
        <v>7.0613000000000001</v>
      </c>
      <c r="H238" s="1">
        <v>9.5876000000000004E-8</v>
      </c>
      <c r="I238" s="1">
        <f t="shared" si="27"/>
        <v>9.5876000000000004E-8</v>
      </c>
      <c r="J238" s="4">
        <f t="shared" si="28"/>
        <v>-3.2458110370178225E-9</v>
      </c>
      <c r="K238" s="4">
        <f t="shared" si="29"/>
        <v>-1.2698264930100162E-8</v>
      </c>
      <c r="L238" s="4">
        <f t="shared" si="30"/>
        <v>-9.5954528890049843E-9</v>
      </c>
      <c r="M238" s="4">
        <f t="shared" si="32"/>
        <v>-1.1107634360124141E-8</v>
      </c>
      <c r="N238" s="5">
        <f t="shared" si="33"/>
        <v>4.3561929191401557E-8</v>
      </c>
      <c r="O238" s="5">
        <f t="shared" si="34"/>
        <v>6.5284825380550243E-7</v>
      </c>
      <c r="P238" s="5">
        <f t="shared" si="35"/>
        <v>1.1035898170030958E-6</v>
      </c>
      <c r="Q238" s="1">
        <f t="shared" si="31"/>
        <v>1.7999999999999997E-6</v>
      </c>
    </row>
    <row r="239" spans="1:17" x14ac:dyDescent="0.25">
      <c r="A239" s="1">
        <v>11.85</v>
      </c>
      <c r="B239" s="1">
        <v>5.4153E-2</v>
      </c>
      <c r="C239" s="1">
        <v>3.2705999999999998E-3</v>
      </c>
      <c r="D239" s="1">
        <v>6.2925000000000003E-3</v>
      </c>
      <c r="E239" s="1">
        <v>6.1214999999999999E-2</v>
      </c>
      <c r="F239" s="1">
        <v>8.7107999999999999E-7</v>
      </c>
      <c r="G239" s="1">
        <v>7.0605000000000002</v>
      </c>
      <c r="H239" s="1">
        <v>9.6026000000000002E-8</v>
      </c>
      <c r="I239" s="1">
        <f t="shared" si="27"/>
        <v>9.6026000000000002E-8</v>
      </c>
      <c r="J239" s="4">
        <f t="shared" si="28"/>
        <v>-3.2701981405651345E-9</v>
      </c>
      <c r="K239" s="4">
        <f t="shared" si="29"/>
        <v>-1.2730540949207027E-8</v>
      </c>
      <c r="L239" s="4">
        <f t="shared" si="30"/>
        <v>-9.6020359245828752E-9</v>
      </c>
      <c r="M239" s="4">
        <f t="shared" si="32"/>
        <v>-1.110981661597359E-8</v>
      </c>
      <c r="N239" s="5">
        <f t="shared" si="33"/>
        <v>4.3420236075460574E-8</v>
      </c>
      <c r="O239" s="5">
        <f t="shared" si="34"/>
        <v>6.5449772761283411E-7</v>
      </c>
      <c r="P239" s="5">
        <f t="shared" si="35"/>
        <v>1.102082036311705E-6</v>
      </c>
      <c r="Q239" s="1">
        <f t="shared" si="31"/>
        <v>1.7999999999999997E-6</v>
      </c>
    </row>
    <row r="240" spans="1:17" x14ac:dyDescent="0.25">
      <c r="A240" s="1">
        <v>11.9</v>
      </c>
      <c r="B240" s="1">
        <v>5.4068999999999999E-2</v>
      </c>
      <c r="C240" s="1">
        <v>3.2821E-3</v>
      </c>
      <c r="D240" s="1">
        <v>6.3286000000000002E-3</v>
      </c>
      <c r="E240" s="1">
        <v>6.1127000000000001E-2</v>
      </c>
      <c r="F240" s="1">
        <v>8.7573000000000002E-7</v>
      </c>
      <c r="G240" s="1">
        <v>7.0597000000000003</v>
      </c>
      <c r="H240" s="1">
        <v>9.6177000000000002E-8</v>
      </c>
      <c r="I240" s="1">
        <f t="shared" si="27"/>
        <v>9.6177000000000002E-8</v>
      </c>
      <c r="J240" s="4">
        <f t="shared" si="28"/>
        <v>-3.294642263851294E-9</v>
      </c>
      <c r="K240" s="4">
        <f t="shared" si="29"/>
        <v>-1.2762705688450448E-8</v>
      </c>
      <c r="L240" s="4">
        <f t="shared" si="30"/>
        <v>-9.6085128077085495E-9</v>
      </c>
      <c r="M240" s="4">
        <f t="shared" si="32"/>
        <v>-1.1111995609981275E-8</v>
      </c>
      <c r="N240" s="5">
        <f t="shared" si="33"/>
        <v>4.3279786692351178E-8</v>
      </c>
      <c r="O240" s="5">
        <f t="shared" si="34"/>
        <v>6.561416597982162E-7</v>
      </c>
      <c r="P240" s="5">
        <f t="shared" si="35"/>
        <v>1.1005785535094324E-6</v>
      </c>
      <c r="Q240" s="1">
        <f t="shared" si="31"/>
        <v>1.7999999999999997E-6</v>
      </c>
    </row>
    <row r="241" spans="1:17" x14ac:dyDescent="0.25">
      <c r="A241" s="1">
        <v>11.95</v>
      </c>
      <c r="B241" s="1">
        <v>5.3984999999999998E-2</v>
      </c>
      <c r="C241" s="1">
        <v>3.2935E-3</v>
      </c>
      <c r="D241" s="1">
        <v>6.3647E-3</v>
      </c>
      <c r="E241" s="1">
        <v>6.1039999999999997E-2</v>
      </c>
      <c r="F241" s="1">
        <v>8.8036999999999999E-7</v>
      </c>
      <c r="G241" s="1">
        <v>7.0589000000000004</v>
      </c>
      <c r="H241" s="1">
        <v>9.6327E-8</v>
      </c>
      <c r="I241" s="1">
        <f t="shared" si="27"/>
        <v>9.6327E-8</v>
      </c>
      <c r="J241" s="4">
        <f t="shared" si="28"/>
        <v>-3.3191399677628469E-9</v>
      </c>
      <c r="K241" s="4">
        <f t="shared" si="29"/>
        <v>-1.2794762366064945E-8</v>
      </c>
      <c r="L241" s="4">
        <f t="shared" si="30"/>
        <v>-9.6147172708388903E-9</v>
      </c>
      <c r="M241" s="4">
        <f t="shared" si="32"/>
        <v>-1.1114286071791814E-8</v>
      </c>
      <c r="N241" s="5">
        <f t="shared" si="33"/>
        <v>4.3140691819814384E-8</v>
      </c>
      <c r="O241" s="5">
        <f t="shared" si="34"/>
        <v>6.5778032347170594E-7</v>
      </c>
      <c r="P241" s="5">
        <f t="shared" si="35"/>
        <v>1.0990789847084793E-6</v>
      </c>
      <c r="Q241" s="1">
        <f t="shared" si="31"/>
        <v>1.7999999999999997E-6</v>
      </c>
    </row>
    <row r="242" spans="1:17" x14ac:dyDescent="0.25">
      <c r="A242" s="1">
        <v>12</v>
      </c>
      <c r="B242" s="1">
        <v>5.3901999999999999E-2</v>
      </c>
      <c r="C242" s="1">
        <v>3.3048999999999999E-3</v>
      </c>
      <c r="D242" s="1">
        <v>6.4007999999999999E-3</v>
      </c>
      <c r="E242" s="1">
        <v>6.0953E-2</v>
      </c>
      <c r="F242" s="1">
        <v>8.8500999999999996E-7</v>
      </c>
      <c r="G242" s="1">
        <v>7.0580999999999996</v>
      </c>
      <c r="H242" s="1">
        <v>9.6475999999999996E-8</v>
      </c>
      <c r="I242" s="1">
        <f t="shared" si="27"/>
        <v>9.6475999999999996E-8</v>
      </c>
      <c r="J242" s="4">
        <f t="shared" si="28"/>
        <v>-3.3436250869738505E-9</v>
      </c>
      <c r="K242" s="4">
        <f t="shared" si="29"/>
        <v>-1.2826716307698449E-8</v>
      </c>
      <c r="L242" s="4">
        <f t="shared" si="30"/>
        <v>-9.620883634515805E-9</v>
      </c>
      <c r="M242" s="4">
        <f t="shared" si="32"/>
        <v>-1.1116453042801594E-8</v>
      </c>
      <c r="N242" s="5">
        <f t="shared" si="33"/>
        <v>4.3002899406023181E-8</v>
      </c>
      <c r="O242" s="5">
        <f t="shared" si="34"/>
        <v>6.5941368529378298E-7</v>
      </c>
      <c r="P242" s="5">
        <f t="shared" si="35"/>
        <v>1.0975834153001935E-6</v>
      </c>
      <c r="Q242" s="1">
        <f t="shared" si="31"/>
        <v>1.7999999999999997E-6</v>
      </c>
    </row>
    <row r="243" spans="1:17" x14ac:dyDescent="0.25">
      <c r="A243" s="1">
        <v>12.05</v>
      </c>
      <c r="B243" s="1">
        <v>5.3817999999999998E-2</v>
      </c>
      <c r="C243" s="1">
        <v>3.3162999999999999E-3</v>
      </c>
      <c r="D243" s="1">
        <v>6.4368999999999997E-3</v>
      </c>
      <c r="E243" s="1">
        <v>6.0866000000000003E-2</v>
      </c>
      <c r="F243" s="1">
        <v>8.8965000000000003E-7</v>
      </c>
      <c r="G243" s="1">
        <v>7.0572999999999997</v>
      </c>
      <c r="H243" s="1">
        <v>9.6625999999999995E-8</v>
      </c>
      <c r="I243" s="1">
        <f t="shared" si="27"/>
        <v>9.6625999999999995E-8</v>
      </c>
      <c r="J243" s="4">
        <f t="shared" si="28"/>
        <v>-3.3681707042902758E-9</v>
      </c>
      <c r="K243" s="4">
        <f t="shared" si="29"/>
        <v>-1.285856686322895E-8</v>
      </c>
      <c r="L243" s="4">
        <f t="shared" si="30"/>
        <v>-9.6269584761213032E-9</v>
      </c>
      <c r="M243" s="4">
        <f t="shared" si="32"/>
        <v>-1.1118498045322811E-8</v>
      </c>
      <c r="N243" s="5">
        <f t="shared" si="33"/>
        <v>4.2866337088840547E-8</v>
      </c>
      <c r="O243" s="5">
        <f t="shared" si="34"/>
        <v>6.6104178718016716E-7</v>
      </c>
      <c r="P243" s="5">
        <f t="shared" si="35"/>
        <v>1.096091875730992E-6</v>
      </c>
      <c r="Q243" s="1">
        <f t="shared" si="31"/>
        <v>1.7999999999999997E-6</v>
      </c>
    </row>
    <row r="244" spans="1:17" x14ac:dyDescent="0.25">
      <c r="A244" s="1">
        <v>12.1</v>
      </c>
      <c r="B244" s="1">
        <v>5.3734999999999998E-2</v>
      </c>
      <c r="C244" s="1">
        <v>3.3276E-3</v>
      </c>
      <c r="D244" s="1">
        <v>6.4729999999999996E-3</v>
      </c>
      <c r="E244" s="1">
        <v>6.0777999999999999E-2</v>
      </c>
      <c r="F244" s="1">
        <v>8.9428000000000004E-7</v>
      </c>
      <c r="G244" s="1">
        <v>7.0566000000000004</v>
      </c>
      <c r="H244" s="1">
        <v>9.6776000000000006E-8</v>
      </c>
      <c r="I244" s="1">
        <f t="shared" si="27"/>
        <v>9.6776000000000006E-8</v>
      </c>
      <c r="J244" s="4">
        <f t="shared" si="28"/>
        <v>-3.3927725131189824E-9</v>
      </c>
      <c r="K244" s="4">
        <f t="shared" si="29"/>
        <v>-1.2890314850012985E-8</v>
      </c>
      <c r="L244" s="4">
        <f t="shared" si="30"/>
        <v>-9.6329302636039441E-9</v>
      </c>
      <c r="M244" s="4">
        <f t="shared" si="32"/>
        <v>-1.1120652226359961E-8</v>
      </c>
      <c r="N244" s="5">
        <f t="shared" si="33"/>
        <v>4.2730949162130604E-8</v>
      </c>
      <c r="O244" s="5">
        <f t="shared" si="34"/>
        <v>6.6266489706963316E-7</v>
      </c>
      <c r="P244" s="5">
        <f t="shared" si="35"/>
        <v>1.094604153768236E-6</v>
      </c>
      <c r="Q244" s="1">
        <f t="shared" si="31"/>
        <v>1.7999999999999997E-6</v>
      </c>
    </row>
    <row r="245" spans="1:17" x14ac:dyDescent="0.25">
      <c r="A245" s="1">
        <v>12.15</v>
      </c>
      <c r="B245" s="1">
        <v>5.3650999999999997E-2</v>
      </c>
      <c r="C245" s="1">
        <v>3.3387999999999998E-3</v>
      </c>
      <c r="D245" s="1">
        <v>6.5091000000000003E-3</v>
      </c>
      <c r="E245" s="1">
        <v>6.0691000000000002E-2</v>
      </c>
      <c r="F245" s="1">
        <v>8.9889999999999998E-7</v>
      </c>
      <c r="G245" s="1">
        <v>7.0557999999999996</v>
      </c>
      <c r="H245" s="1">
        <v>9.6926000000000004E-8</v>
      </c>
      <c r="I245" s="1">
        <f t="shared" si="27"/>
        <v>9.6926000000000004E-8</v>
      </c>
      <c r="J245" s="4">
        <f t="shared" si="28"/>
        <v>-3.4173509057040045E-9</v>
      </c>
      <c r="K245" s="4">
        <f t="shared" si="29"/>
        <v>-1.2921965492858032E-8</v>
      </c>
      <c r="L245" s="4">
        <f t="shared" si="30"/>
        <v>-9.6385245827877563E-9</v>
      </c>
      <c r="M245" s="4">
        <f t="shared" si="32"/>
        <v>-1.1122798216433013E-8</v>
      </c>
      <c r="N245" s="5">
        <f t="shared" si="33"/>
        <v>4.2597039166496876E-8</v>
      </c>
      <c r="O245" s="5">
        <f t="shared" si="34"/>
        <v>6.6428308069891216E-7</v>
      </c>
      <c r="P245" s="5">
        <f t="shared" si="35"/>
        <v>1.0931198801345906E-6</v>
      </c>
      <c r="Q245" s="1">
        <f t="shared" si="31"/>
        <v>1.7999999999999997E-6</v>
      </c>
    </row>
    <row r="246" spans="1:17" x14ac:dyDescent="0.25">
      <c r="A246" s="1">
        <v>12.2</v>
      </c>
      <c r="B246" s="1">
        <v>5.3567999999999998E-2</v>
      </c>
      <c r="C246" s="1">
        <v>3.3500000000000001E-3</v>
      </c>
      <c r="D246" s="1">
        <v>6.5450999999999999E-3</v>
      </c>
      <c r="E246" s="1">
        <v>6.0603999999999998E-2</v>
      </c>
      <c r="F246" s="1">
        <v>9.0352999999999999E-7</v>
      </c>
      <c r="G246" s="1">
        <v>7.0549999999999997</v>
      </c>
      <c r="H246" s="1">
        <v>9.7075000000000001E-8</v>
      </c>
      <c r="I246" s="1">
        <f t="shared" si="27"/>
        <v>9.7075000000000001E-8</v>
      </c>
      <c r="J246" s="4">
        <f t="shared" si="28"/>
        <v>-3.4419311129729464E-9</v>
      </c>
      <c r="K246" s="4">
        <f t="shared" si="29"/>
        <v>-1.2953520073628512E-8</v>
      </c>
      <c r="L246" s="4">
        <f t="shared" si="30"/>
        <v>-9.6441328388739629E-9</v>
      </c>
      <c r="M246" s="4">
        <f t="shared" si="32"/>
        <v>-1.1124932437701923E-8</v>
      </c>
      <c r="N246" s="5">
        <f t="shared" si="33"/>
        <v>4.2464495288278477E-8</v>
      </c>
      <c r="O246" s="5">
        <f t="shared" si="34"/>
        <v>6.6589642417595849E-7</v>
      </c>
      <c r="P246" s="5">
        <f t="shared" si="35"/>
        <v>1.0916390805357627E-6</v>
      </c>
      <c r="Q246" s="1">
        <f t="shared" si="31"/>
        <v>1.7999999999999997E-6</v>
      </c>
    </row>
    <row r="247" spans="1:17" x14ac:dyDescent="0.25">
      <c r="A247" s="1">
        <v>12.25</v>
      </c>
      <c r="B247" s="1">
        <v>5.3484999999999998E-2</v>
      </c>
      <c r="C247" s="1">
        <v>3.3611000000000001E-3</v>
      </c>
      <c r="D247" s="1">
        <v>6.5811999999999997E-3</v>
      </c>
      <c r="E247" s="1">
        <v>6.0517000000000001E-2</v>
      </c>
      <c r="F247" s="1">
        <v>9.0815000000000004E-7</v>
      </c>
      <c r="G247" s="1">
        <v>7.0541999999999998</v>
      </c>
      <c r="H247" s="1">
        <v>9.7224999999999999E-8</v>
      </c>
      <c r="I247" s="1">
        <f t="shared" si="27"/>
        <v>9.7224999999999999E-8</v>
      </c>
      <c r="J247" s="4">
        <f t="shared" si="28"/>
        <v>-3.4666589732397119E-9</v>
      </c>
      <c r="K247" s="4">
        <f t="shared" si="29"/>
        <v>-1.2984980271431377E-8</v>
      </c>
      <c r="L247" s="4">
        <f t="shared" si="30"/>
        <v>-9.6497915035362518E-9</v>
      </c>
      <c r="M247" s="4">
        <f t="shared" si="32"/>
        <v>-1.1126940693016119E-8</v>
      </c>
      <c r="N247" s="5">
        <f t="shared" si="33"/>
        <v>4.2333025082933893E-8</v>
      </c>
      <c r="O247" s="5">
        <f t="shared" si="34"/>
        <v>6.6750504357078294E-7</v>
      </c>
      <c r="P247" s="5">
        <f t="shared" si="35"/>
        <v>1.0901619313462828E-6</v>
      </c>
      <c r="Q247" s="1">
        <f t="shared" si="31"/>
        <v>1.7999999999999997E-6</v>
      </c>
    </row>
    <row r="248" spans="1:17" x14ac:dyDescent="0.25">
      <c r="A248" s="1">
        <v>12.3</v>
      </c>
      <c r="B248" s="1">
        <v>5.3401999999999998E-2</v>
      </c>
      <c r="C248" s="1">
        <v>3.3722000000000001E-3</v>
      </c>
      <c r="D248" s="1">
        <v>6.6172000000000002E-3</v>
      </c>
      <c r="E248" s="1">
        <v>6.0429999999999998E-2</v>
      </c>
      <c r="F248" s="1">
        <v>9.1276000000000003E-7</v>
      </c>
      <c r="G248" s="1">
        <v>7.0534999999999997</v>
      </c>
      <c r="H248" s="1">
        <v>9.7373999999999996E-8</v>
      </c>
      <c r="I248" s="1">
        <f t="shared" si="27"/>
        <v>9.7373999999999996E-8</v>
      </c>
      <c r="J248" s="4">
        <f t="shared" si="28"/>
        <v>-3.4913587660502166E-9</v>
      </c>
      <c r="K248" s="4">
        <f t="shared" si="29"/>
        <v>-1.3016348349630454E-8</v>
      </c>
      <c r="L248" s="4">
        <f t="shared" si="30"/>
        <v>-9.655224550426725E-9</v>
      </c>
      <c r="M248" s="4">
        <f t="shared" si="32"/>
        <v>-1.1129054346390104E-8</v>
      </c>
      <c r="N248" s="5">
        <f t="shared" si="33"/>
        <v>4.2202790116087404E-8</v>
      </c>
      <c r="O248" s="5">
        <f t="shared" si="34"/>
        <v>6.6910910833359279E-7</v>
      </c>
      <c r="P248" s="5">
        <f t="shared" si="35"/>
        <v>1.0886881015503194E-6</v>
      </c>
      <c r="Q248" s="1">
        <f t="shared" si="31"/>
        <v>1.7999999999999997E-6</v>
      </c>
    </row>
    <row r="249" spans="1:17" x14ac:dyDescent="0.25">
      <c r="A249" s="1">
        <v>12.35</v>
      </c>
      <c r="B249" s="1">
        <v>5.3318999999999998E-2</v>
      </c>
      <c r="C249" s="1">
        <v>3.3831999999999998E-3</v>
      </c>
      <c r="D249" s="1">
        <v>6.6531999999999997E-3</v>
      </c>
      <c r="E249" s="1">
        <v>6.0344000000000002E-2</v>
      </c>
      <c r="F249" s="1">
        <v>9.1737000000000001E-7</v>
      </c>
      <c r="G249" s="1">
        <v>7.0526999999999997</v>
      </c>
      <c r="H249" s="1">
        <v>9.7523999999999994E-8</v>
      </c>
      <c r="I249" s="1">
        <f t="shared" si="27"/>
        <v>9.7523999999999994E-8</v>
      </c>
      <c r="J249" s="4">
        <f t="shared" si="28"/>
        <v>-3.5160445034416346E-9</v>
      </c>
      <c r="K249" s="4">
        <f t="shared" si="29"/>
        <v>-1.3047627612504781E-8</v>
      </c>
      <c r="L249" s="4">
        <f t="shared" si="30"/>
        <v>-9.6604744157649168E-9</v>
      </c>
      <c r="M249" s="4">
        <f t="shared" si="32"/>
        <v>-1.1131041096037648E-8</v>
      </c>
      <c r="N249" s="5">
        <f t="shared" si="33"/>
        <v>4.2073898809385632E-8</v>
      </c>
      <c r="O249" s="5">
        <f t="shared" si="34"/>
        <v>6.7070856632056739E-7</v>
      </c>
      <c r="P249" s="5">
        <f t="shared" si="35"/>
        <v>1.0872175348700466E-6</v>
      </c>
      <c r="Q249" s="1">
        <f t="shared" si="31"/>
        <v>1.7999999999999997E-6</v>
      </c>
    </row>
    <row r="250" spans="1:17" x14ac:dyDescent="0.25">
      <c r="A250" s="1">
        <v>12.4</v>
      </c>
      <c r="B250" s="1">
        <v>5.3235999999999999E-2</v>
      </c>
      <c r="C250" s="1">
        <v>3.3942E-3</v>
      </c>
      <c r="D250" s="1">
        <v>6.6892999999999996E-3</v>
      </c>
      <c r="E250" s="1">
        <v>6.0256999999999998E-2</v>
      </c>
      <c r="F250" s="1">
        <v>9.2198E-7</v>
      </c>
      <c r="G250" s="1">
        <v>7.0518999999999998</v>
      </c>
      <c r="H250" s="1">
        <v>9.7673000000000004E-8</v>
      </c>
      <c r="I250" s="1">
        <f t="shared" si="27"/>
        <v>9.7673000000000004E-8</v>
      </c>
      <c r="J250" s="4">
        <f t="shared" si="28"/>
        <v>-3.5408034962096801E-9</v>
      </c>
      <c r="K250" s="4">
        <f t="shared" si="29"/>
        <v>-1.307881704325125E-8</v>
      </c>
      <c r="L250" s="4">
        <f t="shared" si="30"/>
        <v>-9.6658373570903695E-9</v>
      </c>
      <c r="M250" s="4">
        <f t="shared" si="32"/>
        <v>-1.1133129301420133E-8</v>
      </c>
      <c r="N250" s="5">
        <f t="shared" si="33"/>
        <v>4.1946074999336831E-8</v>
      </c>
      <c r="O250" s="5">
        <f t="shared" si="34"/>
        <v>6.7230368207494592E-7</v>
      </c>
      <c r="P250" s="5">
        <f t="shared" si="35"/>
        <v>1.085750242925717E-6</v>
      </c>
      <c r="Q250" s="1">
        <f t="shared" si="31"/>
        <v>1.7999999999999997E-6</v>
      </c>
    </row>
    <row r="251" spans="1:17" x14ac:dyDescent="0.25">
      <c r="A251" s="1">
        <v>12.45</v>
      </c>
      <c r="B251" s="1">
        <v>5.3152999999999999E-2</v>
      </c>
      <c r="C251" s="1">
        <v>3.4050999999999999E-3</v>
      </c>
      <c r="D251" s="1">
        <v>6.7251999999999998E-3</v>
      </c>
      <c r="E251" s="1">
        <v>6.0170000000000001E-2</v>
      </c>
      <c r="F251" s="1">
        <v>9.2658000000000003E-7</v>
      </c>
      <c r="G251" s="1">
        <v>7.0511999999999997</v>
      </c>
      <c r="H251" s="1">
        <v>9.7822000000000001E-8</v>
      </c>
      <c r="I251" s="1">
        <f t="shared" si="27"/>
        <v>9.7822000000000001E-8</v>
      </c>
      <c r="J251" s="4">
        <f t="shared" si="28"/>
        <v>-3.5656140265267948E-9</v>
      </c>
      <c r="K251" s="4">
        <f t="shared" si="29"/>
        <v>-1.3109921800461166E-8</v>
      </c>
      <c r="L251" s="4">
        <f t="shared" si="30"/>
        <v>-9.670934274552202E-9</v>
      </c>
      <c r="M251" s="4">
        <f t="shared" si="32"/>
        <v>-1.1135090765114537E-8</v>
      </c>
      <c r="N251" s="5">
        <f t="shared" si="33"/>
        <v>4.1819448498718999E-8</v>
      </c>
      <c r="O251" s="5">
        <f t="shared" si="34"/>
        <v>6.7389446506612601E-7</v>
      </c>
      <c r="P251" s="5">
        <f t="shared" si="35"/>
        <v>1.0842860864351548E-6</v>
      </c>
      <c r="Q251" s="1">
        <f t="shared" si="31"/>
        <v>1.7999999999999997E-6</v>
      </c>
    </row>
    <row r="252" spans="1:17" x14ac:dyDescent="0.25">
      <c r="A252" s="1">
        <v>12.5</v>
      </c>
      <c r="B252" s="1">
        <v>5.3069999999999999E-2</v>
      </c>
      <c r="C252" s="1">
        <v>3.4160000000000002E-3</v>
      </c>
      <c r="D252" s="1">
        <v>6.7612000000000002E-3</v>
      </c>
      <c r="E252" s="1">
        <v>6.0082999999999998E-2</v>
      </c>
      <c r="F252" s="1">
        <v>9.3117999999999995E-7</v>
      </c>
      <c r="G252" s="1">
        <v>7.0503999999999998</v>
      </c>
      <c r="H252" s="1">
        <v>9.7970999999999998E-8</v>
      </c>
      <c r="I252" s="1">
        <f t="shared" si="27"/>
        <v>9.7970999999999998E-8</v>
      </c>
      <c r="J252" s="4">
        <f t="shared" si="28"/>
        <v>-3.5904108267749944E-9</v>
      </c>
      <c r="K252" s="4">
        <f t="shared" si="29"/>
        <v>-1.3140942068789643E-8</v>
      </c>
      <c r="L252" s="4">
        <f t="shared" si="30"/>
        <v>-9.6758545479641621E-9</v>
      </c>
      <c r="M252" s="4">
        <f t="shared" si="32"/>
        <v>-1.1137038522462427E-8</v>
      </c>
      <c r="N252" s="5">
        <f t="shared" si="33"/>
        <v>4.1694125192769485E-8</v>
      </c>
      <c r="O252" s="5">
        <f t="shared" si="34"/>
        <v>6.7548097234657374E-7</v>
      </c>
      <c r="P252" s="5">
        <f t="shared" si="35"/>
        <v>1.0828249024606565E-6</v>
      </c>
      <c r="Q252" s="1">
        <f t="shared" si="31"/>
        <v>1.7999999999999997E-6</v>
      </c>
    </row>
    <row r="253" spans="1:17" x14ac:dyDescent="0.25">
      <c r="A253" s="1">
        <v>12.55</v>
      </c>
      <c r="B253" s="1">
        <v>5.2988E-2</v>
      </c>
      <c r="C253" s="1">
        <v>3.4267999999999998E-3</v>
      </c>
      <c r="D253" s="1">
        <v>6.7971999999999998E-3</v>
      </c>
      <c r="E253" s="1">
        <v>5.9996000000000001E-2</v>
      </c>
      <c r="F253" s="1">
        <v>9.3577000000000002E-7</v>
      </c>
      <c r="G253" s="1">
        <v>7.0495999999999999</v>
      </c>
      <c r="H253" s="1">
        <v>9.8119999999999995E-8</v>
      </c>
      <c r="I253" s="1">
        <f t="shared" si="27"/>
        <v>9.8119999999999995E-8</v>
      </c>
      <c r="J253" s="4">
        <f t="shared" si="28"/>
        <v>-3.6152817200099851E-9</v>
      </c>
      <c r="K253" s="4">
        <f t="shared" si="29"/>
        <v>-1.3171878960758376E-8</v>
      </c>
      <c r="L253" s="4">
        <f t="shared" si="30"/>
        <v>-9.6807323188958474E-9</v>
      </c>
      <c r="M253" s="4">
        <f t="shared" si="32"/>
        <v>-1.1138971044492322E-8</v>
      </c>
      <c r="N253" s="5">
        <f t="shared" si="33"/>
        <v>4.1569990114622031E-8</v>
      </c>
      <c r="O253" s="5">
        <f t="shared" si="34"/>
        <v>6.7706334615031771E-7</v>
      </c>
      <c r="P253" s="5">
        <f t="shared" si="35"/>
        <v>1.0813666637350601E-6</v>
      </c>
      <c r="Q253" s="1">
        <f t="shared" si="31"/>
        <v>1.7999999999999997E-6</v>
      </c>
    </row>
    <row r="254" spans="1:17" x14ac:dyDescent="0.25">
      <c r="A254" s="1">
        <v>12.6</v>
      </c>
      <c r="B254" s="1">
        <v>5.2905000000000001E-2</v>
      </c>
      <c r="C254" s="1">
        <v>3.4375999999999999E-3</v>
      </c>
      <c r="D254" s="1">
        <v>6.8332000000000002E-3</v>
      </c>
      <c r="E254" s="1">
        <v>5.9909999999999998E-2</v>
      </c>
      <c r="F254" s="1">
        <v>9.4035999999999998E-7</v>
      </c>
      <c r="G254" s="1">
        <v>7.0488999999999997</v>
      </c>
      <c r="H254" s="1">
        <v>9.8269000000000005E-8</v>
      </c>
      <c r="I254" s="1">
        <f t="shared" si="27"/>
        <v>9.8269000000000005E-8</v>
      </c>
      <c r="J254" s="4">
        <f t="shared" si="28"/>
        <v>-3.6401405883567848E-9</v>
      </c>
      <c r="K254" s="4">
        <f t="shared" si="29"/>
        <v>-1.3202735249930914E-8</v>
      </c>
      <c r="L254" s="4">
        <f t="shared" si="30"/>
        <v>-9.6854417235760145E-9</v>
      </c>
      <c r="M254" s="4">
        <f t="shared" si="32"/>
        <v>-1.1140888189796593E-8</v>
      </c>
      <c r="N254" s="5">
        <f t="shared" si="33"/>
        <v>4.1447143052620151E-8</v>
      </c>
      <c r="O254" s="5">
        <f t="shared" si="34"/>
        <v>6.786416396785401E-7</v>
      </c>
      <c r="P254" s="5">
        <f t="shared" si="35"/>
        <v>1.0799112172688395E-6</v>
      </c>
      <c r="Q254" s="1">
        <f t="shared" si="31"/>
        <v>1.7999999999999997E-6</v>
      </c>
    </row>
    <row r="255" spans="1:17" x14ac:dyDescent="0.25">
      <c r="A255" s="1">
        <v>12.65</v>
      </c>
      <c r="B255" s="1">
        <v>5.2822000000000001E-2</v>
      </c>
      <c r="C255" s="1">
        <v>3.4483000000000001E-3</v>
      </c>
      <c r="D255" s="1">
        <v>6.8691000000000004E-3</v>
      </c>
      <c r="E255" s="1">
        <v>5.9823000000000001E-2</v>
      </c>
      <c r="F255" s="1">
        <v>9.4494999999999995E-7</v>
      </c>
      <c r="G255" s="1">
        <v>7.0480999999999998</v>
      </c>
      <c r="H255" s="1">
        <v>9.8418000000000002E-8</v>
      </c>
      <c r="I255" s="1">
        <f t="shared" si="27"/>
        <v>9.8418000000000002E-8</v>
      </c>
      <c r="J255" s="4">
        <f t="shared" si="28"/>
        <v>-3.6650752399263439E-9</v>
      </c>
      <c r="K255" s="4">
        <f t="shared" si="29"/>
        <v>-1.3233511973731719E-8</v>
      </c>
      <c r="L255" s="4">
        <f t="shared" si="30"/>
        <v>-9.6902763743624483E-9</v>
      </c>
      <c r="M255" s="4">
        <f t="shared" si="32"/>
        <v>-1.1142788518028277E-8</v>
      </c>
      <c r="N255" s="5">
        <f t="shared" si="33"/>
        <v>4.1325303412063075E-8</v>
      </c>
      <c r="O255" s="5">
        <f t="shared" si="34"/>
        <v>6.8021599146276295E-7</v>
      </c>
      <c r="P255" s="5">
        <f t="shared" si="35"/>
        <v>1.0784587051251738E-6</v>
      </c>
      <c r="Q255" s="1">
        <f t="shared" si="31"/>
        <v>1.7999999999999999E-6</v>
      </c>
    </row>
    <row r="256" spans="1:17" x14ac:dyDescent="0.25">
      <c r="A256" s="1">
        <v>12.7</v>
      </c>
      <c r="B256" s="1">
        <v>5.2740000000000002E-2</v>
      </c>
      <c r="C256" s="1">
        <v>3.4589999999999998E-3</v>
      </c>
      <c r="D256" s="1">
        <v>6.9051E-3</v>
      </c>
      <c r="E256" s="1">
        <v>5.9736999999999998E-2</v>
      </c>
      <c r="F256" s="1">
        <v>9.4952999999999995E-7</v>
      </c>
      <c r="G256" s="1">
        <v>7.0473999999999997</v>
      </c>
      <c r="H256" s="1">
        <v>9.8566999999999998E-8</v>
      </c>
      <c r="I256" s="1">
        <f t="shared" si="27"/>
        <v>9.8566999999999998E-8</v>
      </c>
      <c r="J256" s="4">
        <f t="shared" si="28"/>
        <v>-3.6900623941697658E-9</v>
      </c>
      <c r="K256" s="4">
        <f t="shared" si="29"/>
        <v>-1.3264211833523596E-8</v>
      </c>
      <c r="L256" s="4">
        <f t="shared" si="30"/>
        <v>-9.6948515880907374E-9</v>
      </c>
      <c r="M256" s="4">
        <f t="shared" si="32"/>
        <v>-1.1144673628305747E-8</v>
      </c>
      <c r="N256" s="5">
        <f t="shared" si="33"/>
        <v>4.1204601263326164E-8</v>
      </c>
      <c r="O256" s="5">
        <f t="shared" si="34"/>
        <v>6.8178651565171496E-7</v>
      </c>
      <c r="P256" s="5">
        <f t="shared" si="35"/>
        <v>1.0770088830849588E-6</v>
      </c>
      <c r="Q256" s="1">
        <f t="shared" si="31"/>
        <v>1.7999999999999999E-6</v>
      </c>
    </row>
    <row r="257" spans="1:17" x14ac:dyDescent="0.25">
      <c r="A257" s="1">
        <v>12.75</v>
      </c>
      <c r="B257" s="1">
        <v>5.2657000000000002E-2</v>
      </c>
      <c r="C257" s="1">
        <v>3.4696000000000002E-3</v>
      </c>
      <c r="D257" s="1">
        <v>6.9410000000000001E-3</v>
      </c>
      <c r="E257" s="1">
        <v>5.9650000000000002E-2</v>
      </c>
      <c r="F257" s="1">
        <v>9.5409999999999989E-7</v>
      </c>
      <c r="G257" s="1">
        <v>7.0465999999999998</v>
      </c>
      <c r="H257" s="1">
        <v>9.8715999999999995E-8</v>
      </c>
      <c r="I257" s="1">
        <f t="shared" si="27"/>
        <v>9.8715999999999995E-8</v>
      </c>
      <c r="J257" s="4">
        <f t="shared" si="28"/>
        <v>-3.7150366033320657E-9</v>
      </c>
      <c r="K257" s="4">
        <f t="shared" si="29"/>
        <v>-1.3294837055208632E-8</v>
      </c>
      <c r="L257" s="4">
        <f t="shared" si="30"/>
        <v>-9.699423267605841E-9</v>
      </c>
      <c r="M257" s="4">
        <f t="shared" si="32"/>
        <v>-1.1146541130798846E-8</v>
      </c>
      <c r="N257" s="5">
        <f t="shared" si="33"/>
        <v>4.1084978447596892E-8</v>
      </c>
      <c r="O257" s="5">
        <f t="shared" si="34"/>
        <v>6.8335325633063724E-7</v>
      </c>
      <c r="P257" s="5">
        <f t="shared" si="35"/>
        <v>1.075561765221766E-6</v>
      </c>
      <c r="Q257" s="1">
        <f t="shared" si="31"/>
        <v>1.8000000000000001E-6</v>
      </c>
    </row>
    <row r="258" spans="1:17" x14ac:dyDescent="0.25">
      <c r="A258" s="1">
        <v>12.8</v>
      </c>
      <c r="B258" s="1">
        <v>5.2574999999999997E-2</v>
      </c>
      <c r="C258" s="1">
        <v>3.4802000000000001E-3</v>
      </c>
      <c r="D258" s="1">
        <v>6.9769000000000003E-3</v>
      </c>
      <c r="E258" s="1">
        <v>5.9563999999999999E-2</v>
      </c>
      <c r="F258" s="1">
        <v>9.586799999999999E-7</v>
      </c>
      <c r="G258" s="1">
        <v>7.0458999999999996</v>
      </c>
      <c r="H258" s="1">
        <v>9.8864000000000004E-8</v>
      </c>
      <c r="I258" s="1">
        <f t="shared" si="27"/>
        <v>9.8864000000000004E-8</v>
      </c>
      <c r="J258" s="4">
        <f t="shared" si="28"/>
        <v>-3.73999356695512E-9</v>
      </c>
      <c r="K258" s="4">
        <f t="shared" si="29"/>
        <v>-1.3325388498447617E-8</v>
      </c>
      <c r="L258" s="4">
        <f t="shared" si="30"/>
        <v>-9.7036585003230561E-9</v>
      </c>
      <c r="M258" s="4">
        <f t="shared" si="32"/>
        <v>-1.1148391297641502E-8</v>
      </c>
      <c r="N258" s="5">
        <f t="shared" si="33"/>
        <v>4.0966714878766335E-8</v>
      </c>
      <c r="O258" s="5">
        <f t="shared" si="34"/>
        <v>6.8491625269678633E-7</v>
      </c>
      <c r="P258" s="5">
        <f t="shared" si="35"/>
        <v>1.0741170324244475E-6</v>
      </c>
      <c r="Q258" s="1">
        <f t="shared" si="31"/>
        <v>1.8000000000000001E-6</v>
      </c>
    </row>
    <row r="259" spans="1:17" x14ac:dyDescent="0.25">
      <c r="A259" s="1">
        <v>12.85</v>
      </c>
      <c r="B259" s="1">
        <v>5.2492999999999998E-2</v>
      </c>
      <c r="C259" s="1">
        <v>3.4906999999999998E-3</v>
      </c>
      <c r="D259" s="1">
        <v>7.0127999999999996E-3</v>
      </c>
      <c r="E259" s="1">
        <v>5.9477000000000002E-2</v>
      </c>
      <c r="F259" s="1">
        <v>9.6323999999999999E-7</v>
      </c>
      <c r="G259" s="1">
        <v>7.0450999999999997</v>
      </c>
      <c r="H259" s="1">
        <v>9.9013000000000001E-8</v>
      </c>
      <c r="I259" s="1">
        <f t="shared" ref="I259:I322" si="36">H259</f>
        <v>9.9013000000000001E-8</v>
      </c>
      <c r="J259" s="4">
        <f t="shared" ref="J259:J322" si="37">(-$T$4*F258^2*N258)*(A259-A258)</f>
        <v>-3.7651169770485498E-9</v>
      </c>
      <c r="K259" s="4">
        <f t="shared" ref="K259:K322" si="38">-O258*$T$7*(A259-A258)</f>
        <v>-1.3355866927587049E-8</v>
      </c>
      <c r="L259" s="4">
        <f t="shared" ref="L259:L322" si="39">-$T$5*F258*E258*(A259-A258)*N258</f>
        <v>-9.7081562630577186E-9</v>
      </c>
      <c r="M259" s="4">
        <f t="shared" si="32"/>
        <v>-1.1150108160828874E-8</v>
      </c>
      <c r="N259" s="5">
        <f t="shared" si="33"/>
        <v>4.0849308566247113E-8</v>
      </c>
      <c r="O259" s="5">
        <f t="shared" si="34"/>
        <v>6.8647561090707663E-7</v>
      </c>
      <c r="P259" s="5">
        <f t="shared" si="35"/>
        <v>1.0726750805266763E-6</v>
      </c>
      <c r="Q259" s="1">
        <f t="shared" ref="Q259:Q322" si="40">N259+O259+P259</f>
        <v>1.8000000000000001E-6</v>
      </c>
    </row>
    <row r="260" spans="1:17" x14ac:dyDescent="0.25">
      <c r="A260" s="1">
        <v>12.9</v>
      </c>
      <c r="B260" s="1">
        <v>5.2410999999999999E-2</v>
      </c>
      <c r="C260" s="1">
        <v>3.5011999999999999E-3</v>
      </c>
      <c r="D260" s="1">
        <v>7.0486999999999998E-3</v>
      </c>
      <c r="E260" s="1">
        <v>5.9390999999999999E-2</v>
      </c>
      <c r="F260" s="1">
        <v>9.6780000000000008E-7</v>
      </c>
      <c r="G260" s="1">
        <v>7.0442999999999998</v>
      </c>
      <c r="H260" s="1">
        <v>9.9161999999999998E-8</v>
      </c>
      <c r="I260" s="1">
        <f t="shared" si="36"/>
        <v>9.9161999999999998E-8</v>
      </c>
      <c r="J260" s="4">
        <f t="shared" si="37"/>
        <v>-3.7901266973084389E-9</v>
      </c>
      <c r="K260" s="4">
        <f t="shared" si="38"/>
        <v>-1.3386274412688184E-8</v>
      </c>
      <c r="L260" s="4">
        <f t="shared" si="39"/>
        <v>-9.712172118471287E-9</v>
      </c>
      <c r="M260" s="4">
        <f t="shared" ref="M260:M323" si="41">-P259*$T$8*I259*(A260-A259)</f>
        <v>-1.1151921663559878E-8</v>
      </c>
      <c r="N260" s="5">
        <f t="shared" ref="N260:N323" si="42">N259+J260-K260+L260</f>
        <v>4.0733284163155568E-8</v>
      </c>
      <c r="O260" s="5">
        <f t="shared" ref="O260:O323" si="43">-J260+O259+K260-M260</f>
        <v>6.8803138485525684E-7</v>
      </c>
      <c r="P260" s="5">
        <f t="shared" ref="P260:P323" si="44">P259-L260+M260</f>
        <v>1.0712353309815878E-6</v>
      </c>
      <c r="Q260" s="1">
        <f t="shared" si="40"/>
        <v>1.8000000000000001E-6</v>
      </c>
    </row>
    <row r="261" spans="1:17" x14ac:dyDescent="0.25">
      <c r="A261" s="1">
        <v>12.95</v>
      </c>
      <c r="B261" s="1">
        <v>5.2328E-2</v>
      </c>
      <c r="C261" s="1">
        <v>3.5116000000000001E-3</v>
      </c>
      <c r="D261" s="1">
        <v>7.0845999999999999E-3</v>
      </c>
      <c r="E261" s="1">
        <v>5.9304999999999997E-2</v>
      </c>
      <c r="F261" s="1">
        <v>9.7235999999999995E-7</v>
      </c>
      <c r="G261" s="1">
        <v>7.0435999999999996</v>
      </c>
      <c r="H261" s="1">
        <v>9.9309999999999994E-8</v>
      </c>
      <c r="I261" s="1">
        <f t="shared" si="36"/>
        <v>9.9309999999999994E-8</v>
      </c>
      <c r="J261" s="4">
        <f t="shared" si="37"/>
        <v>-3.815229456139926E-9</v>
      </c>
      <c r="K261" s="4">
        <f t="shared" si="38"/>
        <v>-1.3416612004677222E-8</v>
      </c>
      <c r="L261" s="4">
        <f t="shared" si="39"/>
        <v>-9.716364067088928E-9</v>
      </c>
      <c r="M261" s="4">
        <f t="shared" si="41"/>
        <v>-1.1153712978533364E-8</v>
      </c>
      <c r="N261" s="5">
        <f t="shared" si="42"/>
        <v>4.0618302644603942E-8</v>
      </c>
      <c r="O261" s="5">
        <f t="shared" si="43"/>
        <v>6.8958371528525289E-7</v>
      </c>
      <c r="P261" s="5">
        <f t="shared" si="44"/>
        <v>1.0697979820701434E-6</v>
      </c>
      <c r="Q261" s="1">
        <f t="shared" si="40"/>
        <v>1.8000000000000001E-6</v>
      </c>
    </row>
    <row r="262" spans="1:17" x14ac:dyDescent="0.25">
      <c r="A262" s="1">
        <v>13</v>
      </c>
      <c r="B262" s="1">
        <v>5.2246000000000001E-2</v>
      </c>
      <c r="C262" s="1">
        <v>3.522E-3</v>
      </c>
      <c r="D262" s="1">
        <v>7.1203999999999998E-3</v>
      </c>
      <c r="E262" s="1">
        <v>5.9219000000000001E-2</v>
      </c>
      <c r="F262" s="1">
        <v>9.7690999999999998E-7</v>
      </c>
      <c r="G262" s="1">
        <v>7.0427999999999997</v>
      </c>
      <c r="H262" s="1">
        <v>9.9458000000000003E-8</v>
      </c>
      <c r="I262" s="1">
        <f t="shared" si="36"/>
        <v>9.9458000000000003E-8</v>
      </c>
      <c r="J262" s="4">
        <f t="shared" si="37"/>
        <v>-3.8403954022834853E-9</v>
      </c>
      <c r="K262" s="4">
        <f t="shared" si="38"/>
        <v>-1.3446882448062623E-8</v>
      </c>
      <c r="L262" s="4">
        <f t="shared" si="39"/>
        <v>-9.7204923560157944E-9</v>
      </c>
      <c r="M262" s="4">
        <f t="shared" si="41"/>
        <v>-1.1155371947935681E-8</v>
      </c>
      <c r="N262" s="5">
        <f t="shared" si="42"/>
        <v>4.0504297334367284E-8</v>
      </c>
      <c r="O262" s="5">
        <f t="shared" si="43"/>
        <v>6.9113260018740935E-7</v>
      </c>
      <c r="P262" s="5">
        <f t="shared" si="44"/>
        <v>1.0683631024782236E-6</v>
      </c>
      <c r="Q262" s="1">
        <f t="shared" si="40"/>
        <v>1.8000000000000001E-6</v>
      </c>
    </row>
    <row r="263" spans="1:17" x14ac:dyDescent="0.25">
      <c r="A263" s="1">
        <v>13.05</v>
      </c>
      <c r="B263" s="1">
        <v>5.2164000000000002E-2</v>
      </c>
      <c r="C263" s="1">
        <v>3.5322999999999999E-3</v>
      </c>
      <c r="D263" s="1">
        <v>7.1563E-3</v>
      </c>
      <c r="E263" s="1">
        <v>5.9131999999999997E-2</v>
      </c>
      <c r="F263" s="1">
        <v>9.8146E-7</v>
      </c>
      <c r="G263" s="1">
        <v>7.0420999999999996</v>
      </c>
      <c r="H263" s="1">
        <v>9.9607E-8</v>
      </c>
      <c r="I263" s="1">
        <f t="shared" si="36"/>
        <v>9.9607E-8</v>
      </c>
      <c r="J263" s="4">
        <f t="shared" si="37"/>
        <v>-3.8655403672632399E-9</v>
      </c>
      <c r="K263" s="4">
        <f t="shared" si="38"/>
        <v>-1.3477085703654676E-8</v>
      </c>
      <c r="L263" s="4">
        <f t="shared" si="39"/>
        <v>-9.7244449876364402E-9</v>
      </c>
      <c r="M263" s="4">
        <f t="shared" si="41"/>
        <v>-1.1157012031859469E-8</v>
      </c>
      <c r="N263" s="5">
        <f t="shared" si="42"/>
        <v>4.0391397683122283E-8</v>
      </c>
      <c r="O263" s="5">
        <f t="shared" si="43"/>
        <v>6.9267806688287737E-7</v>
      </c>
      <c r="P263" s="5">
        <f t="shared" si="44"/>
        <v>1.0669305354340004E-6</v>
      </c>
      <c r="Q263" s="1">
        <f t="shared" si="40"/>
        <v>1.8000000000000001E-6</v>
      </c>
    </row>
    <row r="264" spans="1:17" x14ac:dyDescent="0.25">
      <c r="A264" s="1">
        <v>13.1</v>
      </c>
      <c r="B264" s="1">
        <v>5.2082000000000003E-2</v>
      </c>
      <c r="C264" s="1">
        <v>3.5425999999999999E-3</v>
      </c>
      <c r="D264" s="1">
        <v>7.1920999999999999E-3</v>
      </c>
      <c r="E264" s="1">
        <v>5.9046000000000001E-2</v>
      </c>
      <c r="F264" s="1">
        <v>9.8599999999999996E-7</v>
      </c>
      <c r="G264" s="1">
        <v>7.0414000000000003</v>
      </c>
      <c r="H264" s="1">
        <v>9.9754999999999996E-8</v>
      </c>
      <c r="I264" s="1">
        <f t="shared" si="36"/>
        <v>9.9754999999999996E-8</v>
      </c>
      <c r="J264" s="4">
        <f t="shared" si="37"/>
        <v>-3.890756845678314E-9</v>
      </c>
      <c r="K264" s="4">
        <f t="shared" si="38"/>
        <v>-1.3507222304215821E-8</v>
      </c>
      <c r="L264" s="4">
        <f t="shared" si="39"/>
        <v>-9.7281923895461605E-9</v>
      </c>
      <c r="M264" s="4">
        <f t="shared" si="41"/>
        <v>-1.1158743733512083E-8</v>
      </c>
      <c r="N264" s="5">
        <f t="shared" si="42"/>
        <v>4.0279670752113629E-8</v>
      </c>
      <c r="O264" s="5">
        <f t="shared" si="43"/>
        <v>6.9422034515785196E-7</v>
      </c>
      <c r="P264" s="5">
        <f t="shared" si="44"/>
        <v>1.0654999840900345E-6</v>
      </c>
      <c r="Q264" s="1">
        <f t="shared" si="40"/>
        <v>1.8000000000000001E-6</v>
      </c>
    </row>
    <row r="265" spans="1:17" x14ac:dyDescent="0.25">
      <c r="A265" s="1">
        <v>13.15</v>
      </c>
      <c r="B265" s="1">
        <v>5.2000999999999999E-2</v>
      </c>
      <c r="C265" s="1">
        <v>3.5528000000000001E-3</v>
      </c>
      <c r="D265" s="1">
        <v>7.228E-3</v>
      </c>
      <c r="E265" s="1">
        <v>5.8959999999999999E-2</v>
      </c>
      <c r="F265" s="1">
        <v>9.9053999999999992E-7</v>
      </c>
      <c r="G265" s="1">
        <v>7.0406000000000004</v>
      </c>
      <c r="H265" s="1">
        <v>9.9903000000000005E-8</v>
      </c>
      <c r="I265" s="1">
        <f t="shared" si="36"/>
        <v>9.9903000000000005E-8</v>
      </c>
      <c r="J265" s="4">
        <f t="shared" si="37"/>
        <v>-3.9159734786522418E-9</v>
      </c>
      <c r="K265" s="4">
        <f t="shared" si="38"/>
        <v>-1.3537296730578306E-8</v>
      </c>
      <c r="L265" s="4">
        <f t="shared" si="39"/>
        <v>-9.7319844379825148E-9</v>
      </c>
      <c r="M265" s="4">
        <f t="shared" si="41"/>
        <v>-1.1160339845854803E-8</v>
      </c>
      <c r="N265" s="5">
        <f t="shared" si="42"/>
        <v>4.0169009566057177E-8</v>
      </c>
      <c r="O265" s="5">
        <f t="shared" si="43"/>
        <v>6.9575936175178075E-7</v>
      </c>
      <c r="P265" s="5">
        <f t="shared" si="44"/>
        <v>1.0640716286821623E-6</v>
      </c>
      <c r="Q265" s="1">
        <f t="shared" si="40"/>
        <v>1.8000000000000001E-6</v>
      </c>
    </row>
    <row r="266" spans="1:17" x14ac:dyDescent="0.25">
      <c r="A266" s="1">
        <v>13.2</v>
      </c>
      <c r="B266" s="1">
        <v>5.1919E-2</v>
      </c>
      <c r="C266" s="1">
        <v>3.5628999999999999E-3</v>
      </c>
      <c r="D266" s="1">
        <v>7.2637999999999999E-3</v>
      </c>
      <c r="E266" s="1">
        <v>5.8874000000000003E-2</v>
      </c>
      <c r="F266" s="1">
        <v>9.9507000000000003E-7</v>
      </c>
      <c r="G266" s="1">
        <v>7.0399000000000003</v>
      </c>
      <c r="H266" s="1">
        <v>1.0005E-7</v>
      </c>
      <c r="I266" s="1">
        <f t="shared" si="36"/>
        <v>1.0005E-7</v>
      </c>
      <c r="J266" s="4">
        <f t="shared" si="37"/>
        <v>-3.9412606694003011E-9</v>
      </c>
      <c r="K266" s="4">
        <f t="shared" si="38"/>
        <v>-1.3567307554159434E-8</v>
      </c>
      <c r="L266" s="4">
        <f t="shared" si="39"/>
        <v>-9.7357343028201118E-9</v>
      </c>
      <c r="M266" s="4">
        <f t="shared" si="41"/>
        <v>-1.1161914531624339E-8</v>
      </c>
      <c r="N266" s="5">
        <f t="shared" si="42"/>
        <v>4.0059322147996196E-8</v>
      </c>
      <c r="O266" s="5">
        <f t="shared" si="43"/>
        <v>6.9729522939864603E-7</v>
      </c>
      <c r="P266" s="5">
        <f t="shared" si="44"/>
        <v>1.0626454484533582E-6</v>
      </c>
      <c r="Q266" s="1">
        <f t="shared" si="40"/>
        <v>1.8000000000000006E-6</v>
      </c>
    </row>
    <row r="267" spans="1:17" x14ac:dyDescent="0.25">
      <c r="A267" s="1">
        <v>13.25</v>
      </c>
      <c r="B267" s="1">
        <v>5.1837000000000001E-2</v>
      </c>
      <c r="C267" s="1">
        <v>3.5731000000000001E-3</v>
      </c>
      <c r="D267" s="1">
        <v>7.2995999999999998E-3</v>
      </c>
      <c r="E267" s="1">
        <v>5.8788E-2</v>
      </c>
      <c r="F267" s="1">
        <v>9.9959999999999992E-7</v>
      </c>
      <c r="G267" s="1">
        <v>7.0391000000000004</v>
      </c>
      <c r="H267" s="1">
        <v>1.002E-7</v>
      </c>
      <c r="I267" s="1">
        <f t="shared" si="36"/>
        <v>1.002E-7</v>
      </c>
      <c r="J267" s="4">
        <f t="shared" si="37"/>
        <v>-3.9665310869436392E-9</v>
      </c>
      <c r="K267" s="4">
        <f t="shared" si="38"/>
        <v>-1.3597256973273791E-8</v>
      </c>
      <c r="L267" s="4">
        <f t="shared" si="39"/>
        <v>-9.7393252488044782E-9</v>
      </c>
      <c r="M267" s="4">
        <f t="shared" si="41"/>
        <v>-1.1163356097364798E-8</v>
      </c>
      <c r="N267" s="5">
        <f t="shared" si="42"/>
        <v>3.9950722785521867E-8</v>
      </c>
      <c r="O267" s="5">
        <f t="shared" si="43"/>
        <v>6.9882785960968069E-7</v>
      </c>
      <c r="P267" s="5">
        <f t="shared" si="44"/>
        <v>1.0612214176047978E-6</v>
      </c>
      <c r="Q267" s="1">
        <f t="shared" si="40"/>
        <v>1.8000000000000003E-6</v>
      </c>
    </row>
    <row r="268" spans="1:17" x14ac:dyDescent="0.25">
      <c r="A268" s="1">
        <v>13.3</v>
      </c>
      <c r="B268" s="1">
        <v>5.1756000000000003E-2</v>
      </c>
      <c r="C268" s="1">
        <v>3.5831000000000001E-3</v>
      </c>
      <c r="D268" s="1">
        <v>7.3353999999999997E-3</v>
      </c>
      <c r="E268" s="1">
        <v>5.8701999999999997E-2</v>
      </c>
      <c r="F268" s="1">
        <v>1.0041000000000001E-6</v>
      </c>
      <c r="G268" s="1">
        <v>7.0384000000000002</v>
      </c>
      <c r="H268" s="1">
        <v>1.0035E-7</v>
      </c>
      <c r="I268" s="1">
        <f t="shared" si="36"/>
        <v>1.0035E-7</v>
      </c>
      <c r="J268" s="4">
        <f t="shared" si="37"/>
        <v>-3.9918768599409655E-9</v>
      </c>
      <c r="K268" s="4">
        <f t="shared" si="38"/>
        <v>-1.3627143262388969E-8</v>
      </c>
      <c r="L268" s="4">
        <f t="shared" si="39"/>
        <v>-9.7428871137972125E-9</v>
      </c>
      <c r="M268" s="4">
        <f t="shared" si="41"/>
        <v>-1.1165110534620237E-8</v>
      </c>
      <c r="N268" s="5">
        <f t="shared" si="42"/>
        <v>3.9843102074172651E-8</v>
      </c>
      <c r="O268" s="5">
        <f t="shared" si="43"/>
        <v>7.0035770374185293E-7</v>
      </c>
      <c r="P268" s="5">
        <f t="shared" si="44"/>
        <v>1.059799194183975E-6</v>
      </c>
      <c r="Q268" s="1">
        <f t="shared" si="40"/>
        <v>1.8000000000000006E-6</v>
      </c>
    </row>
    <row r="269" spans="1:17" x14ac:dyDescent="0.25">
      <c r="A269" s="1">
        <v>13.35</v>
      </c>
      <c r="B269" s="1">
        <v>5.1673999999999998E-2</v>
      </c>
      <c r="C269" s="1">
        <v>3.5931000000000001E-3</v>
      </c>
      <c r="D269" s="1">
        <v>7.3711999999999996E-3</v>
      </c>
      <c r="E269" s="1">
        <v>5.8616000000000001E-2</v>
      </c>
      <c r="F269" s="1">
        <v>1.0086E-6</v>
      </c>
      <c r="G269" s="1">
        <v>7.0377000000000001</v>
      </c>
      <c r="H269" s="1">
        <v>1.0049E-7</v>
      </c>
      <c r="I269" s="1">
        <f t="shared" si="36"/>
        <v>1.0049E-7</v>
      </c>
      <c r="J269" s="4">
        <f t="shared" si="37"/>
        <v>-4.0170485273725879E-9</v>
      </c>
      <c r="K269" s="4">
        <f t="shared" si="38"/>
        <v>-1.3656975222965841E-8</v>
      </c>
      <c r="L269" s="4">
        <f t="shared" si="39"/>
        <v>-9.7461054477977918E-9</v>
      </c>
      <c r="M269" s="4">
        <f t="shared" si="41"/>
        <v>-1.116683915931776E-8</v>
      </c>
      <c r="N269" s="5">
        <f t="shared" si="42"/>
        <v>3.9736923321968108E-8</v>
      </c>
      <c r="O269" s="5">
        <f t="shared" si="43"/>
        <v>7.0188461620557744E-7</v>
      </c>
      <c r="P269" s="5">
        <f t="shared" si="44"/>
        <v>1.0583784604724552E-6</v>
      </c>
      <c r="Q269" s="1">
        <f t="shared" si="40"/>
        <v>1.8000000000000008E-6</v>
      </c>
    </row>
    <row r="270" spans="1:17" x14ac:dyDescent="0.25">
      <c r="A270" s="1">
        <v>13.4</v>
      </c>
      <c r="B270" s="1">
        <v>5.1593E-2</v>
      </c>
      <c r="C270" s="1">
        <v>3.6031000000000001E-3</v>
      </c>
      <c r="D270" s="1">
        <v>7.4069000000000001E-3</v>
      </c>
      <c r="E270" s="1">
        <v>5.8531E-2</v>
      </c>
      <c r="F270" s="1">
        <v>1.0131000000000001E-6</v>
      </c>
      <c r="G270" s="1">
        <v>7.0369000000000002</v>
      </c>
      <c r="H270" s="1">
        <v>1.0064000000000001E-7</v>
      </c>
      <c r="I270" s="1">
        <f t="shared" si="36"/>
        <v>1.0064000000000001E-7</v>
      </c>
      <c r="J270" s="4">
        <f t="shared" si="37"/>
        <v>-4.0423337345955424E-9</v>
      </c>
      <c r="K270" s="4">
        <f t="shared" si="38"/>
        <v>-1.3686750016008954E-8</v>
      </c>
      <c r="L270" s="4">
        <f t="shared" si="39"/>
        <v>-9.7493907582417909E-9</v>
      </c>
      <c r="M270" s="4">
        <f t="shared" si="41"/>
        <v>-1.1167427406752246E-8</v>
      </c>
      <c r="N270" s="5">
        <f t="shared" si="42"/>
        <v>3.9631948845139726E-8</v>
      </c>
      <c r="O270" s="5">
        <f t="shared" si="43"/>
        <v>7.0340762733091623E-7</v>
      </c>
      <c r="P270" s="5">
        <f t="shared" si="44"/>
        <v>1.0569604238239446E-6</v>
      </c>
      <c r="Q270" s="1">
        <f t="shared" si="40"/>
        <v>1.8000000000000006E-6</v>
      </c>
    </row>
    <row r="271" spans="1:17" x14ac:dyDescent="0.25">
      <c r="A271" s="1">
        <v>13.45</v>
      </c>
      <c r="B271" s="1">
        <v>5.1511000000000001E-2</v>
      </c>
      <c r="C271" s="1">
        <v>3.6129999999999999E-3</v>
      </c>
      <c r="D271" s="1">
        <v>7.4427E-3</v>
      </c>
      <c r="E271" s="1">
        <v>5.8444999999999997E-2</v>
      </c>
      <c r="F271" s="1">
        <v>1.0177E-6</v>
      </c>
      <c r="G271" s="1">
        <v>7.0362</v>
      </c>
      <c r="H271" s="1">
        <v>1.0079E-7</v>
      </c>
      <c r="I271" s="1">
        <f t="shared" si="36"/>
        <v>1.0079E-7</v>
      </c>
      <c r="J271" s="4">
        <f t="shared" si="37"/>
        <v>-4.0677107143622849E-9</v>
      </c>
      <c r="K271" s="4">
        <f t="shared" si="38"/>
        <v>-1.3716448732952575E-8</v>
      </c>
      <c r="L271" s="4">
        <f t="shared" si="39"/>
        <v>-9.7528553910048988E-9</v>
      </c>
      <c r="M271" s="4">
        <f t="shared" si="41"/>
        <v>-1.1169112190632151E-8</v>
      </c>
      <c r="N271" s="5">
        <f t="shared" si="42"/>
        <v>3.9527831472725121E-8</v>
      </c>
      <c r="O271" s="5">
        <f t="shared" si="43"/>
        <v>7.0492800150295805E-7</v>
      </c>
      <c r="P271" s="5">
        <f t="shared" si="44"/>
        <v>1.0555441670243174E-6</v>
      </c>
      <c r="Q271" s="1">
        <f t="shared" si="40"/>
        <v>1.8000000000000006E-6</v>
      </c>
    </row>
    <row r="272" spans="1:17" x14ac:dyDescent="0.25">
      <c r="A272" s="1">
        <v>13.5</v>
      </c>
      <c r="B272" s="1">
        <v>5.1429999999999997E-2</v>
      </c>
      <c r="C272" s="1">
        <v>3.6229000000000001E-3</v>
      </c>
      <c r="D272" s="1">
        <v>7.4783999999999996E-3</v>
      </c>
      <c r="E272" s="1">
        <v>5.8359000000000001E-2</v>
      </c>
      <c r="F272" s="1">
        <v>1.0221999999999999E-6</v>
      </c>
      <c r="G272" s="1">
        <v>7.0354999999999999</v>
      </c>
      <c r="H272" s="1">
        <v>1.0094E-7</v>
      </c>
      <c r="I272" s="1">
        <f t="shared" si="36"/>
        <v>1.0094E-7</v>
      </c>
      <c r="J272" s="4">
        <f t="shared" si="37"/>
        <v>-4.0939500381182271E-9</v>
      </c>
      <c r="K272" s="4">
        <f t="shared" si="38"/>
        <v>-1.3746096029307876E-8</v>
      </c>
      <c r="L272" s="4">
        <f t="shared" si="39"/>
        <v>-9.757043101188483E-9</v>
      </c>
      <c r="M272" s="4">
        <f t="shared" si="41"/>
        <v>-1.1170771142410158E-8</v>
      </c>
      <c r="N272" s="5">
        <f t="shared" si="42"/>
        <v>3.9422934362726283E-8</v>
      </c>
      <c r="O272" s="5">
        <f t="shared" si="43"/>
        <v>7.0644662665417855E-7</v>
      </c>
      <c r="P272" s="5">
        <f t="shared" si="44"/>
        <v>1.0541304389830957E-6</v>
      </c>
      <c r="Q272" s="1">
        <f t="shared" si="40"/>
        <v>1.8000000000000006E-6</v>
      </c>
    </row>
    <row r="273" spans="1:17" x14ac:dyDescent="0.25">
      <c r="A273" s="1">
        <v>13.55</v>
      </c>
      <c r="B273" s="1">
        <v>5.1348999999999999E-2</v>
      </c>
      <c r="C273" s="1">
        <v>3.6327E-3</v>
      </c>
      <c r="D273" s="1">
        <v>7.5141000000000001E-3</v>
      </c>
      <c r="E273" s="1">
        <v>5.8272999999999998E-2</v>
      </c>
      <c r="F273" s="1">
        <v>1.0266E-6</v>
      </c>
      <c r="G273" s="1">
        <v>7.0347</v>
      </c>
      <c r="H273" s="1">
        <v>1.0108E-7</v>
      </c>
      <c r="I273" s="1">
        <f t="shared" si="36"/>
        <v>1.0108E-7</v>
      </c>
      <c r="J273" s="4">
        <f t="shared" si="37"/>
        <v>-4.1192741847403243E-9</v>
      </c>
      <c r="K273" s="4">
        <f t="shared" si="38"/>
        <v>-1.3775709219756678E-8</v>
      </c>
      <c r="L273" s="4">
        <f t="shared" si="39"/>
        <v>-9.7597964870977434E-9</v>
      </c>
      <c r="M273" s="4">
        <f t="shared" si="41"/>
        <v>-1.1172412283650297E-8</v>
      </c>
      <c r="N273" s="5">
        <f t="shared" si="42"/>
        <v>3.931957291064489E-8</v>
      </c>
      <c r="O273" s="5">
        <f t="shared" si="43"/>
        <v>7.0796260390281252E-7</v>
      </c>
      <c r="P273" s="5">
        <f t="shared" si="44"/>
        <v>1.0527178231865432E-6</v>
      </c>
      <c r="Q273" s="1">
        <f t="shared" si="40"/>
        <v>1.8000000000000006E-6</v>
      </c>
    </row>
    <row r="274" spans="1:17" x14ac:dyDescent="0.25">
      <c r="A274" s="1">
        <v>13.6</v>
      </c>
      <c r="B274" s="1">
        <v>5.1268000000000001E-2</v>
      </c>
      <c r="C274" s="1">
        <v>3.6424999999999999E-3</v>
      </c>
      <c r="D274" s="1">
        <v>7.5499E-3</v>
      </c>
      <c r="E274" s="1">
        <v>5.8187999999999997E-2</v>
      </c>
      <c r="F274" s="1">
        <v>1.0311E-6</v>
      </c>
      <c r="G274" s="1">
        <v>7.0339999999999998</v>
      </c>
      <c r="H274" s="1">
        <v>1.0123E-7</v>
      </c>
      <c r="I274" s="1">
        <f t="shared" si="36"/>
        <v>1.0123E-7</v>
      </c>
      <c r="J274" s="4">
        <f t="shared" si="37"/>
        <v>-4.1439195146498978E-9</v>
      </c>
      <c r="K274" s="4">
        <f t="shared" si="38"/>
        <v>-1.3805270776104551E-8</v>
      </c>
      <c r="L274" s="4">
        <f t="shared" si="39"/>
        <v>-9.7617015467597201E-9</v>
      </c>
      <c r="M274" s="4">
        <f t="shared" si="41"/>
        <v>-1.1172915344607819E-8</v>
      </c>
      <c r="N274" s="5">
        <f t="shared" si="42"/>
        <v>3.9219222625339821E-8</v>
      </c>
      <c r="O274" s="5">
        <f t="shared" si="43"/>
        <v>7.0947416798596566E-7</v>
      </c>
      <c r="P274" s="5">
        <f t="shared" si="44"/>
        <v>1.0513066093886951E-6</v>
      </c>
      <c r="Q274" s="1">
        <f t="shared" si="40"/>
        <v>1.8000000000000006E-6</v>
      </c>
    </row>
    <row r="275" spans="1:17" x14ac:dyDescent="0.25">
      <c r="A275" s="1">
        <v>13.65</v>
      </c>
      <c r="B275" s="1">
        <v>5.1186000000000002E-2</v>
      </c>
      <c r="C275" s="1">
        <v>3.6522E-3</v>
      </c>
      <c r="D275" s="1">
        <v>7.5855999999999996E-3</v>
      </c>
      <c r="E275" s="1">
        <v>5.8102000000000001E-2</v>
      </c>
      <c r="F275" s="1">
        <v>1.0356000000000001E-6</v>
      </c>
      <c r="G275" s="1">
        <v>7.0332999999999997</v>
      </c>
      <c r="H275" s="1">
        <v>1.0138E-7</v>
      </c>
      <c r="I275" s="1">
        <f t="shared" si="36"/>
        <v>1.0138E-7</v>
      </c>
      <c r="J275" s="4">
        <f t="shared" si="37"/>
        <v>-4.1696591496951997E-9</v>
      </c>
      <c r="K275" s="4">
        <f t="shared" si="38"/>
        <v>-1.3834746275726527E-8</v>
      </c>
      <c r="L275" s="4">
        <f t="shared" si="39"/>
        <v>-9.7652034274098228E-9</v>
      </c>
      <c r="M275" s="4">
        <f t="shared" si="41"/>
        <v>-1.1174495647184007E-8</v>
      </c>
      <c r="N275" s="5">
        <f t="shared" si="42"/>
        <v>3.9119106323961325E-8</v>
      </c>
      <c r="O275" s="5">
        <f t="shared" si="43"/>
        <v>7.1098357650711839E-7</v>
      </c>
      <c r="P275" s="5">
        <f t="shared" si="44"/>
        <v>1.049897317168921E-6</v>
      </c>
      <c r="Q275" s="1">
        <f t="shared" si="40"/>
        <v>1.8000000000000008E-6</v>
      </c>
    </row>
    <row r="276" spans="1:17" x14ac:dyDescent="0.25">
      <c r="A276" s="1">
        <v>13.7</v>
      </c>
      <c r="B276" s="1">
        <v>5.1104999999999998E-2</v>
      </c>
      <c r="C276" s="1">
        <v>3.6619000000000001E-3</v>
      </c>
      <c r="D276" s="1">
        <v>7.6211999999999998E-3</v>
      </c>
      <c r="E276" s="1">
        <v>5.8016999999999999E-2</v>
      </c>
      <c r="F276" s="1">
        <v>1.0401E-6</v>
      </c>
      <c r="G276" s="1">
        <v>7.0324999999999998</v>
      </c>
      <c r="H276" s="1">
        <v>1.0153E-7</v>
      </c>
      <c r="I276" s="1">
        <f t="shared" si="36"/>
        <v>1.0153E-7</v>
      </c>
      <c r="J276" s="4">
        <f t="shared" si="37"/>
        <v>-4.1953964684817216E-9</v>
      </c>
      <c r="K276" s="4">
        <f t="shared" si="38"/>
        <v>-1.3864179741888513E-8</v>
      </c>
      <c r="L276" s="4">
        <f t="shared" si="39"/>
        <v>-9.7683260070361007E-9</v>
      </c>
      <c r="M276" s="4">
        <f t="shared" si="41"/>
        <v>-1.1176051951531208E-8</v>
      </c>
      <c r="N276" s="5">
        <f t="shared" si="42"/>
        <v>3.9019563590332013E-8</v>
      </c>
      <c r="O276" s="5">
        <f t="shared" si="43"/>
        <v>7.1249084518524292E-7</v>
      </c>
      <c r="P276" s="5">
        <f t="shared" si="44"/>
        <v>1.0484895912244259E-6</v>
      </c>
      <c r="Q276" s="1">
        <f t="shared" si="40"/>
        <v>1.8000000000000008E-6</v>
      </c>
    </row>
    <row r="277" spans="1:17" x14ac:dyDescent="0.25">
      <c r="A277" s="1">
        <v>13.75</v>
      </c>
      <c r="B277" s="1">
        <v>5.1025000000000001E-2</v>
      </c>
      <c r="C277" s="1">
        <v>3.6714999999999999E-3</v>
      </c>
      <c r="D277" s="1">
        <v>7.6569000000000003E-3</v>
      </c>
      <c r="E277" s="1">
        <v>5.7931000000000003E-2</v>
      </c>
      <c r="F277" s="1">
        <v>1.0445999999999999E-6</v>
      </c>
      <c r="G277" s="1">
        <v>7.0317999999999996</v>
      </c>
      <c r="H277" s="1">
        <v>1.0167E-7</v>
      </c>
      <c r="I277" s="1">
        <f t="shared" si="36"/>
        <v>1.0167E-7</v>
      </c>
      <c r="J277" s="4">
        <f t="shared" si="37"/>
        <v>-4.2211676438726132E-9</v>
      </c>
      <c r="K277" s="4">
        <f t="shared" si="38"/>
        <v>-1.3893571481112433E-8</v>
      </c>
      <c r="L277" s="4">
        <f t="shared" si="39"/>
        <v>-9.7714917340391603E-9</v>
      </c>
      <c r="M277" s="4">
        <f t="shared" si="41"/>
        <v>-1.1177580560686833E-8</v>
      </c>
      <c r="N277" s="5">
        <f t="shared" si="42"/>
        <v>3.892047569353268E-8</v>
      </c>
      <c r="O277" s="5">
        <f t="shared" si="43"/>
        <v>7.1399602190868999E-7</v>
      </c>
      <c r="P277" s="5">
        <f t="shared" si="44"/>
        <v>1.0470835023977781E-6</v>
      </c>
      <c r="Q277" s="1">
        <f t="shared" si="40"/>
        <v>1.8000000000000008E-6</v>
      </c>
    </row>
    <row r="278" spans="1:17" x14ac:dyDescent="0.25">
      <c r="A278" s="1">
        <v>13.8</v>
      </c>
      <c r="B278" s="1">
        <v>5.0944000000000003E-2</v>
      </c>
      <c r="C278" s="1">
        <v>3.6811000000000001E-3</v>
      </c>
      <c r="D278" s="1">
        <v>7.6926E-3</v>
      </c>
      <c r="E278" s="1">
        <v>5.7846000000000002E-2</v>
      </c>
      <c r="F278" s="1">
        <v>1.049E-6</v>
      </c>
      <c r="G278" s="1">
        <v>7.0311000000000003</v>
      </c>
      <c r="H278" s="1">
        <v>1.0181999999999999E-7</v>
      </c>
      <c r="I278" s="1">
        <f t="shared" si="36"/>
        <v>1.0181999999999999E-7</v>
      </c>
      <c r="J278" s="4">
        <f t="shared" si="37"/>
        <v>-4.246960117882694E-9</v>
      </c>
      <c r="K278" s="4">
        <f t="shared" si="38"/>
        <v>-1.3922922427219652E-8</v>
      </c>
      <c r="L278" s="4">
        <f t="shared" si="39"/>
        <v>-9.7743364287249553E-9</v>
      </c>
      <c r="M278" s="4">
        <f t="shared" si="41"/>
        <v>-1.117798286732228E-8</v>
      </c>
      <c r="N278" s="5">
        <f t="shared" si="42"/>
        <v>3.8822101574144684E-8</v>
      </c>
      <c r="O278" s="5">
        <f t="shared" si="43"/>
        <v>7.1549804246667541E-7</v>
      </c>
      <c r="P278" s="5">
        <f t="shared" si="44"/>
        <v>1.0456798559591808E-6</v>
      </c>
      <c r="Q278" s="1">
        <f t="shared" si="40"/>
        <v>1.800000000000001E-6</v>
      </c>
    </row>
    <row r="279" spans="1:17" x14ac:dyDescent="0.25">
      <c r="A279" s="1">
        <v>13.85</v>
      </c>
      <c r="B279" s="1">
        <v>5.0862999999999998E-2</v>
      </c>
      <c r="C279" s="1">
        <v>3.6906E-3</v>
      </c>
      <c r="D279" s="1">
        <v>7.7282000000000002E-3</v>
      </c>
      <c r="E279" s="1">
        <v>5.7761E-2</v>
      </c>
      <c r="F279" s="1">
        <v>1.0535E-6</v>
      </c>
      <c r="G279" s="1">
        <v>7.0304000000000002</v>
      </c>
      <c r="H279" s="1">
        <v>1.0197000000000001E-7</v>
      </c>
      <c r="I279" s="1">
        <f t="shared" si="36"/>
        <v>1.0197000000000001E-7</v>
      </c>
      <c r="J279" s="4">
        <f t="shared" si="37"/>
        <v>-4.2719879394289474E-9</v>
      </c>
      <c r="K279" s="4">
        <f t="shared" si="38"/>
        <v>-1.3952211828099872E-8</v>
      </c>
      <c r="L279" s="4">
        <f t="shared" si="39"/>
        <v>-9.77633240732563E-9</v>
      </c>
      <c r="M279" s="4">
        <f t="shared" si="41"/>
        <v>-1.1179467908044961E-8</v>
      </c>
      <c r="N279" s="5">
        <f t="shared" si="42"/>
        <v>3.8725993055489975E-8</v>
      </c>
      <c r="O279" s="5">
        <f t="shared" si="43"/>
        <v>7.169972864860494E-7</v>
      </c>
      <c r="P279" s="5">
        <f t="shared" si="44"/>
        <v>1.0442767204584616E-6</v>
      </c>
      <c r="Q279" s="1">
        <f t="shared" si="40"/>
        <v>1.800000000000001E-6</v>
      </c>
    </row>
    <row r="280" spans="1:17" x14ac:dyDescent="0.25">
      <c r="A280" s="1">
        <v>13.9</v>
      </c>
      <c r="B280" s="1">
        <v>5.0782000000000001E-2</v>
      </c>
      <c r="C280" s="1">
        <v>3.7001E-3</v>
      </c>
      <c r="D280" s="1">
        <v>7.7638999999999998E-3</v>
      </c>
      <c r="E280" s="1">
        <v>5.7674999999999997E-2</v>
      </c>
      <c r="F280" s="1">
        <v>1.0579000000000001E-6</v>
      </c>
      <c r="G280" s="1">
        <v>7.0297000000000001</v>
      </c>
      <c r="H280" s="1">
        <v>1.0211000000000001E-7</v>
      </c>
      <c r="I280" s="1">
        <f t="shared" si="36"/>
        <v>1.0211000000000001E-7</v>
      </c>
      <c r="J280" s="4">
        <f t="shared" si="37"/>
        <v>-4.2980517786051081E-9</v>
      </c>
      <c r="K280" s="4">
        <f t="shared" si="38"/>
        <v>-1.3981447086478161E-8</v>
      </c>
      <c r="L280" s="4">
        <f t="shared" si="39"/>
        <v>-9.7795732363895613E-9</v>
      </c>
      <c r="M280" s="4">
        <f t="shared" si="41"/>
        <v>-1.118091420444084E-8</v>
      </c>
      <c r="N280" s="5">
        <f t="shared" si="42"/>
        <v>3.8629815126973461E-8</v>
      </c>
      <c r="O280" s="5">
        <f t="shared" si="43"/>
        <v>7.1849480538261715E-7</v>
      </c>
      <c r="P280" s="5">
        <f t="shared" si="44"/>
        <v>1.0428753794904102E-6</v>
      </c>
      <c r="Q280" s="1">
        <f t="shared" si="40"/>
        <v>1.800000000000001E-6</v>
      </c>
    </row>
    <row r="281" spans="1:17" x14ac:dyDescent="0.25">
      <c r="A281" s="1">
        <v>13.95</v>
      </c>
      <c r="B281" s="1">
        <v>5.0701999999999997E-2</v>
      </c>
      <c r="C281" s="1">
        <v>3.7095000000000001E-3</v>
      </c>
      <c r="D281" s="1">
        <v>7.7995E-3</v>
      </c>
      <c r="E281" s="1">
        <v>5.7590000000000002E-2</v>
      </c>
      <c r="F281" s="1">
        <v>1.0624E-6</v>
      </c>
      <c r="G281" s="1">
        <v>7.0289000000000001</v>
      </c>
      <c r="H281" s="1">
        <v>1.0226E-7</v>
      </c>
      <c r="I281" s="1">
        <f t="shared" si="36"/>
        <v>1.0226E-7</v>
      </c>
      <c r="J281" s="4">
        <f t="shared" si="37"/>
        <v>-4.323265069720589E-9</v>
      </c>
      <c r="K281" s="4">
        <f t="shared" si="38"/>
        <v>-1.4010648704960736E-8</v>
      </c>
      <c r="L281" s="4">
        <f t="shared" si="39"/>
        <v>-9.781443411654787E-9</v>
      </c>
      <c r="M281" s="4">
        <f t="shared" si="41"/>
        <v>-1.1181240524975172E-8</v>
      </c>
      <c r="N281" s="5">
        <f t="shared" si="42"/>
        <v>3.8535755350558819E-8</v>
      </c>
      <c r="O281" s="5">
        <f t="shared" si="43"/>
        <v>7.1998866227235216E-7</v>
      </c>
      <c r="P281" s="5">
        <f t="shared" si="44"/>
        <v>1.0414755823770898E-6</v>
      </c>
      <c r="Q281" s="1">
        <f t="shared" si="40"/>
        <v>1.8000000000000008E-6</v>
      </c>
    </row>
    <row r="282" spans="1:17" x14ac:dyDescent="0.25">
      <c r="A282" s="1">
        <v>14</v>
      </c>
      <c r="B282" s="1">
        <v>5.0620999999999999E-2</v>
      </c>
      <c r="C282" s="1">
        <v>3.7188999999999998E-3</v>
      </c>
      <c r="D282" s="1">
        <v>7.8350999999999994E-3</v>
      </c>
      <c r="E282" s="1">
        <v>5.7505000000000001E-2</v>
      </c>
      <c r="F282" s="1">
        <v>1.0668000000000001E-6</v>
      </c>
      <c r="G282" s="1">
        <v>7.0282</v>
      </c>
      <c r="H282" s="1">
        <v>1.0241E-7</v>
      </c>
      <c r="I282" s="1">
        <f t="shared" si="36"/>
        <v>1.0241E-7</v>
      </c>
      <c r="J282" s="4">
        <f t="shared" si="37"/>
        <v>-4.3495066601062967E-9</v>
      </c>
      <c r="K282" s="4">
        <f t="shared" si="38"/>
        <v>-1.4039778914311066E-8</v>
      </c>
      <c r="L282" s="4">
        <f t="shared" si="39"/>
        <v>-9.7846909592000644E-9</v>
      </c>
      <c r="M282" s="4">
        <f t="shared" si="41"/>
        <v>-1.1182635770657686E-8</v>
      </c>
      <c r="N282" s="5">
        <f t="shared" si="42"/>
        <v>3.8441336645563522E-8</v>
      </c>
      <c r="O282" s="5">
        <f t="shared" si="43"/>
        <v>7.2148102578880513E-7</v>
      </c>
      <c r="P282" s="5">
        <f t="shared" si="44"/>
        <v>1.0400776375656322E-6</v>
      </c>
      <c r="Q282" s="1">
        <f t="shared" si="40"/>
        <v>1.800000000000001E-6</v>
      </c>
    </row>
    <row r="283" spans="1:17" x14ac:dyDescent="0.25">
      <c r="A283" s="1">
        <v>14.05</v>
      </c>
      <c r="B283" s="1">
        <v>5.0541000000000003E-2</v>
      </c>
      <c r="C283" s="1">
        <v>3.7282000000000001E-3</v>
      </c>
      <c r="D283" s="1">
        <v>7.8706999999999996E-3</v>
      </c>
      <c r="E283" s="1">
        <v>5.7419999999999999E-2</v>
      </c>
      <c r="F283" s="1">
        <v>1.0713E-6</v>
      </c>
      <c r="G283" s="1">
        <v>7.0274999999999999</v>
      </c>
      <c r="H283" s="1">
        <v>1.0256E-7</v>
      </c>
      <c r="I283" s="1">
        <f t="shared" si="36"/>
        <v>1.0256E-7</v>
      </c>
      <c r="J283" s="4">
        <f t="shared" si="37"/>
        <v>-4.3748633691444738E-9</v>
      </c>
      <c r="K283" s="4">
        <f t="shared" si="38"/>
        <v>-1.40688800028819E-8</v>
      </c>
      <c r="L283" s="4">
        <f t="shared" si="39"/>
        <v>-9.7866755706506337E-9</v>
      </c>
      <c r="M283" s="4">
        <f t="shared" si="41"/>
        <v>-1.118400684062528E-8</v>
      </c>
      <c r="N283" s="5">
        <f t="shared" si="42"/>
        <v>3.834867770865031E-8</v>
      </c>
      <c r="O283" s="5">
        <f t="shared" si="43"/>
        <v>7.2297101599569294E-7</v>
      </c>
      <c r="P283" s="5">
        <f t="shared" si="44"/>
        <v>1.0386803062956575E-6</v>
      </c>
      <c r="Q283" s="1">
        <f t="shared" si="40"/>
        <v>1.8000000000000008E-6</v>
      </c>
    </row>
    <row r="284" spans="1:17" x14ac:dyDescent="0.25">
      <c r="A284" s="1">
        <v>14.1</v>
      </c>
      <c r="B284" s="1">
        <v>5.0459999999999998E-2</v>
      </c>
      <c r="C284" s="1">
        <v>3.7374999999999999E-3</v>
      </c>
      <c r="D284" s="1">
        <v>7.9062999999999998E-3</v>
      </c>
      <c r="E284" s="1">
        <v>5.7334999999999997E-2</v>
      </c>
      <c r="F284" s="1">
        <v>1.0756999999999999E-6</v>
      </c>
      <c r="G284" s="1">
        <v>7.0267999999999997</v>
      </c>
      <c r="H284" s="1">
        <v>1.027E-7</v>
      </c>
      <c r="I284" s="1">
        <f t="shared" si="36"/>
        <v>1.027E-7</v>
      </c>
      <c r="J284" s="4">
        <f t="shared" si="37"/>
        <v>-4.4012151939283594E-9</v>
      </c>
      <c r="K284" s="4">
        <f t="shared" si="38"/>
        <v>-1.4097934811915711E-8</v>
      </c>
      <c r="L284" s="4">
        <f t="shared" si="39"/>
        <v>-9.7897766471275138E-9</v>
      </c>
      <c r="M284" s="4">
        <f t="shared" si="41"/>
        <v>-1.1185340482436439E-8</v>
      </c>
      <c r="N284" s="5">
        <f t="shared" si="42"/>
        <v>3.8255620679510152E-8</v>
      </c>
      <c r="O284" s="5">
        <f t="shared" si="43"/>
        <v>7.2445963686014207E-7</v>
      </c>
      <c r="P284" s="5">
        <f t="shared" si="44"/>
        <v>1.0372847424603486E-6</v>
      </c>
      <c r="Q284" s="1">
        <f t="shared" si="40"/>
        <v>1.8000000000000008E-6</v>
      </c>
    </row>
    <row r="285" spans="1:17" x14ac:dyDescent="0.25">
      <c r="A285" s="1">
        <v>14.15</v>
      </c>
      <c r="B285" s="1">
        <v>5.0380000000000001E-2</v>
      </c>
      <c r="C285" s="1">
        <v>3.7466999999999999E-3</v>
      </c>
      <c r="D285" s="1">
        <v>7.9418000000000006E-3</v>
      </c>
      <c r="E285" s="1">
        <v>5.7250000000000002E-2</v>
      </c>
      <c r="F285" s="1">
        <v>1.0801E-6</v>
      </c>
      <c r="G285" s="1">
        <v>7.0260999999999996</v>
      </c>
      <c r="H285" s="1">
        <v>1.0285E-7</v>
      </c>
      <c r="I285" s="1">
        <f t="shared" si="36"/>
        <v>1.0285E-7</v>
      </c>
      <c r="J285" s="4">
        <f t="shared" si="37"/>
        <v>-4.4266745102136343E-9</v>
      </c>
      <c r="K285" s="4">
        <f t="shared" si="38"/>
        <v>-1.4126962918772971E-8</v>
      </c>
      <c r="L285" s="4">
        <f t="shared" si="39"/>
        <v>-9.7916151308809095E-9</v>
      </c>
      <c r="M285" s="4">
        <f t="shared" si="41"/>
        <v>-1.1185560020321327E-8</v>
      </c>
      <c r="N285" s="5">
        <f t="shared" si="42"/>
        <v>3.8164293957188577E-8</v>
      </c>
      <c r="O285" s="5">
        <f t="shared" si="43"/>
        <v>7.2594490847190404E-7</v>
      </c>
      <c r="P285" s="5">
        <f t="shared" si="44"/>
        <v>1.0358907975709081E-6</v>
      </c>
      <c r="Q285" s="1">
        <f t="shared" si="40"/>
        <v>1.8000000000000008E-6</v>
      </c>
    </row>
    <row r="286" spans="1:17" x14ac:dyDescent="0.25">
      <c r="A286" s="1">
        <v>14.2</v>
      </c>
      <c r="B286" s="1">
        <v>5.0299999999999997E-2</v>
      </c>
      <c r="C286" s="1">
        <v>3.7559E-3</v>
      </c>
      <c r="D286" s="1">
        <v>7.9774000000000008E-3</v>
      </c>
      <c r="E286" s="1">
        <v>5.7165000000000001E-2</v>
      </c>
      <c r="F286" s="1">
        <v>1.0845E-6</v>
      </c>
      <c r="G286" s="1">
        <v>7.0254000000000003</v>
      </c>
      <c r="H286" s="1">
        <v>1.0299E-7</v>
      </c>
      <c r="I286" s="1">
        <f t="shared" si="36"/>
        <v>1.0299E-7</v>
      </c>
      <c r="J286" s="4">
        <f t="shared" si="37"/>
        <v>-4.4523076340801502E-9</v>
      </c>
      <c r="K286" s="4">
        <f t="shared" si="38"/>
        <v>-1.4155925715201828E-8</v>
      </c>
      <c r="L286" s="4">
        <f t="shared" si="39"/>
        <v>-9.7936546617166724E-9</v>
      </c>
      <c r="M286" s="4">
        <f t="shared" si="41"/>
        <v>-1.1186843695667391E-8</v>
      </c>
      <c r="N286" s="5">
        <f t="shared" si="42"/>
        <v>3.8074257376593581E-8</v>
      </c>
      <c r="O286" s="5">
        <f t="shared" si="43"/>
        <v>7.2742813408644988E-7</v>
      </c>
      <c r="P286" s="5">
        <f t="shared" si="44"/>
        <v>1.0344976085369575E-6</v>
      </c>
      <c r="Q286" s="1">
        <f t="shared" si="40"/>
        <v>1.800000000000001E-6</v>
      </c>
    </row>
    <row r="287" spans="1:17" x14ac:dyDescent="0.25">
      <c r="A287" s="1">
        <v>14.25</v>
      </c>
      <c r="B287" s="1">
        <v>5.0219E-2</v>
      </c>
      <c r="C287" s="1">
        <v>3.7650000000000001E-3</v>
      </c>
      <c r="D287" s="1">
        <v>8.0128999999999999E-3</v>
      </c>
      <c r="E287" s="1">
        <v>5.7079999999999999E-2</v>
      </c>
      <c r="F287" s="1">
        <v>1.0890000000000001E-6</v>
      </c>
      <c r="G287" s="1">
        <v>7.0247000000000002</v>
      </c>
      <c r="H287" s="1">
        <v>1.0314E-7</v>
      </c>
      <c r="I287" s="1">
        <f t="shared" si="36"/>
        <v>1.0314E-7</v>
      </c>
      <c r="J287" s="4">
        <f t="shared" si="37"/>
        <v>-4.4780666589471745E-9</v>
      </c>
      <c r="K287" s="4">
        <f t="shared" si="38"/>
        <v>-1.4184848614685974E-8</v>
      </c>
      <c r="L287" s="4">
        <f t="shared" si="39"/>
        <v>-9.7957863007714917E-9</v>
      </c>
      <c r="M287" s="4">
        <f t="shared" si="41"/>
        <v>-1.118700541383839E-8</v>
      </c>
      <c r="N287" s="5">
        <f t="shared" si="42"/>
        <v>3.7985253031560895E-8</v>
      </c>
      <c r="O287" s="5">
        <f t="shared" si="43"/>
        <v>7.2890835754454938E-7</v>
      </c>
      <c r="P287" s="5">
        <f t="shared" si="44"/>
        <v>1.0331063894238905E-6</v>
      </c>
      <c r="Q287" s="1">
        <f t="shared" si="40"/>
        <v>1.8000000000000008E-6</v>
      </c>
    </row>
    <row r="288" spans="1:17" x14ac:dyDescent="0.25">
      <c r="A288" s="1">
        <v>14.3</v>
      </c>
      <c r="B288" s="1">
        <v>5.0139000000000003E-2</v>
      </c>
      <c r="C288" s="1">
        <v>3.7740999999999999E-3</v>
      </c>
      <c r="D288" s="1">
        <v>8.0484000000000007E-3</v>
      </c>
      <c r="E288" s="1">
        <v>5.6994999999999997E-2</v>
      </c>
      <c r="F288" s="1">
        <v>1.0934E-6</v>
      </c>
      <c r="G288" s="1">
        <v>7.024</v>
      </c>
      <c r="H288" s="1">
        <v>1.0328999999999999E-7</v>
      </c>
      <c r="I288" s="1">
        <f t="shared" si="36"/>
        <v>1.0328999999999999E-7</v>
      </c>
      <c r="J288" s="4">
        <f t="shared" si="37"/>
        <v>-4.504750926044237E-9</v>
      </c>
      <c r="K288" s="4">
        <f t="shared" si="38"/>
        <v>-1.4213712972118915E-8</v>
      </c>
      <c r="L288" s="4">
        <f t="shared" si="39"/>
        <v>-9.7988467296897238E-9</v>
      </c>
      <c r="M288" s="4">
        <f t="shared" si="41"/>
        <v>-1.1188232265544068E-8</v>
      </c>
      <c r="N288" s="5">
        <f t="shared" si="42"/>
        <v>3.7895368347945843E-8</v>
      </c>
      <c r="O288" s="5">
        <f t="shared" si="43"/>
        <v>7.3038762776401878E-7</v>
      </c>
      <c r="P288" s="5">
        <f t="shared" si="44"/>
        <v>1.0317170038880363E-6</v>
      </c>
      <c r="Q288" s="1">
        <f t="shared" si="40"/>
        <v>1.800000000000001E-6</v>
      </c>
    </row>
    <row r="289" spans="1:17" x14ac:dyDescent="0.25">
      <c r="A289" s="1">
        <v>14.35</v>
      </c>
      <c r="B289" s="1">
        <v>5.0058999999999999E-2</v>
      </c>
      <c r="C289" s="1">
        <v>3.7831000000000002E-3</v>
      </c>
      <c r="D289" s="1">
        <v>8.0839999999999992E-3</v>
      </c>
      <c r="E289" s="1">
        <v>5.6910000000000002E-2</v>
      </c>
      <c r="F289" s="1">
        <v>1.0978000000000001E-6</v>
      </c>
      <c r="G289" s="1">
        <v>7.0232999999999999</v>
      </c>
      <c r="H289" s="1">
        <v>1.0342999999999999E-7</v>
      </c>
      <c r="I289" s="1">
        <f t="shared" si="36"/>
        <v>1.0342999999999999E-7</v>
      </c>
      <c r="J289" s="4">
        <f t="shared" si="37"/>
        <v>-4.5304805674846568E-9</v>
      </c>
      <c r="K289" s="4">
        <f t="shared" si="38"/>
        <v>-1.4242558741398062E-8</v>
      </c>
      <c r="L289" s="4">
        <f t="shared" si="39"/>
        <v>-9.8005411630393275E-9</v>
      </c>
      <c r="M289" s="4">
        <f t="shared" si="41"/>
        <v>-1.1189435179817264E-8</v>
      </c>
      <c r="N289" s="5">
        <f t="shared" si="42"/>
        <v>3.780690535881992E-8</v>
      </c>
      <c r="O289" s="5">
        <f t="shared" si="43"/>
        <v>7.3186498476992263E-7</v>
      </c>
      <c r="P289" s="5">
        <f t="shared" si="44"/>
        <v>1.0303281098712582E-6</v>
      </c>
      <c r="Q289" s="1">
        <f t="shared" si="40"/>
        <v>1.8000000000000008E-6</v>
      </c>
    </row>
    <row r="290" spans="1:17" x14ac:dyDescent="0.25">
      <c r="A290" s="1">
        <v>14.4</v>
      </c>
      <c r="B290" s="1">
        <v>4.9979000000000003E-2</v>
      </c>
      <c r="C290" s="1">
        <v>3.7921000000000001E-3</v>
      </c>
      <c r="D290" s="1">
        <v>8.1195E-3</v>
      </c>
      <c r="E290" s="1">
        <v>5.6825000000000001E-2</v>
      </c>
      <c r="F290" s="1">
        <v>1.1022E-6</v>
      </c>
      <c r="G290" s="1">
        <v>7.0225999999999997</v>
      </c>
      <c r="H290" s="1">
        <v>1.0358000000000001E-7</v>
      </c>
      <c r="I290" s="1">
        <f t="shared" si="36"/>
        <v>1.0358000000000001E-7</v>
      </c>
      <c r="J290" s="4">
        <f t="shared" si="37"/>
        <v>-4.5563553047658006E-9</v>
      </c>
      <c r="K290" s="4">
        <f t="shared" si="38"/>
        <v>-1.4271367203013694E-8</v>
      </c>
      <c r="L290" s="4">
        <f t="shared" si="39"/>
        <v>-9.8023688161415569E-9</v>
      </c>
      <c r="M290" s="4">
        <f t="shared" si="41"/>
        <v>-1.1189517822418503E-8</v>
      </c>
      <c r="N290" s="5">
        <f t="shared" si="42"/>
        <v>3.7719548440926254E-8</v>
      </c>
      <c r="O290" s="5">
        <f t="shared" si="43"/>
        <v>7.3333949069409324E-7</v>
      </c>
      <c r="P290" s="5">
        <f t="shared" si="44"/>
        <v>1.0289409608649811E-6</v>
      </c>
      <c r="Q290" s="1">
        <f t="shared" si="40"/>
        <v>1.8000000000000006E-6</v>
      </c>
    </row>
    <row r="291" spans="1:17" x14ac:dyDescent="0.25">
      <c r="A291" s="1">
        <v>14.45</v>
      </c>
      <c r="B291" s="1">
        <v>4.99E-2</v>
      </c>
      <c r="C291" s="1">
        <v>3.8011E-3</v>
      </c>
      <c r="D291" s="1">
        <v>8.1548999999999996E-3</v>
      </c>
      <c r="E291" s="1">
        <v>5.6739999999999999E-2</v>
      </c>
      <c r="F291" s="1">
        <v>1.1064999999999999E-6</v>
      </c>
      <c r="G291" s="1">
        <v>7.0218999999999996</v>
      </c>
      <c r="H291" s="1">
        <v>1.0373E-7</v>
      </c>
      <c r="I291" s="1">
        <f t="shared" si="36"/>
        <v>1.0373E-7</v>
      </c>
      <c r="J291" s="4">
        <f t="shared" si="37"/>
        <v>-4.5823398790588327E-9</v>
      </c>
      <c r="K291" s="4">
        <f t="shared" si="38"/>
        <v>-1.4300120068534514E-8</v>
      </c>
      <c r="L291" s="4">
        <f t="shared" si="39"/>
        <v>-9.8042512616058845E-9</v>
      </c>
      <c r="M291" s="4">
        <f t="shared" si="41"/>
        <v>-1.1190658996271208E-8</v>
      </c>
      <c r="N291" s="5">
        <f t="shared" si="42"/>
        <v>3.7633077368796052E-8</v>
      </c>
      <c r="O291" s="5">
        <f t="shared" si="43"/>
        <v>7.3481236950088882E-7</v>
      </c>
      <c r="P291" s="5">
        <f t="shared" si="44"/>
        <v>1.0275545531303157E-6</v>
      </c>
      <c r="Q291" s="1">
        <f t="shared" si="40"/>
        <v>1.8000000000000006E-6</v>
      </c>
    </row>
    <row r="292" spans="1:17" x14ac:dyDescent="0.25">
      <c r="A292" s="1">
        <v>14.5</v>
      </c>
      <c r="B292" s="1">
        <v>4.9820000000000003E-2</v>
      </c>
      <c r="C292" s="1">
        <v>3.81E-3</v>
      </c>
      <c r="D292" s="1">
        <v>8.1904000000000005E-3</v>
      </c>
      <c r="E292" s="1">
        <v>5.6655999999999998E-2</v>
      </c>
      <c r="F292" s="1">
        <v>1.1109E-6</v>
      </c>
      <c r="G292" s="1">
        <v>7.0212000000000003</v>
      </c>
      <c r="H292" s="1">
        <v>1.0387E-7</v>
      </c>
      <c r="I292" s="1">
        <f t="shared" si="36"/>
        <v>1.0387E-7</v>
      </c>
      <c r="J292" s="4">
        <f t="shared" si="37"/>
        <v>-4.6075766620136491E-9</v>
      </c>
      <c r="K292" s="4">
        <f t="shared" si="38"/>
        <v>-1.4328841205267535E-8</v>
      </c>
      <c r="L292" s="4">
        <f t="shared" si="39"/>
        <v>-9.8052479365658916E-9</v>
      </c>
      <c r="M292" s="4">
        <f t="shared" si="41"/>
        <v>-1.1191764548601964E-8</v>
      </c>
      <c r="N292" s="5">
        <f t="shared" si="42"/>
        <v>3.7549093975484045E-8</v>
      </c>
      <c r="O292" s="5">
        <f t="shared" si="43"/>
        <v>7.3628286950623682E-7</v>
      </c>
      <c r="P292" s="5">
        <f t="shared" si="44"/>
        <v>1.0261680365182797E-6</v>
      </c>
      <c r="Q292" s="1">
        <f t="shared" si="40"/>
        <v>1.8000000000000006E-6</v>
      </c>
    </row>
    <row r="293" spans="1:17" x14ac:dyDescent="0.25">
      <c r="A293" s="1">
        <v>14.55</v>
      </c>
      <c r="B293" s="1">
        <v>4.9739999999999999E-2</v>
      </c>
      <c r="C293" s="1">
        <v>3.8187999999999998E-3</v>
      </c>
      <c r="D293" s="1">
        <v>8.2258999999999995E-3</v>
      </c>
      <c r="E293" s="1">
        <v>5.6571000000000003E-2</v>
      </c>
      <c r="F293" s="1">
        <v>1.1152999999999999E-6</v>
      </c>
      <c r="G293" s="1">
        <v>7.0205000000000002</v>
      </c>
      <c r="H293" s="1">
        <v>1.0402E-7</v>
      </c>
      <c r="I293" s="1">
        <f t="shared" si="36"/>
        <v>1.0402E-7</v>
      </c>
      <c r="J293" s="4">
        <f t="shared" si="37"/>
        <v>-4.6339292191723683E-9</v>
      </c>
      <c r="K293" s="4">
        <f t="shared" si="38"/>
        <v>-1.4357515955371824E-8</v>
      </c>
      <c r="L293" s="4">
        <f t="shared" si="39"/>
        <v>-9.8077285033930456E-9</v>
      </c>
      <c r="M293" s="4">
        <f t="shared" si="41"/>
        <v>-1.1191747765081299E-8</v>
      </c>
      <c r="N293" s="5">
        <f t="shared" si="42"/>
        <v>3.7464952208290454E-8</v>
      </c>
      <c r="O293" s="5">
        <f t="shared" si="43"/>
        <v>7.3775103053511865E-7</v>
      </c>
      <c r="P293" s="5">
        <f t="shared" si="44"/>
        <v>1.0247840172565915E-6</v>
      </c>
      <c r="Q293" s="1">
        <f t="shared" si="40"/>
        <v>1.8000000000000006E-6</v>
      </c>
    </row>
    <row r="294" spans="1:17" x14ac:dyDescent="0.25">
      <c r="A294" s="1">
        <v>14.6</v>
      </c>
      <c r="B294" s="1">
        <v>4.9660000000000003E-2</v>
      </c>
      <c r="C294" s="1">
        <v>3.8276E-3</v>
      </c>
      <c r="D294" s="1">
        <v>8.2612999999999992E-3</v>
      </c>
      <c r="E294" s="1">
        <v>5.6487000000000002E-2</v>
      </c>
      <c r="F294" s="1">
        <v>1.1197000000000001E-6</v>
      </c>
      <c r="G294" s="1">
        <v>7.0198</v>
      </c>
      <c r="H294" s="1">
        <v>1.0416E-7</v>
      </c>
      <c r="I294" s="1">
        <f t="shared" si="36"/>
        <v>1.0416E-7</v>
      </c>
      <c r="J294" s="4">
        <f t="shared" si="37"/>
        <v>-4.6602432634023945E-9</v>
      </c>
      <c r="K294" s="4">
        <f t="shared" si="38"/>
        <v>-1.4386145095434508E-8</v>
      </c>
      <c r="L294" s="4">
        <f t="shared" si="39"/>
        <v>-9.8097702848008435E-9</v>
      </c>
      <c r="M294" s="4">
        <f t="shared" si="41"/>
        <v>-1.1192793514877982E-8</v>
      </c>
      <c r="N294" s="5">
        <f t="shared" si="42"/>
        <v>3.7381083755521723E-8</v>
      </c>
      <c r="O294" s="5">
        <f t="shared" si="43"/>
        <v>7.392179222179645E-7</v>
      </c>
      <c r="P294" s="5">
        <f t="shared" si="44"/>
        <v>1.0234009940265143E-6</v>
      </c>
      <c r="Q294" s="1">
        <f t="shared" si="40"/>
        <v>1.8000000000000006E-6</v>
      </c>
    </row>
    <row r="295" spans="1:17" x14ac:dyDescent="0.25">
      <c r="A295" s="1">
        <v>14.65</v>
      </c>
      <c r="B295" s="1">
        <v>4.9581E-2</v>
      </c>
      <c r="C295" s="1">
        <v>3.8363E-3</v>
      </c>
      <c r="D295" s="1">
        <v>8.2967000000000006E-3</v>
      </c>
      <c r="E295" s="1">
        <v>5.6402000000000001E-2</v>
      </c>
      <c r="F295" s="1">
        <v>1.124E-6</v>
      </c>
      <c r="G295" s="1">
        <v>7.0190999999999999</v>
      </c>
      <c r="H295" s="1">
        <v>1.0431E-7</v>
      </c>
      <c r="I295" s="1">
        <f t="shared" si="36"/>
        <v>1.0431E-7</v>
      </c>
      <c r="J295" s="4">
        <f t="shared" si="37"/>
        <v>-4.6865714738940946E-9</v>
      </c>
      <c r="K295" s="4">
        <f t="shared" si="38"/>
        <v>-1.4414749483250514E-8</v>
      </c>
      <c r="L295" s="4">
        <f t="shared" si="39"/>
        <v>-9.8118335787291353E-9</v>
      </c>
      <c r="M295" s="4">
        <f t="shared" si="41"/>
        <v>-1.119273199146934E-8</v>
      </c>
      <c r="N295" s="5">
        <f t="shared" si="42"/>
        <v>3.7297428186149013E-8</v>
      </c>
      <c r="O295" s="5">
        <f t="shared" si="43"/>
        <v>7.4068247620007736E-7</v>
      </c>
      <c r="P295" s="5">
        <f t="shared" si="44"/>
        <v>1.0220200956137739E-6</v>
      </c>
      <c r="Q295" s="1">
        <f t="shared" si="40"/>
        <v>1.8000000000000001E-6</v>
      </c>
    </row>
    <row r="296" spans="1:17" x14ac:dyDescent="0.25">
      <c r="A296" s="1">
        <v>14.7</v>
      </c>
      <c r="B296" s="1">
        <v>4.9501000000000003E-2</v>
      </c>
      <c r="C296" s="1">
        <v>3.8449999999999999E-3</v>
      </c>
      <c r="D296" s="1">
        <v>8.3321000000000003E-3</v>
      </c>
      <c r="E296" s="1">
        <v>5.6318E-2</v>
      </c>
      <c r="F296" s="1">
        <v>1.1284000000000001E-6</v>
      </c>
      <c r="G296" s="1">
        <v>7.0183999999999997</v>
      </c>
      <c r="H296" s="1">
        <v>1.0445E-7</v>
      </c>
      <c r="I296" s="1">
        <f t="shared" si="36"/>
        <v>1.0445E-7</v>
      </c>
      <c r="J296" s="4">
        <f t="shared" si="37"/>
        <v>-4.7120675632103187E-9</v>
      </c>
      <c r="K296" s="4">
        <f t="shared" si="38"/>
        <v>-1.4443308285901201E-8</v>
      </c>
      <c r="L296" s="4">
        <f t="shared" si="39"/>
        <v>-9.8126836655318686E-9</v>
      </c>
      <c r="M296" s="4">
        <f t="shared" si="41"/>
        <v>-1.11937261982144E-8</v>
      </c>
      <c r="N296" s="5">
        <f t="shared" si="42"/>
        <v>3.7215985243308023E-8</v>
      </c>
      <c r="O296" s="5">
        <f t="shared" si="43"/>
        <v>7.4214496167560078E-7</v>
      </c>
      <c r="P296" s="5">
        <f t="shared" si="44"/>
        <v>1.0206390530810912E-6</v>
      </c>
      <c r="Q296" s="1">
        <f t="shared" si="40"/>
        <v>1.8000000000000001E-6</v>
      </c>
    </row>
    <row r="297" spans="1:17" x14ac:dyDescent="0.25">
      <c r="A297" s="1">
        <v>14.75</v>
      </c>
      <c r="B297" s="1">
        <v>4.9422000000000001E-2</v>
      </c>
      <c r="C297" s="1">
        <v>3.8536999999999998E-3</v>
      </c>
      <c r="D297" s="1">
        <v>8.3674999999999999E-3</v>
      </c>
      <c r="E297" s="1">
        <v>5.6232999999999998E-2</v>
      </c>
      <c r="F297" s="1">
        <v>1.1327E-6</v>
      </c>
      <c r="G297" s="1">
        <v>7.0176999999999996</v>
      </c>
      <c r="H297" s="1">
        <v>1.046E-7</v>
      </c>
      <c r="I297" s="1">
        <f t="shared" si="36"/>
        <v>1.046E-7</v>
      </c>
      <c r="J297" s="4">
        <f t="shared" si="37"/>
        <v>-4.7386613827463118E-9</v>
      </c>
      <c r="K297" s="4">
        <f t="shared" si="38"/>
        <v>-1.4471826752674421E-8</v>
      </c>
      <c r="L297" s="4">
        <f t="shared" si="39"/>
        <v>-9.8149460898356327E-9</v>
      </c>
      <c r="M297" s="4">
        <f t="shared" si="41"/>
        <v>-1.1193603654903756E-8</v>
      </c>
      <c r="N297" s="5">
        <f t="shared" si="42"/>
        <v>3.7134204523400497E-8</v>
      </c>
      <c r="O297" s="5">
        <f t="shared" si="43"/>
        <v>7.436053999605764E-7</v>
      </c>
      <c r="P297" s="5">
        <f t="shared" si="44"/>
        <v>1.019260395516023E-6</v>
      </c>
      <c r="Q297" s="1">
        <f t="shared" si="40"/>
        <v>1.7999999999999999E-6</v>
      </c>
    </row>
    <row r="298" spans="1:17" x14ac:dyDescent="0.25">
      <c r="A298" s="1">
        <v>14.8</v>
      </c>
      <c r="B298" s="1">
        <v>4.9342999999999998E-2</v>
      </c>
      <c r="C298" s="1">
        <v>3.8622999999999999E-3</v>
      </c>
      <c r="D298" s="1">
        <v>8.4028999999999996E-3</v>
      </c>
      <c r="E298" s="1">
        <v>5.6148999999999998E-2</v>
      </c>
      <c r="F298" s="1">
        <v>1.1370000000000001E-6</v>
      </c>
      <c r="G298" s="1">
        <v>7.0170000000000003</v>
      </c>
      <c r="H298" s="1">
        <v>1.0474E-7</v>
      </c>
      <c r="I298" s="1">
        <f t="shared" si="36"/>
        <v>1.0474E-7</v>
      </c>
      <c r="J298" s="4">
        <f t="shared" si="37"/>
        <v>-4.7643529380283528E-9</v>
      </c>
      <c r="K298" s="4">
        <f t="shared" si="38"/>
        <v>-1.4500305299231447E-8</v>
      </c>
      <c r="L298" s="4">
        <f t="shared" si="39"/>
        <v>-9.8158604561774156E-9</v>
      </c>
      <c r="M298" s="4">
        <f t="shared" si="41"/>
        <v>-1.1194536923952641E-8</v>
      </c>
      <c r="N298" s="5">
        <f t="shared" si="42"/>
        <v>3.7054296428426172E-8</v>
      </c>
      <c r="O298" s="5">
        <f t="shared" si="43"/>
        <v>7.4506398452332594E-7</v>
      </c>
      <c r="P298" s="5">
        <f t="shared" si="44"/>
        <v>1.0178817190482477E-6</v>
      </c>
      <c r="Q298" s="1">
        <f t="shared" si="40"/>
        <v>1.7999999999999997E-6</v>
      </c>
    </row>
    <row r="299" spans="1:17" x14ac:dyDescent="0.25">
      <c r="A299" s="1">
        <v>14.85</v>
      </c>
      <c r="B299" s="1">
        <v>4.9263000000000001E-2</v>
      </c>
      <c r="C299" s="1">
        <v>3.8709E-3</v>
      </c>
      <c r="D299" s="1">
        <v>8.4382999999999993E-3</v>
      </c>
      <c r="E299" s="1">
        <v>5.6064999999999997E-2</v>
      </c>
      <c r="F299" s="1">
        <v>1.1414E-6</v>
      </c>
      <c r="G299" s="1">
        <v>7.0163000000000002</v>
      </c>
      <c r="H299" s="1">
        <v>1.0488999999999999E-7</v>
      </c>
      <c r="I299" s="1">
        <f t="shared" si="36"/>
        <v>1.0488999999999999E-7</v>
      </c>
      <c r="J299" s="4">
        <f t="shared" si="37"/>
        <v>-4.7902645739479063E-9</v>
      </c>
      <c r="K299" s="4">
        <f t="shared" si="38"/>
        <v>-1.4528747698204548E-8</v>
      </c>
      <c r="L299" s="4">
        <f t="shared" si="39"/>
        <v>-9.8172343631028492E-9</v>
      </c>
      <c r="M299" s="4">
        <f t="shared" si="41"/>
        <v>-1.1194357781576677E-8</v>
      </c>
      <c r="N299" s="5">
        <f t="shared" si="42"/>
        <v>3.697554518957996E-8</v>
      </c>
      <c r="O299" s="5">
        <f t="shared" si="43"/>
        <v>7.4651985918064598E-7</v>
      </c>
      <c r="P299" s="5">
        <f t="shared" si="44"/>
        <v>1.0165045956297738E-6</v>
      </c>
      <c r="Q299" s="1">
        <f t="shared" si="40"/>
        <v>1.7999999999999997E-6</v>
      </c>
    </row>
    <row r="300" spans="1:17" x14ac:dyDescent="0.25">
      <c r="A300" s="1">
        <v>14.9</v>
      </c>
      <c r="B300" s="1">
        <v>4.9183999999999999E-2</v>
      </c>
      <c r="C300" s="1">
        <v>3.8793999999999999E-3</v>
      </c>
      <c r="D300" s="1">
        <v>8.4735999999999995E-3</v>
      </c>
      <c r="E300" s="1">
        <v>5.5980000000000002E-2</v>
      </c>
      <c r="F300" s="1">
        <v>1.1457000000000001E-6</v>
      </c>
      <c r="G300" s="1">
        <v>7.0156000000000001</v>
      </c>
      <c r="H300" s="1">
        <v>1.0502999999999999E-7</v>
      </c>
      <c r="I300" s="1">
        <f t="shared" si="36"/>
        <v>1.0502999999999999E-7</v>
      </c>
      <c r="J300" s="4">
        <f t="shared" si="37"/>
        <v>-4.8171516940692504E-9</v>
      </c>
      <c r="K300" s="4">
        <f t="shared" si="38"/>
        <v>-1.4557137254022803E-8</v>
      </c>
      <c r="L300" s="4">
        <f t="shared" si="39"/>
        <v>-9.8195679023231905E-9</v>
      </c>
      <c r="M300" s="4">
        <f t="shared" si="41"/>
        <v>-1.119522253873889E-8</v>
      </c>
      <c r="N300" s="5">
        <f t="shared" si="42"/>
        <v>3.6895962847210324E-8</v>
      </c>
      <c r="O300" s="5">
        <f t="shared" si="43"/>
        <v>7.4797509615943135E-7</v>
      </c>
      <c r="P300" s="5">
        <f t="shared" si="44"/>
        <v>1.0151289409933583E-6</v>
      </c>
      <c r="Q300" s="1">
        <f t="shared" si="40"/>
        <v>1.7999999999999999E-6</v>
      </c>
    </row>
    <row r="301" spans="1:17" x14ac:dyDescent="0.25">
      <c r="A301" s="1">
        <v>14.95</v>
      </c>
      <c r="B301" s="1">
        <v>4.9105000000000003E-2</v>
      </c>
      <c r="C301" s="1">
        <v>3.8877999999999998E-3</v>
      </c>
      <c r="D301" s="1">
        <v>8.5089999999999992E-3</v>
      </c>
      <c r="E301" s="1">
        <v>5.5896000000000001E-2</v>
      </c>
      <c r="F301" s="1">
        <v>1.15E-6</v>
      </c>
      <c r="G301" s="1">
        <v>7.0148999999999999</v>
      </c>
      <c r="H301" s="1">
        <v>1.0518000000000001E-7</v>
      </c>
      <c r="I301" s="1">
        <f t="shared" si="36"/>
        <v>1.0518000000000001E-7</v>
      </c>
      <c r="J301" s="4">
        <f t="shared" si="37"/>
        <v>-4.8430691999228766E-9</v>
      </c>
      <c r="K301" s="4">
        <f t="shared" si="38"/>
        <v>-1.4585514375108602E-8</v>
      </c>
      <c r="L301" s="4">
        <f t="shared" si="39"/>
        <v>-9.8204356054681232E-9</v>
      </c>
      <c r="M301" s="4">
        <f t="shared" si="41"/>
        <v>-1.1194994230615665E-8</v>
      </c>
      <c r="N301" s="5">
        <f t="shared" si="42"/>
        <v>3.6817972416927924E-8</v>
      </c>
      <c r="O301" s="5">
        <f t="shared" si="43"/>
        <v>7.4942764521486122E-7</v>
      </c>
      <c r="P301" s="5">
        <f t="shared" si="44"/>
        <v>1.0137543823682108E-6</v>
      </c>
      <c r="Q301" s="1">
        <f t="shared" si="40"/>
        <v>1.7999999999999999E-6</v>
      </c>
    </row>
    <row r="302" spans="1:17" x14ac:dyDescent="0.25">
      <c r="A302" s="1">
        <v>15</v>
      </c>
      <c r="B302" s="1">
        <v>4.9026E-2</v>
      </c>
      <c r="C302" s="1">
        <v>3.8963000000000001E-3</v>
      </c>
      <c r="D302" s="1">
        <v>8.5442999999999995E-3</v>
      </c>
      <c r="E302" s="1">
        <v>5.5812E-2</v>
      </c>
      <c r="F302" s="1">
        <v>1.1542999999999999E-6</v>
      </c>
      <c r="G302" s="1">
        <v>7.0141999999999998</v>
      </c>
      <c r="H302" s="1">
        <v>1.0532000000000001E-7</v>
      </c>
      <c r="I302" s="1">
        <f t="shared" si="36"/>
        <v>1.0532000000000001E-7</v>
      </c>
      <c r="J302" s="4">
        <f t="shared" si="37"/>
        <v>-4.8691768521387877E-9</v>
      </c>
      <c r="K302" s="4">
        <f t="shared" si="38"/>
        <v>-1.4613839081690002E-8</v>
      </c>
      <c r="L302" s="4">
        <f t="shared" si="39"/>
        <v>-9.8216970757188787E-9</v>
      </c>
      <c r="M302" s="4">
        <f t="shared" si="41"/>
        <v>-1.1195802023436442E-8</v>
      </c>
      <c r="N302" s="5">
        <f t="shared" si="42"/>
        <v>3.6740937570760255E-8</v>
      </c>
      <c r="O302" s="5">
        <f t="shared" si="43"/>
        <v>7.5087878500874646E-7</v>
      </c>
      <c r="P302" s="5">
        <f t="shared" si="44"/>
        <v>1.0123802774204934E-6</v>
      </c>
      <c r="Q302" s="1">
        <f t="shared" si="40"/>
        <v>1.8000000000000001E-6</v>
      </c>
    </row>
    <row r="303" spans="1:17" x14ac:dyDescent="0.25">
      <c r="A303" s="1">
        <v>15.05</v>
      </c>
      <c r="B303" s="1">
        <v>4.8946999999999997E-2</v>
      </c>
      <c r="C303" s="1">
        <v>3.9045999999999998E-3</v>
      </c>
      <c r="D303" s="1">
        <v>8.5795999999999997E-3</v>
      </c>
      <c r="E303" s="1">
        <v>5.5728E-2</v>
      </c>
      <c r="F303" s="1">
        <v>1.1586E-6</v>
      </c>
      <c r="G303" s="1">
        <v>7.0136000000000003</v>
      </c>
      <c r="H303" s="1">
        <v>1.0547E-7</v>
      </c>
      <c r="I303" s="1">
        <f t="shared" si="36"/>
        <v>1.0547E-7</v>
      </c>
      <c r="J303" s="4">
        <f t="shared" si="37"/>
        <v>-4.8953937149841625E-9</v>
      </c>
      <c r="K303" s="4">
        <f t="shared" si="38"/>
        <v>-1.4642136307670764E-8</v>
      </c>
      <c r="L303" s="4">
        <f t="shared" si="39"/>
        <v>-9.8230105967763032E-9</v>
      </c>
      <c r="M303" s="4">
        <f t="shared" si="41"/>
        <v>-1.1195508535882427E-8</v>
      </c>
      <c r="N303" s="5">
        <f t="shared" si="42"/>
        <v>3.6664669566670555E-8</v>
      </c>
      <c r="O303" s="5">
        <f t="shared" si="43"/>
        <v>7.5232755095194229E-7</v>
      </c>
      <c r="P303" s="5">
        <f t="shared" si="44"/>
        <v>1.0110077794813873E-6</v>
      </c>
      <c r="Q303" s="1">
        <f t="shared" si="40"/>
        <v>1.8000000000000001E-6</v>
      </c>
    </row>
    <row r="304" spans="1:17" x14ac:dyDescent="0.25">
      <c r="A304" s="1">
        <v>15.1</v>
      </c>
      <c r="B304" s="1">
        <v>4.8868000000000002E-2</v>
      </c>
      <c r="C304" s="1">
        <v>3.9129000000000004E-3</v>
      </c>
      <c r="D304" s="1">
        <v>8.6149E-3</v>
      </c>
      <c r="E304" s="1">
        <v>5.5643999999999999E-2</v>
      </c>
      <c r="F304" s="1">
        <v>1.1628999999999999E-6</v>
      </c>
      <c r="G304" s="1">
        <v>7.0129000000000001</v>
      </c>
      <c r="H304" s="1">
        <v>1.0561E-7</v>
      </c>
      <c r="I304" s="1">
        <f t="shared" si="36"/>
        <v>1.0561E-7</v>
      </c>
      <c r="J304" s="4">
        <f t="shared" si="37"/>
        <v>-4.9216964384910657E-9</v>
      </c>
      <c r="K304" s="4">
        <f t="shared" si="38"/>
        <v>-1.4670387243562563E-8</v>
      </c>
      <c r="L304" s="4">
        <f t="shared" si="39"/>
        <v>-9.8243279938335484E-9</v>
      </c>
      <c r="M304" s="4">
        <f t="shared" si="41"/>
        <v>-1.1196254002699464E-8</v>
      </c>
      <c r="N304" s="5">
        <f t="shared" si="42"/>
        <v>3.6589032377908502E-8</v>
      </c>
      <c r="O304" s="5">
        <f t="shared" si="43"/>
        <v>7.5377511414957016E-7</v>
      </c>
      <c r="P304" s="5">
        <f t="shared" si="44"/>
        <v>1.0096358534725215E-6</v>
      </c>
      <c r="Q304" s="1">
        <f t="shared" si="40"/>
        <v>1.8000000000000001E-6</v>
      </c>
    </row>
    <row r="305" spans="1:17" x14ac:dyDescent="0.25">
      <c r="A305" s="1">
        <v>15.15</v>
      </c>
      <c r="B305" s="1">
        <v>4.879E-2</v>
      </c>
      <c r="C305" s="1">
        <v>3.9211999999999997E-3</v>
      </c>
      <c r="D305" s="1">
        <v>8.6502000000000002E-3</v>
      </c>
      <c r="E305" s="1">
        <v>5.5559999999999998E-2</v>
      </c>
      <c r="F305" s="1">
        <v>1.1672E-6</v>
      </c>
      <c r="G305" s="1">
        <v>7.0122</v>
      </c>
      <c r="H305" s="1">
        <v>1.0576E-7</v>
      </c>
      <c r="I305" s="1">
        <f t="shared" si="36"/>
        <v>1.0576E-7</v>
      </c>
      <c r="J305" s="4">
        <f t="shared" si="37"/>
        <v>-4.9480680691315238E-9</v>
      </c>
      <c r="K305" s="4">
        <f t="shared" si="38"/>
        <v>-1.4698614725916827E-8</v>
      </c>
      <c r="L305" s="4">
        <f t="shared" si="39"/>
        <v>-9.825614786317236E-9</v>
      </c>
      <c r="M305" s="4">
        <f t="shared" si="41"/>
        <v>-1.1195902460949626E-8</v>
      </c>
      <c r="N305" s="5">
        <f t="shared" si="42"/>
        <v>3.651396424837657E-8</v>
      </c>
      <c r="O305" s="5">
        <f t="shared" si="43"/>
        <v>7.5522046995373444E-7</v>
      </c>
      <c r="P305" s="5">
        <f t="shared" si="44"/>
        <v>1.0082655657978892E-6</v>
      </c>
      <c r="Q305" s="1">
        <f t="shared" si="40"/>
        <v>1.8000000000000001E-6</v>
      </c>
    </row>
    <row r="306" spans="1:17" x14ac:dyDescent="0.25">
      <c r="A306" s="1">
        <v>15.2</v>
      </c>
      <c r="B306" s="1">
        <v>4.8710999999999997E-2</v>
      </c>
      <c r="C306" s="1">
        <v>3.9294000000000004E-3</v>
      </c>
      <c r="D306" s="1">
        <v>8.6855000000000005E-3</v>
      </c>
      <c r="E306" s="1">
        <v>5.5475999999999998E-2</v>
      </c>
      <c r="F306" s="1">
        <v>1.1714999999999999E-6</v>
      </c>
      <c r="G306" s="1">
        <v>7.0114999999999998</v>
      </c>
      <c r="H306" s="1">
        <v>1.059E-7</v>
      </c>
      <c r="I306" s="1">
        <f t="shared" si="36"/>
        <v>1.059E-7</v>
      </c>
      <c r="J306" s="4">
        <f t="shared" si="37"/>
        <v>-4.9745012435325971E-9</v>
      </c>
      <c r="K306" s="4">
        <f t="shared" si="38"/>
        <v>-1.4726799164097508E-8</v>
      </c>
      <c r="L306" s="4">
        <f t="shared" si="39"/>
        <v>-9.8268561491285542E-9</v>
      </c>
      <c r="M306" s="4">
        <f t="shared" si="41"/>
        <v>-1.1196587455072162E-8</v>
      </c>
      <c r="N306" s="5">
        <f t="shared" si="42"/>
        <v>3.6439406019812924E-8</v>
      </c>
      <c r="O306" s="5">
        <f t="shared" si="43"/>
        <v>7.566647594882416E-7</v>
      </c>
      <c r="P306" s="5">
        <f t="shared" si="44"/>
        <v>1.0068958344919455E-6</v>
      </c>
      <c r="Q306" s="1">
        <f t="shared" si="40"/>
        <v>1.8000000000000001E-6</v>
      </c>
    </row>
    <row r="307" spans="1:17" x14ac:dyDescent="0.25">
      <c r="A307" s="1">
        <v>15.25</v>
      </c>
      <c r="B307" s="1">
        <v>4.8632000000000002E-2</v>
      </c>
      <c r="C307" s="1">
        <v>3.9376000000000003E-3</v>
      </c>
      <c r="D307" s="1">
        <v>8.7206999999999996E-3</v>
      </c>
      <c r="E307" s="1">
        <v>5.5391999999999997E-2</v>
      </c>
      <c r="F307" s="1">
        <v>1.1758E-6</v>
      </c>
      <c r="G307" s="1">
        <v>7.0107999999999997</v>
      </c>
      <c r="H307" s="1">
        <v>1.0605E-7</v>
      </c>
      <c r="I307" s="1">
        <f t="shared" si="36"/>
        <v>1.0605E-7</v>
      </c>
      <c r="J307" s="4">
        <f t="shared" si="37"/>
        <v>-5.0009887204315705E-9</v>
      </c>
      <c r="K307" s="4">
        <f t="shared" si="38"/>
        <v>-1.4754962810020921E-8</v>
      </c>
      <c r="L307" s="4">
        <f t="shared" si="39"/>
        <v>-9.8280378024485415E-9</v>
      </c>
      <c r="M307" s="4">
        <f t="shared" si="41"/>
        <v>-1.1196178231633347E-8</v>
      </c>
      <c r="N307" s="5">
        <f t="shared" si="42"/>
        <v>3.6365342306953734E-8</v>
      </c>
      <c r="O307" s="5">
        <f t="shared" si="43"/>
        <v>7.5810696363028553E-7</v>
      </c>
      <c r="P307" s="5">
        <f t="shared" si="44"/>
        <v>1.0055276940627607E-6</v>
      </c>
      <c r="Q307" s="1">
        <f t="shared" si="40"/>
        <v>1.8000000000000001E-6</v>
      </c>
    </row>
    <row r="308" spans="1:17" x14ac:dyDescent="0.25">
      <c r="A308" s="1">
        <v>15.3</v>
      </c>
      <c r="B308" s="1">
        <v>4.8554E-2</v>
      </c>
      <c r="C308" s="1">
        <v>3.9458000000000002E-3</v>
      </c>
      <c r="D308" s="1">
        <v>8.7559000000000005E-3</v>
      </c>
      <c r="E308" s="1">
        <v>5.5308999999999997E-2</v>
      </c>
      <c r="F308" s="1">
        <v>1.1799999999999999E-6</v>
      </c>
      <c r="G308" s="1">
        <v>7.0102000000000002</v>
      </c>
      <c r="H308" s="1">
        <v>1.0619E-7</v>
      </c>
      <c r="I308" s="1">
        <f t="shared" si="36"/>
        <v>1.0619E-7</v>
      </c>
      <c r="J308" s="4">
        <f t="shared" si="37"/>
        <v>-5.0275290839894867E-9</v>
      </c>
      <c r="K308" s="4">
        <f t="shared" si="38"/>
        <v>-1.478308579079078E-8</v>
      </c>
      <c r="L308" s="4">
        <f t="shared" si="39"/>
        <v>-9.8291571503183747E-9</v>
      </c>
      <c r="M308" s="4">
        <f t="shared" si="41"/>
        <v>-1.1196802255312514E-8</v>
      </c>
      <c r="N308" s="5">
        <f t="shared" si="42"/>
        <v>3.6291741863436652E-8</v>
      </c>
      <c r="O308" s="5">
        <f t="shared" si="43"/>
        <v>7.5954820917879675E-7</v>
      </c>
      <c r="P308" s="5">
        <f t="shared" si="44"/>
        <v>1.0041600489577666E-6</v>
      </c>
      <c r="Q308" s="1">
        <f t="shared" si="40"/>
        <v>1.8000000000000001E-6</v>
      </c>
    </row>
    <row r="309" spans="1:17" x14ac:dyDescent="0.25">
      <c r="A309" s="1">
        <v>15.35</v>
      </c>
      <c r="B309" s="1">
        <v>4.8474999999999997E-2</v>
      </c>
      <c r="C309" s="1">
        <v>3.9538000000000004E-3</v>
      </c>
      <c r="D309" s="1">
        <v>8.7912000000000007E-3</v>
      </c>
      <c r="E309" s="1">
        <v>5.5225000000000003E-2</v>
      </c>
      <c r="F309" s="1">
        <v>1.1843E-6</v>
      </c>
      <c r="G309" s="1">
        <v>7.0095000000000001</v>
      </c>
      <c r="H309" s="1">
        <v>1.0634E-7</v>
      </c>
      <c r="I309" s="1">
        <f t="shared" si="36"/>
        <v>1.0634E-7</v>
      </c>
      <c r="J309" s="4">
        <f t="shared" si="37"/>
        <v>-5.0532621370648116E-9</v>
      </c>
      <c r="K309" s="4">
        <f t="shared" si="38"/>
        <v>-1.4811190078986221E-8</v>
      </c>
      <c r="L309" s="4">
        <f t="shared" si="39"/>
        <v>-9.8295519786992229E-9</v>
      </c>
      <c r="M309" s="4">
        <f t="shared" si="41"/>
        <v>-1.1196334337876412E-8</v>
      </c>
      <c r="N309" s="5">
        <f t="shared" si="42"/>
        <v>3.6220117826658837E-8</v>
      </c>
      <c r="O309" s="5">
        <f t="shared" si="43"/>
        <v>7.6098661557475171E-7</v>
      </c>
      <c r="P309" s="5">
        <f t="shared" si="44"/>
        <v>1.0027932665985894E-6</v>
      </c>
      <c r="Q309" s="1">
        <f t="shared" si="40"/>
        <v>1.7999999999999999E-6</v>
      </c>
    </row>
    <row r="310" spans="1:17" x14ac:dyDescent="0.25">
      <c r="A310" s="1">
        <v>15.4</v>
      </c>
      <c r="B310" s="1">
        <v>4.8397000000000003E-2</v>
      </c>
      <c r="C310" s="1">
        <v>3.9619E-3</v>
      </c>
      <c r="D310" s="1">
        <v>8.8263999999999999E-3</v>
      </c>
      <c r="E310" s="1">
        <v>5.5141000000000003E-2</v>
      </c>
      <c r="F310" s="1">
        <v>1.1884999999999999E-6</v>
      </c>
      <c r="G310" s="1">
        <v>7.0087999999999999</v>
      </c>
      <c r="H310" s="1">
        <v>1.0648E-7</v>
      </c>
      <c r="I310" s="1">
        <f t="shared" si="36"/>
        <v>1.0648E-7</v>
      </c>
      <c r="J310" s="4">
        <f t="shared" si="37"/>
        <v>-5.0801123527524039E-9</v>
      </c>
      <c r="K310" s="4">
        <f t="shared" si="38"/>
        <v>-1.483923900370787E-8</v>
      </c>
      <c r="L310" s="4">
        <f t="shared" si="39"/>
        <v>-9.8309482346121672E-9</v>
      </c>
      <c r="M310" s="4">
        <f t="shared" si="41"/>
        <v>-1.1196888776860028E-8</v>
      </c>
      <c r="N310" s="5">
        <f t="shared" si="42"/>
        <v>3.6148296243002141E-8</v>
      </c>
      <c r="O310" s="5">
        <f t="shared" si="43"/>
        <v>7.6242437770065625E-7</v>
      </c>
      <c r="P310" s="5">
        <f t="shared" si="44"/>
        <v>1.0014273260563415E-6</v>
      </c>
      <c r="Q310" s="1">
        <f t="shared" si="40"/>
        <v>1.7999999999999999E-6</v>
      </c>
    </row>
    <row r="311" spans="1:17" x14ac:dyDescent="0.25">
      <c r="A311" s="1">
        <v>15.45</v>
      </c>
      <c r="B311" s="1">
        <v>4.8318E-2</v>
      </c>
      <c r="C311" s="1">
        <v>3.9699000000000002E-3</v>
      </c>
      <c r="D311" s="1">
        <v>8.8616000000000007E-3</v>
      </c>
      <c r="E311" s="1">
        <v>5.5058000000000003E-2</v>
      </c>
      <c r="F311" s="1">
        <v>1.1928E-6</v>
      </c>
      <c r="G311" s="1">
        <v>7.0080999999999998</v>
      </c>
      <c r="H311" s="1">
        <v>1.0663E-7</v>
      </c>
      <c r="I311" s="1">
        <f t="shared" si="36"/>
        <v>1.0663E-7</v>
      </c>
      <c r="J311" s="4">
        <f t="shared" si="37"/>
        <v>-5.1060634225793274E-9</v>
      </c>
      <c r="K311" s="4">
        <f t="shared" si="38"/>
        <v>-1.4867275365162481E-8</v>
      </c>
      <c r="L311" s="4">
        <f t="shared" si="39"/>
        <v>-9.8312729424943507E-9</v>
      </c>
      <c r="M311" s="4">
        <f t="shared" si="41"/>
        <v>-1.1196358076240084E-8</v>
      </c>
      <c r="N311" s="5">
        <f t="shared" si="42"/>
        <v>3.6078235243090944E-8</v>
      </c>
      <c r="O311" s="5">
        <f t="shared" si="43"/>
        <v>7.6385952383431319E-7</v>
      </c>
      <c r="P311" s="5">
        <f t="shared" si="44"/>
        <v>1.0000622409225959E-6</v>
      </c>
      <c r="Q311" s="1">
        <f t="shared" si="40"/>
        <v>1.8000000000000001E-6</v>
      </c>
    </row>
    <row r="312" spans="1:17" x14ac:dyDescent="0.25">
      <c r="A312" s="1">
        <v>15.5</v>
      </c>
      <c r="B312" s="1">
        <v>4.8239999999999998E-2</v>
      </c>
      <c r="C312" s="1">
        <v>3.9778000000000001E-3</v>
      </c>
      <c r="D312" s="1">
        <v>8.8967000000000004E-3</v>
      </c>
      <c r="E312" s="1">
        <v>5.4974000000000002E-2</v>
      </c>
      <c r="F312" s="1">
        <v>1.1969999999999999E-6</v>
      </c>
      <c r="G312" s="1">
        <v>7.0075000000000003</v>
      </c>
      <c r="H312" s="1">
        <v>1.0677E-7</v>
      </c>
      <c r="I312" s="1">
        <f t="shared" si="36"/>
        <v>1.0677E-7</v>
      </c>
      <c r="J312" s="4">
        <f t="shared" si="37"/>
        <v>-5.1331097140766087E-9</v>
      </c>
      <c r="K312" s="4">
        <f t="shared" si="38"/>
        <v>-1.4895260714769319E-8</v>
      </c>
      <c r="L312" s="4">
        <f t="shared" si="39"/>
        <v>-9.8328959737270639E-9</v>
      </c>
      <c r="M312" s="4">
        <f t="shared" si="41"/>
        <v>-1.119684685870568E-8</v>
      </c>
      <c r="N312" s="5">
        <f t="shared" si="42"/>
        <v>3.6007490270056593E-8</v>
      </c>
      <c r="O312" s="5">
        <f t="shared" si="43"/>
        <v>7.6529421969232619E-7</v>
      </c>
      <c r="P312" s="5">
        <f t="shared" si="44"/>
        <v>9.9869829003761738E-7</v>
      </c>
      <c r="Q312" s="1">
        <f t="shared" si="40"/>
        <v>1.8000000000000001E-6</v>
      </c>
    </row>
    <row r="313" spans="1:17" x14ac:dyDescent="0.25">
      <c r="A313" s="1">
        <v>15.55</v>
      </c>
      <c r="B313" s="1">
        <v>4.8162000000000003E-2</v>
      </c>
      <c r="C313" s="1">
        <v>3.9857E-3</v>
      </c>
      <c r="D313" s="1">
        <v>8.9318999999999996E-3</v>
      </c>
      <c r="E313" s="1">
        <v>5.4891000000000002E-2</v>
      </c>
      <c r="F313" s="1">
        <v>1.2013E-6</v>
      </c>
      <c r="G313" s="1">
        <v>7.0068000000000001</v>
      </c>
      <c r="H313" s="1">
        <v>1.0691E-7</v>
      </c>
      <c r="I313" s="1">
        <f t="shared" si="36"/>
        <v>1.0691E-7</v>
      </c>
      <c r="J313" s="4">
        <f t="shared" si="37"/>
        <v>-5.1591856126350239E-9</v>
      </c>
      <c r="K313" s="4">
        <f t="shared" si="38"/>
        <v>-1.4923237284000572E-8</v>
      </c>
      <c r="L313" s="4">
        <f t="shared" si="39"/>
        <v>-9.8331448617906541E-9</v>
      </c>
      <c r="M313" s="4">
        <f t="shared" si="41"/>
        <v>-1.119625672486838E-8</v>
      </c>
      <c r="N313" s="5">
        <f t="shared" si="42"/>
        <v>3.5938397079631485E-8</v>
      </c>
      <c r="O313" s="5">
        <f t="shared" si="43"/>
        <v>7.6672642474582906E-7</v>
      </c>
      <c r="P313" s="5">
        <f t="shared" si="44"/>
        <v>9.973351781745397E-7</v>
      </c>
      <c r="Q313" s="1">
        <f t="shared" si="40"/>
        <v>1.8000000000000001E-6</v>
      </c>
    </row>
    <row r="314" spans="1:17" x14ac:dyDescent="0.25">
      <c r="A314" s="1">
        <v>15.6</v>
      </c>
      <c r="B314" s="1">
        <v>4.8084000000000002E-2</v>
      </c>
      <c r="C314" s="1">
        <v>3.9935999999999999E-3</v>
      </c>
      <c r="D314" s="1">
        <v>8.9669999999999993E-3</v>
      </c>
      <c r="E314" s="1">
        <v>5.4807000000000002E-2</v>
      </c>
      <c r="F314" s="1">
        <v>1.2054999999999999E-6</v>
      </c>
      <c r="G314" s="1">
        <v>7.0061</v>
      </c>
      <c r="H314" s="1">
        <v>1.0705999999999999E-7</v>
      </c>
      <c r="I314" s="1">
        <f t="shared" si="36"/>
        <v>1.0705999999999999E-7</v>
      </c>
      <c r="J314" s="4">
        <f t="shared" si="37"/>
        <v>-5.1863480329447751E-9</v>
      </c>
      <c r="K314" s="4">
        <f t="shared" si="38"/>
        <v>-1.495116528254335E-8</v>
      </c>
      <c r="L314" s="4">
        <f t="shared" si="39"/>
        <v>-9.8346615665274497E-9</v>
      </c>
      <c r="M314" s="4">
        <f t="shared" si="41"/>
        <v>-1.1195635909356964E-8</v>
      </c>
      <c r="N314" s="5">
        <f t="shared" si="42"/>
        <v>3.5868552762702616E-8</v>
      </c>
      <c r="O314" s="5">
        <f t="shared" si="43"/>
        <v>7.6815724340558746E-7</v>
      </c>
      <c r="P314" s="5">
        <f t="shared" si="44"/>
        <v>9.9597420383171032E-7</v>
      </c>
      <c r="Q314" s="1">
        <f t="shared" si="40"/>
        <v>1.8000000000000003E-6</v>
      </c>
    </row>
    <row r="315" spans="1:17" x14ac:dyDescent="0.25">
      <c r="A315" s="1">
        <v>15.65</v>
      </c>
      <c r="B315" s="1">
        <v>4.8006E-2</v>
      </c>
      <c r="C315" s="1">
        <v>4.0013999999999996E-3</v>
      </c>
      <c r="D315" s="1">
        <v>9.0022000000000001E-3</v>
      </c>
      <c r="E315" s="1">
        <v>5.4724000000000002E-2</v>
      </c>
      <c r="F315" s="1">
        <v>1.2097E-6</v>
      </c>
      <c r="G315" s="1">
        <v>7.0054999999999996</v>
      </c>
      <c r="H315" s="1">
        <v>1.0719999999999999E-7</v>
      </c>
      <c r="I315" s="1">
        <f t="shared" si="36"/>
        <v>1.0719999999999999E-7</v>
      </c>
      <c r="J315" s="4">
        <f t="shared" si="37"/>
        <v>-5.2125265898481246E-9</v>
      </c>
      <c r="K315" s="4">
        <f t="shared" si="38"/>
        <v>-1.4979066246409169E-8</v>
      </c>
      <c r="L315" s="4">
        <f t="shared" si="39"/>
        <v>-9.8347923762811767E-9</v>
      </c>
      <c r="M315" s="4">
        <f t="shared" si="41"/>
        <v>-1.1196044817533565E-8</v>
      </c>
      <c r="N315" s="5">
        <f t="shared" si="42"/>
        <v>3.5800300042982481E-8</v>
      </c>
      <c r="O315" s="5">
        <f t="shared" si="43"/>
        <v>7.6958674856656002E-7</v>
      </c>
      <c r="P315" s="5">
        <f t="shared" si="44"/>
        <v>9.9461295139045788E-7</v>
      </c>
      <c r="Q315" s="1">
        <f t="shared" si="40"/>
        <v>1.8000000000000003E-6</v>
      </c>
    </row>
    <row r="316" spans="1:17" x14ac:dyDescent="0.25">
      <c r="A316" s="1">
        <v>15.7</v>
      </c>
      <c r="B316" s="1">
        <v>4.7927999999999998E-2</v>
      </c>
      <c r="C316" s="1">
        <v>4.0092000000000001E-3</v>
      </c>
      <c r="D316" s="1">
        <v>9.0372999999999998E-3</v>
      </c>
      <c r="E316" s="1">
        <v>5.4640000000000001E-2</v>
      </c>
      <c r="F316" s="1">
        <v>1.2138999999999999E-6</v>
      </c>
      <c r="G316" s="1">
        <v>7.0048000000000004</v>
      </c>
      <c r="H316" s="1">
        <v>1.0735000000000001E-7</v>
      </c>
      <c r="I316" s="1">
        <f t="shared" si="36"/>
        <v>1.0735000000000001E-7</v>
      </c>
      <c r="J316" s="4">
        <f t="shared" si="37"/>
        <v>-5.2389231497125333E-9</v>
      </c>
      <c r="K316" s="4">
        <f t="shared" si="38"/>
        <v>-1.5006941597047602E-8</v>
      </c>
      <c r="L316" s="4">
        <f t="shared" si="39"/>
        <v>-9.8353603897346877E-9</v>
      </c>
      <c r="M316" s="4">
        <f t="shared" si="41"/>
        <v>-1.1195363380850754E-8</v>
      </c>
      <c r="N316" s="5">
        <f t="shared" si="42"/>
        <v>3.5732958100582859E-8</v>
      </c>
      <c r="O316" s="5">
        <f t="shared" si="43"/>
        <v>7.7101409350007575E-7</v>
      </c>
      <c r="P316" s="5">
        <f t="shared" si="44"/>
        <v>9.9325294839934181E-7</v>
      </c>
      <c r="Q316" s="1">
        <f t="shared" si="40"/>
        <v>1.8000000000000006E-6</v>
      </c>
    </row>
    <row r="317" spans="1:17" x14ac:dyDescent="0.25">
      <c r="A317" s="1">
        <v>15.75</v>
      </c>
      <c r="B317" s="1">
        <v>4.7849999999999997E-2</v>
      </c>
      <c r="C317" s="1">
        <v>4.0169000000000003E-3</v>
      </c>
      <c r="D317" s="1">
        <v>9.0723999999999996E-3</v>
      </c>
      <c r="E317" s="1">
        <v>5.4557000000000001E-2</v>
      </c>
      <c r="F317" s="1">
        <v>1.2181E-6</v>
      </c>
      <c r="G317" s="1">
        <v>7.0041000000000002</v>
      </c>
      <c r="H317" s="1">
        <v>1.0749E-7</v>
      </c>
      <c r="I317" s="1">
        <f t="shared" si="36"/>
        <v>1.0749E-7</v>
      </c>
      <c r="J317" s="4">
        <f t="shared" si="37"/>
        <v>-5.2654415111910113E-9</v>
      </c>
      <c r="K317" s="4">
        <f t="shared" si="38"/>
        <v>-1.5034774823251693E-8</v>
      </c>
      <c r="L317" s="4">
        <f t="shared" si="39"/>
        <v>-9.8358221872611348E-9</v>
      </c>
      <c r="M317" s="4">
        <f t="shared" si="41"/>
        <v>-1.119569892112044E-8</v>
      </c>
      <c r="N317" s="5">
        <f t="shared" si="42"/>
        <v>3.5666469225382402E-8</v>
      </c>
      <c r="O317" s="5">
        <f t="shared" si="43"/>
        <v>7.7244045910913556E-7</v>
      </c>
      <c r="P317" s="5">
        <f t="shared" si="44"/>
        <v>9.918930716654826E-7</v>
      </c>
      <c r="Q317" s="1">
        <f t="shared" si="40"/>
        <v>1.8000000000000006E-6</v>
      </c>
    </row>
    <row r="318" spans="1:17" x14ac:dyDescent="0.25">
      <c r="A318" s="1">
        <v>15.8</v>
      </c>
      <c r="B318" s="1">
        <v>4.7772000000000002E-2</v>
      </c>
      <c r="C318" s="1">
        <v>4.0245000000000003E-3</v>
      </c>
      <c r="D318" s="1">
        <v>9.1074999999999993E-3</v>
      </c>
      <c r="E318" s="1">
        <v>5.4474000000000002E-2</v>
      </c>
      <c r="F318" s="1">
        <v>1.2222999999999999E-6</v>
      </c>
      <c r="G318" s="1">
        <v>7.0034999999999998</v>
      </c>
      <c r="H318" s="1">
        <v>1.0763E-7</v>
      </c>
      <c r="I318" s="1">
        <f t="shared" si="36"/>
        <v>1.0763E-7</v>
      </c>
      <c r="J318" s="4">
        <f t="shared" si="37"/>
        <v>-5.292075179968495E-9</v>
      </c>
      <c r="K318" s="4">
        <f t="shared" si="38"/>
        <v>-1.5062588952628358E-8</v>
      </c>
      <c r="L318" s="4">
        <f t="shared" si="39"/>
        <v>-9.8365236369197601E-9</v>
      </c>
      <c r="M318" s="4">
        <f t="shared" si="41"/>
        <v>-1.1194951558699046E-8</v>
      </c>
      <c r="N318" s="5">
        <f t="shared" si="42"/>
        <v>3.5600459361122503E-8</v>
      </c>
      <c r="O318" s="5">
        <f t="shared" si="43"/>
        <v>7.7386489689517464E-7</v>
      </c>
      <c r="P318" s="5">
        <f t="shared" si="44"/>
        <v>9.9053464374370326E-7</v>
      </c>
      <c r="Q318" s="1">
        <f t="shared" si="40"/>
        <v>1.8000000000000006E-6</v>
      </c>
    </row>
    <row r="319" spans="1:17" x14ac:dyDescent="0.25">
      <c r="A319" s="1">
        <v>15.85</v>
      </c>
      <c r="B319" s="1">
        <v>4.7695000000000001E-2</v>
      </c>
      <c r="C319" s="1">
        <v>4.0321999999999997E-3</v>
      </c>
      <c r="D319" s="1">
        <v>9.1424999999999996E-3</v>
      </c>
      <c r="E319" s="1">
        <v>5.4391000000000002E-2</v>
      </c>
      <c r="F319" s="1">
        <v>1.2265E-6</v>
      </c>
      <c r="G319" s="1">
        <v>7.0027999999999997</v>
      </c>
      <c r="H319" s="1">
        <v>1.0778E-7</v>
      </c>
      <c r="I319" s="1">
        <f t="shared" si="36"/>
        <v>1.0778E-7</v>
      </c>
      <c r="J319" s="4">
        <f t="shared" si="37"/>
        <v>-5.3187701817458244E-9</v>
      </c>
      <c r="K319" s="4">
        <f t="shared" si="38"/>
        <v>-1.5090365489455585E-8</v>
      </c>
      <c r="L319" s="4">
        <f t="shared" si="39"/>
        <v>-9.8371835928475112E-9</v>
      </c>
      <c r="M319" s="4">
        <f t="shared" si="41"/>
        <v>-1.1194180589143913E-8</v>
      </c>
      <c r="N319" s="5">
        <f t="shared" si="42"/>
        <v>3.5534871075984754E-8</v>
      </c>
      <c r="O319" s="5">
        <f t="shared" si="43"/>
        <v>7.7528748217660873E-7</v>
      </c>
      <c r="P319" s="5">
        <f t="shared" si="44"/>
        <v>9.8917764674740684E-7</v>
      </c>
      <c r="Q319" s="1">
        <f t="shared" si="40"/>
        <v>1.8000000000000003E-6</v>
      </c>
    </row>
    <row r="320" spans="1:17" x14ac:dyDescent="0.25">
      <c r="A320" s="1">
        <v>15.9</v>
      </c>
      <c r="B320" s="1">
        <v>4.7617E-2</v>
      </c>
      <c r="C320" s="1">
        <v>4.0397000000000002E-3</v>
      </c>
      <c r="D320" s="1">
        <v>9.1775999999999993E-3</v>
      </c>
      <c r="E320" s="1">
        <v>5.4308000000000002E-2</v>
      </c>
      <c r="F320" s="1">
        <v>1.2305999999999999E-6</v>
      </c>
      <c r="G320" s="1">
        <v>7.0022000000000002</v>
      </c>
      <c r="H320" s="1">
        <v>1.0792E-7</v>
      </c>
      <c r="I320" s="1">
        <f t="shared" si="36"/>
        <v>1.0792E-7</v>
      </c>
      <c r="J320" s="4">
        <f t="shared" si="37"/>
        <v>-5.3455186513064548E-9</v>
      </c>
      <c r="K320" s="4">
        <f t="shared" si="38"/>
        <v>-1.5118105902444086E-8</v>
      </c>
      <c r="L320" s="4">
        <f t="shared" si="39"/>
        <v>-9.837787489582706E-9</v>
      </c>
      <c r="M320" s="4">
        <f t="shared" si="41"/>
        <v>-1.1194424510475889E-8</v>
      </c>
      <c r="N320" s="5">
        <f t="shared" si="42"/>
        <v>3.5469670837539673E-8</v>
      </c>
      <c r="O320" s="5">
        <f t="shared" si="43"/>
        <v>7.7670931943594704E-7</v>
      </c>
      <c r="P320" s="5">
        <f t="shared" si="44"/>
        <v>9.8782100972651368E-7</v>
      </c>
      <c r="Q320" s="1">
        <f t="shared" si="40"/>
        <v>1.8000000000000003E-6</v>
      </c>
    </row>
    <row r="321" spans="1:17" x14ac:dyDescent="0.25">
      <c r="A321" s="1">
        <v>15.95</v>
      </c>
      <c r="B321" s="1">
        <v>4.7538999999999998E-2</v>
      </c>
      <c r="C321" s="1">
        <v>4.0473000000000002E-3</v>
      </c>
      <c r="D321" s="1">
        <v>9.2125999999999996E-3</v>
      </c>
      <c r="E321" s="1">
        <v>5.4224000000000001E-2</v>
      </c>
      <c r="F321" s="1">
        <v>1.2348E-6</v>
      </c>
      <c r="G321" s="1">
        <v>7.0015000000000001</v>
      </c>
      <c r="H321" s="1">
        <v>1.0806E-7</v>
      </c>
      <c r="I321" s="1">
        <f t="shared" si="36"/>
        <v>1.0806E-7</v>
      </c>
      <c r="J321" s="4">
        <f t="shared" si="37"/>
        <v>-5.3714431013350327E-9</v>
      </c>
      <c r="K321" s="4">
        <f t="shared" si="38"/>
        <v>-1.5145831729000644E-8</v>
      </c>
      <c r="L321" s="4">
        <f t="shared" si="39"/>
        <v>-9.8375278529279011E-9</v>
      </c>
      <c r="M321" s="4">
        <f t="shared" si="41"/>
        <v>-1.1193592553816725E-8</v>
      </c>
      <c r="N321" s="5">
        <f t="shared" si="42"/>
        <v>3.5406531612277382E-8</v>
      </c>
      <c r="O321" s="5">
        <f t="shared" si="43"/>
        <v>7.7812852336209826E-7</v>
      </c>
      <c r="P321" s="5">
        <f t="shared" si="44"/>
        <v>9.8646494502562486E-7</v>
      </c>
      <c r="Q321" s="1">
        <f t="shared" si="40"/>
        <v>1.8000000000000006E-6</v>
      </c>
    </row>
    <row r="322" spans="1:17" x14ac:dyDescent="0.25">
      <c r="A322" s="1">
        <v>16</v>
      </c>
      <c r="B322" s="1">
        <v>4.7461999999999997E-2</v>
      </c>
      <c r="C322" s="1">
        <v>4.0547999999999999E-3</v>
      </c>
      <c r="D322" s="1">
        <v>9.2475999999999999E-3</v>
      </c>
      <c r="E322" s="1">
        <v>5.4141000000000002E-2</v>
      </c>
      <c r="F322" s="1">
        <v>1.2388999999999999E-6</v>
      </c>
      <c r="G322" s="1">
        <v>7.0007999999999999</v>
      </c>
      <c r="H322" s="1">
        <v>1.0821E-7</v>
      </c>
      <c r="I322" s="1">
        <f t="shared" si="36"/>
        <v>1.0821E-7</v>
      </c>
      <c r="J322" s="4">
        <f t="shared" si="37"/>
        <v>-5.3985437767981341E-9</v>
      </c>
      <c r="K322" s="4">
        <f t="shared" si="38"/>
        <v>-1.5173506205561131E-8</v>
      </c>
      <c r="L322" s="4">
        <f t="shared" si="39"/>
        <v>-9.8382907894021159E-9</v>
      </c>
      <c r="M322" s="4">
        <f t="shared" si="41"/>
        <v>-1.1192727205744407E-8</v>
      </c>
      <c r="N322" s="5">
        <f t="shared" si="42"/>
        <v>3.5343203251638265E-8</v>
      </c>
      <c r="O322" s="5">
        <f t="shared" si="43"/>
        <v>7.7954628813907963E-7</v>
      </c>
      <c r="P322" s="5">
        <f t="shared" si="44"/>
        <v>9.8511050860928255E-7</v>
      </c>
      <c r="Q322" s="1">
        <f t="shared" si="40"/>
        <v>1.8000000000000006E-6</v>
      </c>
    </row>
    <row r="323" spans="1:17" x14ac:dyDescent="0.25">
      <c r="A323" s="1">
        <v>16.05</v>
      </c>
      <c r="B323" s="1">
        <v>4.7384000000000003E-2</v>
      </c>
      <c r="C323" s="1">
        <v>4.0622000000000002E-3</v>
      </c>
      <c r="D323" s="1">
        <v>9.2826000000000002E-3</v>
      </c>
      <c r="E323" s="1">
        <v>5.4059000000000003E-2</v>
      </c>
      <c r="F323" s="1">
        <v>1.2431E-6</v>
      </c>
      <c r="G323" s="1">
        <v>7.0002000000000004</v>
      </c>
      <c r="H323" s="1">
        <v>1.0835E-7</v>
      </c>
      <c r="I323" s="1">
        <f t="shared" ref="I323:I386" si="45">H323</f>
        <v>1.0835E-7</v>
      </c>
      <c r="J323" s="4">
        <f t="shared" ref="J323:J386" si="46">(-$T$4*F322^2*N322)*(A323-A322)</f>
        <v>-5.4247335826525221E-9</v>
      </c>
      <c r="K323" s="4">
        <f t="shared" ref="K323:K386" si="47">-O322*$T$7*(A323-A322)</f>
        <v>-1.5201152618712269E-8</v>
      </c>
      <c r="L323" s="4">
        <f t="shared" ref="L323:L386" si="48">-$T$5*F322*E322*(A323-A322)*N322</f>
        <v>-9.8382200236364486E-9</v>
      </c>
      <c r="M323" s="4">
        <f t="shared" si="41"/>
        <v>-1.1192874854344259E-8</v>
      </c>
      <c r="N323" s="5">
        <f t="shared" si="42"/>
        <v>3.5281402264061561E-8</v>
      </c>
      <c r="O323" s="5">
        <f t="shared" si="43"/>
        <v>7.8096274395736415E-7</v>
      </c>
      <c r="P323" s="5">
        <f t="shared" si="44"/>
        <v>9.8375585377857475E-7</v>
      </c>
      <c r="Q323" s="1">
        <f t="shared" ref="Q323:Q386" si="49">N323+O323+P323</f>
        <v>1.8000000000000006E-6</v>
      </c>
    </row>
    <row r="324" spans="1:17" x14ac:dyDescent="0.25">
      <c r="A324" s="1">
        <v>16.100000000000001</v>
      </c>
      <c r="B324" s="1">
        <v>4.7307000000000002E-2</v>
      </c>
      <c r="C324" s="1">
        <v>4.0695999999999996E-3</v>
      </c>
      <c r="D324" s="1">
        <v>9.3176000000000005E-3</v>
      </c>
      <c r="E324" s="1">
        <v>5.3976000000000003E-2</v>
      </c>
      <c r="F324" s="1">
        <v>1.2472000000000001E-6</v>
      </c>
      <c r="G324" s="1">
        <v>6.9995000000000003</v>
      </c>
      <c r="H324" s="1">
        <v>1.0849E-7</v>
      </c>
      <c r="I324" s="1">
        <f t="shared" si="45"/>
        <v>1.0849E-7</v>
      </c>
      <c r="J324" s="4">
        <f t="shared" si="46"/>
        <v>-5.4520266596103688E-9</v>
      </c>
      <c r="K324" s="4">
        <f t="shared" si="47"/>
        <v>-1.522877350716882E-8</v>
      </c>
      <c r="L324" s="4">
        <f t="shared" si="48"/>
        <v>-9.8393862371996575E-9</v>
      </c>
      <c r="M324" s="4">
        <f t="shared" ref="M324:M387" si="50">-P323*$T$8*I323*(A324-A323)</f>
        <v>-1.1191944409475558E-8</v>
      </c>
      <c r="N324" s="5">
        <f t="shared" ref="N324:N387" si="51">N323+J324-K324+L324</f>
        <v>3.5218762874420357E-8</v>
      </c>
      <c r="O324" s="5">
        <f t="shared" ref="O324:O387" si="52">-J324+O323+K324-M324</f>
        <v>7.8237794151928132E-7</v>
      </c>
      <c r="P324" s="5">
        <f t="shared" ref="P324:P387" si="53">P323-L324+M324</f>
        <v>9.8240329560629888E-7</v>
      </c>
      <c r="Q324" s="1">
        <f t="shared" si="49"/>
        <v>1.8000000000000006E-6</v>
      </c>
    </row>
    <row r="325" spans="1:17" x14ac:dyDescent="0.25">
      <c r="A325" s="1">
        <v>16.149999999999999</v>
      </c>
      <c r="B325" s="1">
        <v>4.7230000000000001E-2</v>
      </c>
      <c r="C325" s="1">
        <v>4.0768999999999996E-3</v>
      </c>
      <c r="D325" s="1">
        <v>9.3526000000000008E-3</v>
      </c>
      <c r="E325" s="1">
        <v>5.3893000000000003E-2</v>
      </c>
      <c r="F325" s="1">
        <v>1.2514E-6</v>
      </c>
      <c r="G325" s="1">
        <v>6.9988999999999999</v>
      </c>
      <c r="H325" s="1">
        <v>1.0864E-7</v>
      </c>
      <c r="I325" s="1">
        <f t="shared" si="45"/>
        <v>1.0864E-7</v>
      </c>
      <c r="J325" s="4">
        <f t="shared" si="46"/>
        <v>-5.4783061766258697E-9</v>
      </c>
      <c r="K325" s="4">
        <f t="shared" si="47"/>
        <v>-1.5256369859625121E-8</v>
      </c>
      <c r="L325" s="4">
        <f t="shared" si="48"/>
        <v>-9.839181966698729E-9</v>
      </c>
      <c r="M325" s="4">
        <f t="shared" si="50"/>
        <v>-1.1190998021733737E-8</v>
      </c>
      <c r="N325" s="5">
        <f t="shared" si="51"/>
        <v>3.5157644590720879E-8</v>
      </c>
      <c r="O325" s="5">
        <f t="shared" si="52"/>
        <v>7.8379087585801584E-7</v>
      </c>
      <c r="P325" s="5">
        <f t="shared" si="53"/>
        <v>9.8105147955126395E-7</v>
      </c>
      <c r="Q325" s="1">
        <f t="shared" si="49"/>
        <v>1.8000000000000006E-6</v>
      </c>
    </row>
    <row r="326" spans="1:17" x14ac:dyDescent="0.25">
      <c r="A326" s="1">
        <v>16.2</v>
      </c>
      <c r="B326" s="1">
        <v>4.7153E-2</v>
      </c>
      <c r="C326" s="1">
        <v>4.0842999999999999E-3</v>
      </c>
      <c r="D326" s="1">
        <v>9.3875999999999994E-3</v>
      </c>
      <c r="E326" s="1">
        <v>5.3809999999999997E-2</v>
      </c>
      <c r="F326" s="1">
        <v>1.2555000000000001E-6</v>
      </c>
      <c r="G326" s="1">
        <v>6.9981999999999998</v>
      </c>
      <c r="H326" s="1">
        <v>1.0878E-7</v>
      </c>
      <c r="I326" s="1">
        <f t="shared" si="45"/>
        <v>1.0878E-7</v>
      </c>
      <c r="J326" s="4">
        <f t="shared" si="46"/>
        <v>-5.5056940338053073E-9</v>
      </c>
      <c r="K326" s="4">
        <f t="shared" si="47"/>
        <v>-1.5283922079231526E-8</v>
      </c>
      <c r="L326" s="4">
        <f t="shared" si="48"/>
        <v>-9.8400290038361693E-9</v>
      </c>
      <c r="M326" s="4">
        <f t="shared" si="50"/>
        <v>-1.1191050437537336E-8</v>
      </c>
      <c r="N326" s="5">
        <f t="shared" si="51"/>
        <v>3.5095843632310927E-8</v>
      </c>
      <c r="O326" s="5">
        <f t="shared" si="52"/>
        <v>7.8520369825012691E-7</v>
      </c>
      <c r="P326" s="5">
        <f t="shared" si="53"/>
        <v>9.7970045811756276E-7</v>
      </c>
      <c r="Q326" s="1">
        <f t="shared" si="49"/>
        <v>1.8000000000000006E-6</v>
      </c>
    </row>
    <row r="327" spans="1:17" x14ac:dyDescent="0.25">
      <c r="A327" s="1">
        <v>16.25</v>
      </c>
      <c r="B327" s="1">
        <v>4.7076E-2</v>
      </c>
      <c r="C327" s="1">
        <v>4.0914999999999997E-3</v>
      </c>
      <c r="D327" s="1">
        <v>9.4225000000000003E-3</v>
      </c>
      <c r="E327" s="1">
        <v>5.3726999999999997E-2</v>
      </c>
      <c r="F327" s="1">
        <v>1.2596E-6</v>
      </c>
      <c r="G327" s="1">
        <v>6.9976000000000003</v>
      </c>
      <c r="H327" s="1">
        <v>1.0892E-7</v>
      </c>
      <c r="I327" s="1">
        <f t="shared" si="45"/>
        <v>1.0892E-7</v>
      </c>
      <c r="J327" s="4">
        <f t="shared" si="46"/>
        <v>-5.5320885174700765E-9</v>
      </c>
      <c r="K327" s="4">
        <f t="shared" si="47"/>
        <v>-1.5311472115877693E-8</v>
      </c>
      <c r="L327" s="4">
        <f t="shared" si="48"/>
        <v>-9.8397370367902735E-9</v>
      </c>
      <c r="M327" s="4">
        <f t="shared" si="50"/>
        <v>-1.1190040662573149E-8</v>
      </c>
      <c r="N327" s="5">
        <f t="shared" si="51"/>
        <v>3.5035490193928266E-8</v>
      </c>
      <c r="O327" s="5">
        <f t="shared" si="52"/>
        <v>7.8661435531429242E-7</v>
      </c>
      <c r="P327" s="5">
        <f t="shared" si="53"/>
        <v>9.7835015449177976E-7</v>
      </c>
      <c r="Q327" s="1">
        <f t="shared" si="49"/>
        <v>1.8000000000000006E-6</v>
      </c>
    </row>
    <row r="328" spans="1:17" x14ac:dyDescent="0.25">
      <c r="A328" s="1">
        <v>16.3</v>
      </c>
      <c r="B328" s="1">
        <v>4.6998999999999999E-2</v>
      </c>
      <c r="C328" s="1">
        <v>4.0987000000000003E-3</v>
      </c>
      <c r="D328" s="1">
        <v>9.4573999999999995E-3</v>
      </c>
      <c r="E328" s="1">
        <v>5.3644999999999998E-2</v>
      </c>
      <c r="F328" s="1">
        <v>1.2637000000000001E-6</v>
      </c>
      <c r="G328" s="1">
        <v>6.9969000000000001</v>
      </c>
      <c r="H328" s="1">
        <v>1.0906E-7</v>
      </c>
      <c r="I328" s="1">
        <f t="shared" si="45"/>
        <v>1.0906E-7</v>
      </c>
      <c r="J328" s="4">
        <f t="shared" si="46"/>
        <v>-5.5587034063444249E-9</v>
      </c>
      <c r="K328" s="4">
        <f t="shared" si="47"/>
        <v>-1.5338979928628921E-8</v>
      </c>
      <c r="L328" s="4">
        <f t="shared" si="48"/>
        <v>-9.8396927622861844E-9</v>
      </c>
      <c r="M328" s="4">
        <f t="shared" si="50"/>
        <v>-1.1188999376860848E-8</v>
      </c>
      <c r="N328" s="5">
        <f t="shared" si="51"/>
        <v>3.4976073953926581E-8</v>
      </c>
      <c r="O328" s="5">
        <f t="shared" si="52"/>
        <v>7.880230781688687E-7</v>
      </c>
      <c r="P328" s="5">
        <f t="shared" si="53"/>
        <v>9.7700084787720503E-7</v>
      </c>
      <c r="Q328" s="1">
        <f t="shared" si="49"/>
        <v>1.8000000000000003E-6</v>
      </c>
    </row>
    <row r="329" spans="1:17" x14ac:dyDescent="0.25">
      <c r="A329" s="1">
        <v>16.350000000000001</v>
      </c>
      <c r="B329" s="1">
        <v>4.6921999999999998E-2</v>
      </c>
      <c r="C329" s="1">
        <v>4.1059E-3</v>
      </c>
      <c r="D329" s="1">
        <v>9.4923000000000004E-3</v>
      </c>
      <c r="E329" s="1">
        <v>5.3561999999999999E-2</v>
      </c>
      <c r="F329" s="1">
        <v>1.2678E-6</v>
      </c>
      <c r="G329" s="1">
        <v>6.9962999999999997</v>
      </c>
      <c r="H329" s="1">
        <v>1.0921E-7</v>
      </c>
      <c r="I329" s="1">
        <f t="shared" si="45"/>
        <v>1.0921E-7</v>
      </c>
      <c r="J329" s="4">
        <f t="shared" si="46"/>
        <v>-5.5854610745253483E-9</v>
      </c>
      <c r="K329" s="4">
        <f t="shared" si="47"/>
        <v>-1.5366450024293158E-8</v>
      </c>
      <c r="L329" s="4">
        <f t="shared" si="48"/>
        <v>-9.8399386426611215E-9</v>
      </c>
      <c r="M329" s="4">
        <f t="shared" si="50"/>
        <v>-1.1187929809296396E-8</v>
      </c>
      <c r="N329" s="5">
        <f t="shared" si="51"/>
        <v>3.4917124261033268E-8</v>
      </c>
      <c r="O329" s="5">
        <f t="shared" si="52"/>
        <v>7.8943001902839727E-7</v>
      </c>
      <c r="P329" s="5">
        <f t="shared" si="53"/>
        <v>9.7565285671056992E-7</v>
      </c>
      <c r="Q329" s="1">
        <f t="shared" si="49"/>
        <v>1.8000000000000006E-6</v>
      </c>
    </row>
    <row r="330" spans="1:17" x14ac:dyDescent="0.25">
      <c r="A330" s="1">
        <v>16.399999999999999</v>
      </c>
      <c r="B330" s="1">
        <v>4.6844999999999998E-2</v>
      </c>
      <c r="C330" s="1">
        <v>4.1130000000000003E-3</v>
      </c>
      <c r="D330" s="1">
        <v>9.5271999999999996E-3</v>
      </c>
      <c r="E330" s="1">
        <v>5.3478999999999999E-2</v>
      </c>
      <c r="F330" s="1">
        <v>1.2719000000000001E-6</v>
      </c>
      <c r="G330" s="1">
        <v>6.9955999999999996</v>
      </c>
      <c r="H330" s="1">
        <v>1.0935E-7</v>
      </c>
      <c r="I330" s="1">
        <f t="shared" si="45"/>
        <v>1.0935E-7</v>
      </c>
      <c r="J330" s="4">
        <f t="shared" si="46"/>
        <v>-5.6122881829128136E-9</v>
      </c>
      <c r="K330" s="4">
        <f t="shared" si="47"/>
        <v>-1.5393885371052873E-8</v>
      </c>
      <c r="L330" s="4">
        <f t="shared" si="48"/>
        <v>-9.8399773273440683E-9</v>
      </c>
      <c r="M330" s="4">
        <f t="shared" si="50"/>
        <v>-1.1187860090542305E-8</v>
      </c>
      <c r="N330" s="5">
        <f t="shared" si="51"/>
        <v>3.4858744121829257E-8</v>
      </c>
      <c r="O330" s="5">
        <f t="shared" si="52"/>
        <v>7.9083628193079954E-7</v>
      </c>
      <c r="P330" s="5">
        <f t="shared" si="53"/>
        <v>9.743049739473717E-7</v>
      </c>
      <c r="Q330" s="1">
        <f t="shared" si="49"/>
        <v>1.8000000000000006E-6</v>
      </c>
    </row>
    <row r="331" spans="1:17" x14ac:dyDescent="0.25">
      <c r="A331" s="1">
        <v>16.45</v>
      </c>
      <c r="B331" s="1">
        <v>4.6767999999999997E-2</v>
      </c>
      <c r="C331" s="1">
        <v>4.1200999999999998E-3</v>
      </c>
      <c r="D331" s="1">
        <v>9.5621000000000005E-3</v>
      </c>
      <c r="E331" s="1">
        <v>5.3397E-2</v>
      </c>
      <c r="F331" s="1">
        <v>1.2759999999999999E-6</v>
      </c>
      <c r="G331" s="1">
        <v>6.9950000000000001</v>
      </c>
      <c r="H331" s="1">
        <v>1.0949E-7</v>
      </c>
      <c r="I331" s="1">
        <f t="shared" si="45"/>
        <v>1.0949E-7</v>
      </c>
      <c r="J331" s="4">
        <f t="shared" si="46"/>
        <v>-5.6392022533297436E-9</v>
      </c>
      <c r="K331" s="4">
        <f t="shared" si="47"/>
        <v>-1.542130749765081E-8</v>
      </c>
      <c r="L331" s="4">
        <f t="shared" si="48"/>
        <v>-9.8400222015815606E-9</v>
      </c>
      <c r="M331" s="4">
        <f t="shared" si="50"/>
        <v>-1.1186726134620392E-8</v>
      </c>
      <c r="N331" s="5">
        <f t="shared" si="51"/>
        <v>3.4800827164568764E-8</v>
      </c>
      <c r="O331" s="5">
        <f t="shared" si="52"/>
        <v>7.9224090282109886E-7</v>
      </c>
      <c r="P331" s="5">
        <f t="shared" si="53"/>
        <v>9.7295827001433293E-7</v>
      </c>
      <c r="Q331" s="1">
        <f t="shared" si="49"/>
        <v>1.8000000000000006E-6</v>
      </c>
    </row>
    <row r="332" spans="1:17" x14ac:dyDescent="0.25">
      <c r="A332" s="1">
        <v>16.5</v>
      </c>
      <c r="B332" s="1">
        <v>4.6691000000000003E-2</v>
      </c>
      <c r="C332" s="1">
        <v>4.1270999999999999E-3</v>
      </c>
      <c r="D332" s="1">
        <v>9.5969999999999996E-3</v>
      </c>
      <c r="E332" s="1">
        <v>5.3315000000000001E-2</v>
      </c>
      <c r="F332" s="1">
        <v>1.28E-6</v>
      </c>
      <c r="G332" s="1">
        <v>6.9943999999999997</v>
      </c>
      <c r="H332" s="1">
        <v>1.0963E-7</v>
      </c>
      <c r="I332" s="1">
        <f t="shared" si="45"/>
        <v>1.0963E-7</v>
      </c>
      <c r="J332" s="4">
        <f t="shared" si="46"/>
        <v>-5.6661871569499709E-9</v>
      </c>
      <c r="K332" s="4">
        <f t="shared" si="47"/>
        <v>-1.5448697605011647E-8</v>
      </c>
      <c r="L332" s="4">
        <f t="shared" si="48"/>
        <v>-9.8402287760311853E-9</v>
      </c>
      <c r="M332" s="4">
        <f t="shared" si="50"/>
        <v>-1.1185566103306437E-8</v>
      </c>
      <c r="N332" s="5">
        <f t="shared" si="51"/>
        <v>3.4743108836599252E-8</v>
      </c>
      <c r="O332" s="5">
        <f t="shared" si="52"/>
        <v>7.936439584763436E-7</v>
      </c>
      <c r="P332" s="5">
        <f t="shared" si="53"/>
        <v>9.716129326870577E-7</v>
      </c>
      <c r="Q332" s="1">
        <f t="shared" si="49"/>
        <v>1.8000000000000006E-6</v>
      </c>
    </row>
    <row r="333" spans="1:17" x14ac:dyDescent="0.25">
      <c r="A333" s="1">
        <v>16.55</v>
      </c>
      <c r="B333" s="1">
        <v>4.6614999999999997E-2</v>
      </c>
      <c r="C333" s="1">
        <v>4.1340999999999999E-3</v>
      </c>
      <c r="D333" s="1">
        <v>9.6317999999999994E-3</v>
      </c>
      <c r="E333" s="1">
        <v>5.3232000000000002E-2</v>
      </c>
      <c r="F333" s="1">
        <v>1.2840999999999999E-6</v>
      </c>
      <c r="G333" s="1">
        <v>6.9936999999999996</v>
      </c>
      <c r="H333" s="1">
        <v>1.0977999999999999E-7</v>
      </c>
      <c r="I333" s="1">
        <f t="shared" si="45"/>
        <v>1.0977999999999999E-7</v>
      </c>
      <c r="J333" s="4">
        <f t="shared" si="46"/>
        <v>-5.6923109517885023E-9</v>
      </c>
      <c r="K333" s="4">
        <f t="shared" si="47"/>
        <v>-1.547605719028892E-8</v>
      </c>
      <c r="L333" s="4">
        <f t="shared" si="48"/>
        <v>-9.839570838575053E-9</v>
      </c>
      <c r="M333" s="4">
        <f t="shared" si="50"/>
        <v>-1.1184382210100782E-8</v>
      </c>
      <c r="N333" s="5">
        <f t="shared" si="51"/>
        <v>3.4687284236524616E-8</v>
      </c>
      <c r="O333" s="5">
        <f t="shared" si="52"/>
        <v>7.9504459444794405E-7</v>
      </c>
      <c r="P333" s="5">
        <f t="shared" si="53"/>
        <v>9.7026812131553198E-7</v>
      </c>
      <c r="Q333" s="1">
        <f t="shared" si="49"/>
        <v>1.8000000000000006E-6</v>
      </c>
    </row>
    <row r="334" spans="1:17" x14ac:dyDescent="0.25">
      <c r="A334" s="1">
        <v>16.600000000000001</v>
      </c>
      <c r="B334" s="1">
        <v>4.6538000000000003E-2</v>
      </c>
      <c r="C334" s="1">
        <v>4.1409999999999997E-3</v>
      </c>
      <c r="D334" s="1">
        <v>9.6667000000000003E-3</v>
      </c>
      <c r="E334" s="1">
        <v>5.3150000000000003E-2</v>
      </c>
      <c r="F334" s="1">
        <v>1.2882E-6</v>
      </c>
      <c r="G334" s="1">
        <v>6.9931000000000001</v>
      </c>
      <c r="H334" s="1">
        <v>1.0991999999999999E-7</v>
      </c>
      <c r="I334" s="1">
        <f t="shared" si="45"/>
        <v>1.0991999999999999E-7</v>
      </c>
      <c r="J334" s="4">
        <f t="shared" si="46"/>
        <v>-5.7196307321717314E-9</v>
      </c>
      <c r="K334" s="4">
        <f t="shared" si="47"/>
        <v>-1.5503369591735128E-8</v>
      </c>
      <c r="L334" s="4">
        <f t="shared" si="48"/>
        <v>-9.8398850557597344E-9</v>
      </c>
      <c r="M334" s="4">
        <f t="shared" si="50"/>
        <v>-1.1184183607592163E-8</v>
      </c>
      <c r="N334" s="5">
        <f t="shared" si="51"/>
        <v>3.4631138040328276E-8</v>
      </c>
      <c r="O334" s="5">
        <f t="shared" si="52"/>
        <v>7.9644503919597284E-7</v>
      </c>
      <c r="P334" s="5">
        <f t="shared" si="53"/>
        <v>9.6892382276369969E-7</v>
      </c>
      <c r="Q334" s="1">
        <f t="shared" si="49"/>
        <v>1.8000000000000008E-6</v>
      </c>
    </row>
    <row r="335" spans="1:17" x14ac:dyDescent="0.25">
      <c r="A335" s="1">
        <v>16.649999999999999</v>
      </c>
      <c r="B335" s="1">
        <v>4.6462000000000003E-2</v>
      </c>
      <c r="C335" s="1">
        <v>4.1479000000000004E-3</v>
      </c>
      <c r="D335" s="1">
        <v>9.7015000000000001E-3</v>
      </c>
      <c r="E335" s="1">
        <v>5.3067999999999997E-2</v>
      </c>
      <c r="F335" s="1">
        <v>1.2922000000000001E-6</v>
      </c>
      <c r="G335" s="1">
        <v>6.9923999999999999</v>
      </c>
      <c r="H335" s="1">
        <v>1.1005999999999999E-7</v>
      </c>
      <c r="I335" s="1">
        <f t="shared" si="45"/>
        <v>1.1005999999999999E-7</v>
      </c>
      <c r="J335" s="4">
        <f t="shared" si="46"/>
        <v>-5.7468962012734984E-9</v>
      </c>
      <c r="K335" s="4">
        <f t="shared" si="47"/>
        <v>-1.5530678264320587E-8</v>
      </c>
      <c r="L335" s="4">
        <f t="shared" si="48"/>
        <v>-9.8401433190141196E-9</v>
      </c>
      <c r="M335" s="4">
        <f t="shared" si="50"/>
        <v>-1.118293119280888E-8</v>
      </c>
      <c r="N335" s="5">
        <f t="shared" si="51"/>
        <v>3.4574776784361242E-8</v>
      </c>
      <c r="O335" s="5">
        <f t="shared" si="52"/>
        <v>7.9784418832573467E-7</v>
      </c>
      <c r="P335" s="5">
        <f t="shared" si="53"/>
        <v>9.6758103488990497E-7</v>
      </c>
      <c r="Q335" s="1">
        <f t="shared" si="49"/>
        <v>1.800000000000001E-6</v>
      </c>
    </row>
    <row r="336" spans="1:17" x14ac:dyDescent="0.25">
      <c r="A336" s="1">
        <v>16.7</v>
      </c>
      <c r="B336" s="1">
        <v>4.6385000000000003E-2</v>
      </c>
      <c r="C336" s="1">
        <v>4.1548000000000002E-3</v>
      </c>
      <c r="D336" s="1">
        <v>9.7362999999999998E-3</v>
      </c>
      <c r="E336" s="1">
        <v>5.2984999999999997E-2</v>
      </c>
      <c r="F336" s="1">
        <v>1.2962E-6</v>
      </c>
      <c r="G336" s="1">
        <v>6.9917999999999996</v>
      </c>
      <c r="H336" s="1">
        <v>1.1019999999999999E-7</v>
      </c>
      <c r="I336" s="1">
        <f t="shared" si="45"/>
        <v>1.1019999999999999E-7</v>
      </c>
      <c r="J336" s="4">
        <f t="shared" si="46"/>
        <v>-5.7732299821804041E-9</v>
      </c>
      <c r="K336" s="4">
        <f t="shared" si="47"/>
        <v>-1.5557961672352046E-8</v>
      </c>
      <c r="L336" s="4">
        <f t="shared" si="48"/>
        <v>-9.8394299650328978E-9</v>
      </c>
      <c r="M336" s="4">
        <f t="shared" si="50"/>
        <v>-1.1181656713498369E-8</v>
      </c>
      <c r="N336" s="5">
        <f t="shared" si="51"/>
        <v>3.4520078509499985E-8</v>
      </c>
      <c r="O336" s="5">
        <f t="shared" si="52"/>
        <v>7.9924111334906139E-7</v>
      </c>
      <c r="P336" s="5">
        <f t="shared" si="53"/>
        <v>9.6623880814143959E-7</v>
      </c>
      <c r="Q336" s="1">
        <f t="shared" si="49"/>
        <v>1.800000000000001E-6</v>
      </c>
    </row>
    <row r="337" spans="1:17" x14ac:dyDescent="0.25">
      <c r="A337" s="1">
        <v>16.75</v>
      </c>
      <c r="B337" s="1">
        <v>4.6309000000000003E-2</v>
      </c>
      <c r="C337" s="1">
        <v>4.1615999999999997E-3</v>
      </c>
      <c r="D337" s="1">
        <v>9.7710000000000002E-3</v>
      </c>
      <c r="E337" s="1">
        <v>5.2902999999999999E-2</v>
      </c>
      <c r="F337" s="1">
        <v>1.3003000000000001E-6</v>
      </c>
      <c r="G337" s="1">
        <v>6.9912000000000001</v>
      </c>
      <c r="H337" s="1">
        <v>1.1033999999999999E-7</v>
      </c>
      <c r="I337" s="1">
        <f t="shared" si="45"/>
        <v>1.1033999999999999E-7</v>
      </c>
      <c r="J337" s="4">
        <f t="shared" si="46"/>
        <v>-5.7998372775315611E-9</v>
      </c>
      <c r="K337" s="4">
        <f t="shared" si="47"/>
        <v>-1.5585201710306922E-8</v>
      </c>
      <c r="L337" s="4">
        <f t="shared" si="48"/>
        <v>-9.8388610501661814E-9</v>
      </c>
      <c r="M337" s="4">
        <f t="shared" si="50"/>
        <v>-1.1180349249004754E-8</v>
      </c>
      <c r="N337" s="5">
        <f t="shared" si="51"/>
        <v>3.4466581892109164E-8</v>
      </c>
      <c r="O337" s="5">
        <f t="shared" si="52"/>
        <v>8.0063609816529084E-7</v>
      </c>
      <c r="P337" s="5">
        <f t="shared" si="53"/>
        <v>9.648973199426009E-7</v>
      </c>
      <c r="Q337" s="1">
        <f t="shared" si="49"/>
        <v>1.800000000000001E-6</v>
      </c>
    </row>
    <row r="338" spans="1:17" x14ac:dyDescent="0.25">
      <c r="A338" s="1">
        <v>16.8</v>
      </c>
      <c r="B338" s="1">
        <v>4.6233000000000003E-2</v>
      </c>
      <c r="C338" s="1">
        <v>4.1684000000000001E-3</v>
      </c>
      <c r="D338" s="1">
        <v>9.8057999999999999E-3</v>
      </c>
      <c r="E338" s="1">
        <v>5.2821E-2</v>
      </c>
      <c r="F338" s="1">
        <v>1.3042999999999999E-6</v>
      </c>
      <c r="G338" s="1">
        <v>6.9904999999999999</v>
      </c>
      <c r="H338" s="1">
        <v>1.1049000000000001E-7</v>
      </c>
      <c r="I338" s="1">
        <f t="shared" si="45"/>
        <v>1.1049000000000001E-7</v>
      </c>
      <c r="J338" s="4">
        <f t="shared" si="46"/>
        <v>-5.8275410433533534E-9</v>
      </c>
      <c r="K338" s="4">
        <f t="shared" si="47"/>
        <v>-1.5612403914223393E-8</v>
      </c>
      <c r="L338" s="4">
        <f t="shared" si="48"/>
        <v>-9.8394353290668929E-9</v>
      </c>
      <c r="M338" s="4">
        <f t="shared" si="50"/>
        <v>-1.117901087965915E-8</v>
      </c>
      <c r="N338" s="5">
        <f t="shared" si="51"/>
        <v>3.4412009433912318E-8</v>
      </c>
      <c r="O338" s="5">
        <f t="shared" si="52"/>
        <v>8.0203024617407992E-7</v>
      </c>
      <c r="P338" s="5">
        <f t="shared" si="53"/>
        <v>9.6355774439200876E-7</v>
      </c>
      <c r="Q338" s="1">
        <f t="shared" si="49"/>
        <v>1.800000000000001E-6</v>
      </c>
    </row>
    <row r="339" spans="1:17" x14ac:dyDescent="0.25">
      <c r="A339" s="1">
        <v>16.850000000000001</v>
      </c>
      <c r="B339" s="1">
        <v>4.6156000000000003E-2</v>
      </c>
      <c r="C339" s="1">
        <v>4.1751000000000002E-3</v>
      </c>
      <c r="D339" s="1">
        <v>9.8405999999999997E-3</v>
      </c>
      <c r="E339" s="1">
        <v>5.2739000000000001E-2</v>
      </c>
      <c r="F339" s="1">
        <v>1.3083E-6</v>
      </c>
      <c r="G339" s="1">
        <v>6.9898999999999996</v>
      </c>
      <c r="H339" s="1">
        <v>1.1063000000000001E-7</v>
      </c>
      <c r="I339" s="1">
        <f t="shared" si="45"/>
        <v>1.1063000000000001E-7</v>
      </c>
      <c r="J339" s="4">
        <f t="shared" si="46"/>
        <v>-5.8541658486838222E-9</v>
      </c>
      <c r="K339" s="4">
        <f t="shared" si="47"/>
        <v>-1.5639589800394782E-8</v>
      </c>
      <c r="L339" s="4">
        <f t="shared" si="48"/>
        <v>-9.8388025095247394E-9</v>
      </c>
      <c r="M339" s="4">
        <f t="shared" si="50"/>
        <v>-1.117866699367683E-8</v>
      </c>
      <c r="N339" s="5">
        <f t="shared" si="51"/>
        <v>3.4358630876098543E-8</v>
      </c>
      <c r="O339" s="5">
        <f t="shared" si="52"/>
        <v>8.0342348921604569E-7</v>
      </c>
      <c r="P339" s="5">
        <f t="shared" si="53"/>
        <v>9.6221787990785651E-7</v>
      </c>
      <c r="Q339" s="1">
        <f t="shared" si="49"/>
        <v>1.8000000000000008E-6</v>
      </c>
    </row>
    <row r="340" spans="1:17" x14ac:dyDescent="0.25">
      <c r="A340" s="1">
        <v>16.899999999999999</v>
      </c>
      <c r="B340" s="1">
        <v>4.6080000000000003E-2</v>
      </c>
      <c r="C340" s="1">
        <v>4.1818000000000003E-3</v>
      </c>
      <c r="D340" s="1">
        <v>9.8753000000000001E-3</v>
      </c>
      <c r="E340" s="1">
        <v>5.2657000000000002E-2</v>
      </c>
      <c r="F340" s="1">
        <v>1.3122999999999999E-6</v>
      </c>
      <c r="G340" s="1">
        <v>6.9893000000000001</v>
      </c>
      <c r="H340" s="1">
        <v>1.1077000000000001E-7</v>
      </c>
      <c r="I340" s="1">
        <f t="shared" si="45"/>
        <v>1.1077000000000001E-7</v>
      </c>
      <c r="J340" s="4">
        <f t="shared" si="46"/>
        <v>-5.8809912400990463E-9</v>
      </c>
      <c r="K340" s="4">
        <f t="shared" si="47"/>
        <v>-1.5666758039712001E-8</v>
      </c>
      <c r="L340" s="4">
        <f t="shared" si="48"/>
        <v>-9.8383706152875641E-9</v>
      </c>
      <c r="M340" s="4">
        <f t="shared" si="50"/>
        <v>-1.1177267225691013E-8</v>
      </c>
      <c r="N340" s="5">
        <f t="shared" si="51"/>
        <v>3.4306027060423937E-8</v>
      </c>
      <c r="O340" s="5">
        <f t="shared" si="52"/>
        <v>8.0481498964212367E-7</v>
      </c>
      <c r="P340" s="5">
        <f t="shared" si="53"/>
        <v>9.6087898329745307E-7</v>
      </c>
      <c r="Q340" s="1">
        <f t="shared" si="49"/>
        <v>1.8000000000000006E-6</v>
      </c>
    </row>
    <row r="341" spans="1:17" x14ac:dyDescent="0.25">
      <c r="A341" s="1">
        <v>16.95</v>
      </c>
      <c r="B341" s="1">
        <v>4.6004000000000003E-2</v>
      </c>
      <c r="C341" s="1">
        <v>4.1884000000000001E-3</v>
      </c>
      <c r="D341" s="1">
        <v>9.9100000000000004E-3</v>
      </c>
      <c r="E341" s="1">
        <v>5.2574999999999997E-2</v>
      </c>
      <c r="F341" s="1">
        <v>1.3163E-6</v>
      </c>
      <c r="G341" s="1">
        <v>6.9885999999999999</v>
      </c>
      <c r="H341" s="1">
        <v>1.1091000000000001E-7</v>
      </c>
      <c r="I341" s="1">
        <f t="shared" si="45"/>
        <v>1.1091000000000001E-7</v>
      </c>
      <c r="J341" s="4">
        <f t="shared" si="46"/>
        <v>-5.9079482636343609E-9</v>
      </c>
      <c r="K341" s="4">
        <f t="shared" si="47"/>
        <v>-1.5693892298021634E-8</v>
      </c>
      <c r="L341" s="4">
        <f t="shared" si="48"/>
        <v>-9.8380214252115191E-9</v>
      </c>
      <c r="M341" s="4">
        <f t="shared" si="50"/>
        <v>-1.1175839322885342E-8</v>
      </c>
      <c r="N341" s="5">
        <f t="shared" si="51"/>
        <v>3.4253949669599692E-8</v>
      </c>
      <c r="O341" s="5">
        <f t="shared" si="52"/>
        <v>8.062048849306218E-7</v>
      </c>
      <c r="P341" s="5">
        <f t="shared" si="53"/>
        <v>9.5954116539977924E-7</v>
      </c>
      <c r="Q341" s="1">
        <f t="shared" si="49"/>
        <v>1.8000000000000008E-6</v>
      </c>
    </row>
    <row r="342" spans="1:17" x14ac:dyDescent="0.25">
      <c r="A342" s="1">
        <v>17</v>
      </c>
      <c r="B342" s="1">
        <v>4.5927999999999997E-2</v>
      </c>
      <c r="C342" s="1">
        <v>4.1949999999999999E-3</v>
      </c>
      <c r="D342" s="1">
        <v>9.9447000000000008E-3</v>
      </c>
      <c r="E342" s="1">
        <v>5.2492999999999998E-2</v>
      </c>
      <c r="F342" s="1">
        <v>1.3203000000000001E-6</v>
      </c>
      <c r="G342" s="1">
        <v>6.9880000000000004</v>
      </c>
      <c r="H342" s="1">
        <v>1.1105000000000001E-7</v>
      </c>
      <c r="I342" s="1">
        <f t="shared" si="45"/>
        <v>1.1105000000000001E-7</v>
      </c>
      <c r="J342" s="4">
        <f t="shared" si="46"/>
        <v>-5.9349958260509675E-9</v>
      </c>
      <c r="K342" s="4">
        <f t="shared" si="47"/>
        <v>-1.572099525614735E-8</v>
      </c>
      <c r="L342" s="4">
        <f t="shared" si="48"/>
        <v>-9.8376850493938518E-9</v>
      </c>
      <c r="M342" s="4">
        <f t="shared" si="50"/>
        <v>-1.1174384618721559E-8</v>
      </c>
      <c r="N342" s="5">
        <f t="shared" si="51"/>
        <v>3.4202264050302218E-8</v>
      </c>
      <c r="O342" s="5">
        <f t="shared" si="52"/>
        <v>8.0759327011924704E-7</v>
      </c>
      <c r="P342" s="5">
        <f t="shared" si="53"/>
        <v>9.5820446583045142E-7</v>
      </c>
      <c r="Q342" s="1">
        <f t="shared" si="49"/>
        <v>1.8000000000000006E-6</v>
      </c>
    </row>
    <row r="343" spans="1:17" x14ac:dyDescent="0.25">
      <c r="A343" s="1">
        <v>17.05</v>
      </c>
      <c r="B343" s="1">
        <v>4.5852999999999998E-2</v>
      </c>
      <c r="C343" s="1">
        <v>4.2015000000000004E-3</v>
      </c>
      <c r="D343" s="1">
        <v>9.9793999999999994E-3</v>
      </c>
      <c r="E343" s="1">
        <v>5.2412E-2</v>
      </c>
      <c r="F343" s="1">
        <v>1.3242E-6</v>
      </c>
      <c r="G343" s="1">
        <v>6.9874000000000001</v>
      </c>
      <c r="H343" s="1">
        <v>1.1119000000000001E-7</v>
      </c>
      <c r="I343" s="1">
        <f t="shared" si="45"/>
        <v>1.1119000000000001E-7</v>
      </c>
      <c r="J343" s="4">
        <f t="shared" si="46"/>
        <v>-5.9621116152579046E-9</v>
      </c>
      <c r="K343" s="4">
        <f t="shared" si="47"/>
        <v>-1.5748068767325544E-8</v>
      </c>
      <c r="L343" s="4">
        <f t="shared" si="48"/>
        <v>-9.837323856940792E-9</v>
      </c>
      <c r="M343" s="4">
        <f t="shared" si="50"/>
        <v>-1.1172903622699678E-8</v>
      </c>
      <c r="N343" s="5">
        <f t="shared" si="51"/>
        <v>3.4150897345429071E-8</v>
      </c>
      <c r="O343" s="5">
        <f t="shared" si="52"/>
        <v>8.0898021658987906E-7</v>
      </c>
      <c r="P343" s="5">
        <f t="shared" si="53"/>
        <v>9.5686888606469246E-7</v>
      </c>
      <c r="Q343" s="1">
        <f t="shared" si="49"/>
        <v>1.8000000000000006E-6</v>
      </c>
    </row>
    <row r="344" spans="1:17" x14ac:dyDescent="0.25">
      <c r="A344" s="1">
        <v>17.100000000000001</v>
      </c>
      <c r="B344" s="1">
        <v>4.5776999999999998E-2</v>
      </c>
      <c r="C344" s="1">
        <v>4.2079999999999999E-3</v>
      </c>
      <c r="D344" s="1">
        <v>1.0014E-2</v>
      </c>
      <c r="E344" s="1">
        <v>5.2330000000000002E-2</v>
      </c>
      <c r="F344" s="1">
        <v>1.3282E-6</v>
      </c>
      <c r="G344" s="1">
        <v>6.9866999999999999</v>
      </c>
      <c r="H344" s="1">
        <v>1.1133E-7</v>
      </c>
      <c r="I344" s="1">
        <f t="shared" si="45"/>
        <v>1.1133E-7</v>
      </c>
      <c r="J344" s="4">
        <f t="shared" si="46"/>
        <v>-5.9883791106271753E-9</v>
      </c>
      <c r="K344" s="4">
        <f t="shared" si="47"/>
        <v>-1.5775114223502865E-8</v>
      </c>
      <c r="L344" s="4">
        <f t="shared" si="48"/>
        <v>-9.8363626542568701E-9</v>
      </c>
      <c r="M344" s="4">
        <f t="shared" si="50"/>
        <v>-1.1171396401361141E-8</v>
      </c>
      <c r="N344" s="5">
        <f t="shared" si="51"/>
        <v>3.410126980404789E-8</v>
      </c>
      <c r="O344" s="5">
        <f t="shared" si="52"/>
        <v>8.1036487787836456E-7</v>
      </c>
      <c r="P344" s="5">
        <f t="shared" si="53"/>
        <v>9.5553385231758821E-7</v>
      </c>
      <c r="Q344" s="1">
        <f t="shared" si="49"/>
        <v>1.8000000000000006E-6</v>
      </c>
    </row>
    <row r="345" spans="1:17" x14ac:dyDescent="0.25">
      <c r="A345" s="1">
        <v>17.149999999999999</v>
      </c>
      <c r="B345" s="1">
        <v>4.5700999999999999E-2</v>
      </c>
      <c r="C345" s="1">
        <v>4.2145000000000004E-3</v>
      </c>
      <c r="D345" s="1">
        <v>1.0049000000000001E-2</v>
      </c>
      <c r="E345" s="1">
        <v>5.2248000000000003E-2</v>
      </c>
      <c r="F345" s="1">
        <v>1.3320999999999999E-6</v>
      </c>
      <c r="G345" s="1">
        <v>6.9861000000000004</v>
      </c>
      <c r="H345" s="1">
        <v>1.1147E-7</v>
      </c>
      <c r="I345" s="1">
        <f t="shared" si="45"/>
        <v>1.1147E-7</v>
      </c>
      <c r="J345" s="4">
        <f t="shared" si="46"/>
        <v>-6.0158569764669289E-9</v>
      </c>
      <c r="K345" s="4">
        <f t="shared" si="47"/>
        <v>-1.5802115118627211E-8</v>
      </c>
      <c r="L345" s="4">
        <f t="shared" si="48"/>
        <v>-9.8363247376211012E-9</v>
      </c>
      <c r="M345" s="4">
        <f t="shared" si="50"/>
        <v>-1.116985629674366E-8</v>
      </c>
      <c r="N345" s="5">
        <f t="shared" si="51"/>
        <v>3.4051203208587071E-8</v>
      </c>
      <c r="O345" s="5">
        <f t="shared" si="52"/>
        <v>8.1174847603294786E-7</v>
      </c>
      <c r="P345" s="5">
        <f t="shared" si="53"/>
        <v>9.5420032075846549E-7</v>
      </c>
      <c r="Q345" s="1">
        <f t="shared" si="49"/>
        <v>1.8000000000000006E-6</v>
      </c>
    </row>
    <row r="346" spans="1:17" x14ac:dyDescent="0.25">
      <c r="A346" s="1">
        <v>17.2</v>
      </c>
      <c r="B346" s="1">
        <v>4.5624999999999999E-2</v>
      </c>
      <c r="C346" s="1">
        <v>4.2208999999999997E-3</v>
      </c>
      <c r="D346" s="1">
        <v>1.0083E-2</v>
      </c>
      <c r="E346" s="1">
        <v>5.2165999999999997E-2</v>
      </c>
      <c r="F346" s="1">
        <v>1.3361E-6</v>
      </c>
      <c r="G346" s="1">
        <v>6.9855</v>
      </c>
      <c r="H346" s="1">
        <v>1.1162E-7</v>
      </c>
      <c r="I346" s="1">
        <f t="shared" si="45"/>
        <v>1.1162E-7</v>
      </c>
      <c r="J346" s="4">
        <f t="shared" si="46"/>
        <v>-6.042353354259984E-9</v>
      </c>
      <c r="K346" s="4">
        <f t="shared" si="47"/>
        <v>-1.5829095282642708E-8</v>
      </c>
      <c r="L346" s="4">
        <f t="shared" si="48"/>
        <v>-9.8352874703213658E-9</v>
      </c>
      <c r="M346" s="4">
        <f t="shared" si="50"/>
        <v>-1.1168294524269506E-8</v>
      </c>
      <c r="N346" s="5">
        <f t="shared" si="51"/>
        <v>3.4002657666648424E-8</v>
      </c>
      <c r="O346" s="5">
        <f t="shared" si="52"/>
        <v>8.1313002862883469E-7</v>
      </c>
      <c r="P346" s="5">
        <f t="shared" si="53"/>
        <v>9.5286731370451725E-7</v>
      </c>
      <c r="Q346" s="1">
        <f t="shared" si="49"/>
        <v>1.8000000000000003E-6</v>
      </c>
    </row>
    <row r="347" spans="1:17" x14ac:dyDescent="0.25">
      <c r="A347" s="1">
        <v>17.25</v>
      </c>
      <c r="B347" s="1">
        <v>4.555E-2</v>
      </c>
      <c r="C347" s="1">
        <v>4.2272000000000004E-3</v>
      </c>
      <c r="D347" s="1">
        <v>1.0118E-2</v>
      </c>
      <c r="E347" s="1">
        <v>5.2084999999999999E-2</v>
      </c>
      <c r="F347" s="1">
        <v>1.3400000000000001E-6</v>
      </c>
      <c r="G347" s="1">
        <v>6.9848999999999997</v>
      </c>
      <c r="H347" s="1">
        <v>1.1176E-7</v>
      </c>
      <c r="I347" s="1">
        <f t="shared" si="45"/>
        <v>1.1176E-7</v>
      </c>
      <c r="J347" s="4">
        <f t="shared" si="46"/>
        <v>-6.0700293508726071E-9</v>
      </c>
      <c r="K347" s="4">
        <f t="shared" si="47"/>
        <v>-1.5856035558262502E-8</v>
      </c>
      <c r="L347" s="4">
        <f t="shared" si="48"/>
        <v>-9.8352965881155953E-9</v>
      </c>
      <c r="M347" s="4">
        <f t="shared" si="50"/>
        <v>-1.1167700203348472E-8</v>
      </c>
      <c r="N347" s="5">
        <f t="shared" si="51"/>
        <v>3.3953367285922729E-8</v>
      </c>
      <c r="O347" s="5">
        <f t="shared" si="52"/>
        <v>8.1451172262479337E-7</v>
      </c>
      <c r="P347" s="5">
        <f t="shared" si="53"/>
        <v>9.5153491008928428E-7</v>
      </c>
      <c r="Q347" s="1">
        <f t="shared" si="49"/>
        <v>1.8000000000000003E-6</v>
      </c>
    </row>
    <row r="348" spans="1:17" x14ac:dyDescent="0.25">
      <c r="A348" s="1">
        <v>17.3</v>
      </c>
      <c r="B348" s="1">
        <v>4.5474000000000001E-2</v>
      </c>
      <c r="C348" s="1">
        <v>4.2335000000000003E-3</v>
      </c>
      <c r="D348" s="1">
        <v>1.0153000000000001E-2</v>
      </c>
      <c r="E348" s="1">
        <v>5.2003000000000001E-2</v>
      </c>
      <c r="F348" s="1">
        <v>1.344E-6</v>
      </c>
      <c r="G348" s="1">
        <v>6.9843000000000002</v>
      </c>
      <c r="H348" s="1">
        <v>1.119E-7</v>
      </c>
      <c r="I348" s="1">
        <f t="shared" si="45"/>
        <v>1.119E-7</v>
      </c>
      <c r="J348" s="4">
        <f t="shared" si="46"/>
        <v>-6.0966666298603726E-9</v>
      </c>
      <c r="K348" s="4">
        <f t="shared" si="47"/>
        <v>-1.5882978591183698E-8</v>
      </c>
      <c r="L348" s="4">
        <f t="shared" si="48"/>
        <v>-9.8344123722205334E-9</v>
      </c>
      <c r="M348" s="4">
        <f t="shared" si="50"/>
        <v>-1.1166071862915892E-8</v>
      </c>
      <c r="N348" s="5">
        <f t="shared" si="51"/>
        <v>3.3905266875025517E-8</v>
      </c>
      <c r="O348" s="5">
        <f t="shared" si="52"/>
        <v>8.1589148252638599E-7</v>
      </c>
      <c r="P348" s="5">
        <f t="shared" si="53"/>
        <v>9.5020325059858882E-7</v>
      </c>
      <c r="Q348" s="1">
        <f t="shared" si="49"/>
        <v>1.8000000000000003E-6</v>
      </c>
    </row>
    <row r="349" spans="1:17" x14ac:dyDescent="0.25">
      <c r="A349" s="1">
        <v>17.350000000000001</v>
      </c>
      <c r="B349" s="1">
        <v>4.5399000000000002E-2</v>
      </c>
      <c r="C349" s="1">
        <v>4.2398000000000002E-3</v>
      </c>
      <c r="D349" s="1">
        <v>1.0187E-2</v>
      </c>
      <c r="E349" s="1">
        <v>5.1922000000000003E-2</v>
      </c>
      <c r="F349" s="1">
        <v>1.3479E-6</v>
      </c>
      <c r="G349" s="1">
        <v>6.9836</v>
      </c>
      <c r="H349" s="1">
        <v>1.1204E-7</v>
      </c>
      <c r="I349" s="1">
        <f t="shared" si="45"/>
        <v>1.1204E-7</v>
      </c>
      <c r="J349" s="4">
        <f t="shared" si="46"/>
        <v>-6.1244304145966953E-9</v>
      </c>
      <c r="K349" s="4">
        <f t="shared" si="47"/>
        <v>-1.5909883909264753E-8</v>
      </c>
      <c r="L349" s="4">
        <f t="shared" si="48"/>
        <v>-9.8342881892011056E-9</v>
      </c>
      <c r="M349" s="4">
        <f t="shared" si="50"/>
        <v>-1.1164413092908277E-8</v>
      </c>
      <c r="N349" s="5">
        <f t="shared" si="51"/>
        <v>3.3856432180492465E-8</v>
      </c>
      <c r="O349" s="5">
        <f t="shared" si="52"/>
        <v>8.1727044212462621E-7</v>
      </c>
      <c r="P349" s="5">
        <f t="shared" si="53"/>
        <v>9.4887312569488164E-7</v>
      </c>
      <c r="Q349" s="1">
        <f t="shared" si="49"/>
        <v>1.8000000000000003E-6</v>
      </c>
    </row>
    <row r="350" spans="1:17" x14ac:dyDescent="0.25">
      <c r="A350" s="1">
        <v>17.399999999999999</v>
      </c>
      <c r="B350" s="1">
        <v>4.5324000000000003E-2</v>
      </c>
      <c r="C350" s="1">
        <v>4.2459999999999998E-3</v>
      </c>
      <c r="D350" s="1">
        <v>1.0222E-2</v>
      </c>
      <c r="E350" s="1">
        <v>5.1840999999999998E-2</v>
      </c>
      <c r="F350" s="1">
        <v>1.3517999999999999E-6</v>
      </c>
      <c r="G350" s="1">
        <v>6.9829999999999997</v>
      </c>
      <c r="H350" s="1">
        <v>1.1218E-7</v>
      </c>
      <c r="I350" s="1">
        <f t="shared" si="45"/>
        <v>1.1218E-7</v>
      </c>
      <c r="J350" s="4">
        <f t="shared" si="46"/>
        <v>-6.1511530985346545E-9</v>
      </c>
      <c r="K350" s="4">
        <f t="shared" si="47"/>
        <v>-1.5936773621429305E-8</v>
      </c>
      <c r="L350" s="4">
        <f t="shared" si="48"/>
        <v>-9.8332792522129463E-9</v>
      </c>
      <c r="M350" s="4">
        <f t="shared" si="50"/>
        <v>-1.1162733225299092E-8</v>
      </c>
      <c r="N350" s="5">
        <f t="shared" si="51"/>
        <v>3.380877345117417E-8</v>
      </c>
      <c r="O350" s="5">
        <f t="shared" si="52"/>
        <v>8.186475548270307E-7</v>
      </c>
      <c r="P350" s="5">
        <f t="shared" si="53"/>
        <v>9.4754367172179548E-7</v>
      </c>
      <c r="Q350" s="1">
        <f t="shared" si="49"/>
        <v>1.8000000000000003E-6</v>
      </c>
    </row>
    <row r="351" spans="1:17" x14ac:dyDescent="0.25">
      <c r="A351" s="1">
        <v>17.45</v>
      </c>
      <c r="B351" s="1">
        <v>4.5248999999999998E-2</v>
      </c>
      <c r="C351" s="1">
        <v>4.2522000000000003E-3</v>
      </c>
      <c r="D351" s="1">
        <v>1.0255999999999999E-2</v>
      </c>
      <c r="E351" s="1">
        <v>5.1758999999999999E-2</v>
      </c>
      <c r="F351" s="1">
        <v>1.3557E-6</v>
      </c>
      <c r="G351" s="1">
        <v>6.9824000000000002</v>
      </c>
      <c r="H351" s="1">
        <v>1.1232E-7</v>
      </c>
      <c r="I351" s="1">
        <f t="shared" si="45"/>
        <v>1.1232E-7</v>
      </c>
      <c r="J351" s="4">
        <f t="shared" si="46"/>
        <v>-6.1780909794164484E-9</v>
      </c>
      <c r="K351" s="4">
        <f t="shared" si="47"/>
        <v>-1.5963627319127326E-8</v>
      </c>
      <c r="L351" s="4">
        <f t="shared" si="48"/>
        <v>-9.8324857229272207E-9</v>
      </c>
      <c r="M351" s="4">
        <f t="shared" si="50"/>
        <v>-1.1161022154844014E-8</v>
      </c>
      <c r="N351" s="5">
        <f t="shared" si="51"/>
        <v>3.3761824067957829E-8</v>
      </c>
      <c r="O351" s="5">
        <f t="shared" si="52"/>
        <v>8.2002304064216386E-7</v>
      </c>
      <c r="P351" s="5">
        <f t="shared" si="53"/>
        <v>9.462151352898787E-7</v>
      </c>
      <c r="Q351" s="1">
        <f t="shared" si="49"/>
        <v>1.8000000000000003E-6</v>
      </c>
    </row>
    <row r="352" spans="1:17" x14ac:dyDescent="0.25">
      <c r="A352" s="1">
        <v>17.5</v>
      </c>
      <c r="B352" s="1">
        <v>4.5172999999999998E-2</v>
      </c>
      <c r="C352" s="1">
        <v>4.2583999999999999E-3</v>
      </c>
      <c r="D352" s="1">
        <v>1.0291E-2</v>
      </c>
      <c r="E352" s="1">
        <v>5.1678000000000002E-2</v>
      </c>
      <c r="F352" s="1">
        <v>1.3596000000000001E-6</v>
      </c>
      <c r="G352" s="1">
        <v>6.9817999999999998</v>
      </c>
      <c r="H352" s="1">
        <v>1.1246E-7</v>
      </c>
      <c r="I352" s="1">
        <f t="shared" si="45"/>
        <v>1.1246E-7</v>
      </c>
      <c r="J352" s="4">
        <f t="shared" si="46"/>
        <v>-6.2051615757923859E-9</v>
      </c>
      <c r="K352" s="4">
        <f t="shared" si="47"/>
        <v>-1.5990449292522422E-8</v>
      </c>
      <c r="L352" s="4">
        <f t="shared" si="48"/>
        <v>-9.8315835045066632E-9</v>
      </c>
      <c r="M352" s="4">
        <f t="shared" si="50"/>
        <v>-1.1159282819554872E-8</v>
      </c>
      <c r="N352" s="5">
        <f t="shared" si="51"/>
        <v>3.3715528280181198E-8</v>
      </c>
      <c r="O352" s="5">
        <f t="shared" si="52"/>
        <v>8.2139703574498869E-7</v>
      </c>
      <c r="P352" s="5">
        <f t="shared" si="53"/>
        <v>9.4488743597483042E-7</v>
      </c>
      <c r="Q352" s="1">
        <f t="shared" si="49"/>
        <v>1.8000000000000003E-6</v>
      </c>
    </row>
    <row r="353" spans="1:17" x14ac:dyDescent="0.25">
      <c r="A353" s="1">
        <v>17.55</v>
      </c>
      <c r="B353" s="1">
        <v>4.5097999999999999E-2</v>
      </c>
      <c r="C353" s="1">
        <v>4.2645000000000001E-3</v>
      </c>
      <c r="D353" s="1">
        <v>1.0325000000000001E-2</v>
      </c>
      <c r="E353" s="1">
        <v>5.1596999999999997E-2</v>
      </c>
      <c r="F353" s="1">
        <v>1.3633999999999999E-6</v>
      </c>
      <c r="G353" s="1">
        <v>6.9812000000000003</v>
      </c>
      <c r="H353" s="1">
        <v>1.126E-7</v>
      </c>
      <c r="I353" s="1">
        <f t="shared" si="45"/>
        <v>1.126E-7</v>
      </c>
      <c r="J353" s="4">
        <f t="shared" si="46"/>
        <v>-6.2323564006739721E-9</v>
      </c>
      <c r="K353" s="4">
        <f t="shared" si="47"/>
        <v>-1.6017242197027508E-8</v>
      </c>
      <c r="L353" s="4">
        <f t="shared" si="48"/>
        <v>-9.8309371389174948E-9</v>
      </c>
      <c r="M353" s="4">
        <f t="shared" si="50"/>
        <v>-1.1157514310221748E-8</v>
      </c>
      <c r="N353" s="5">
        <f t="shared" si="51"/>
        <v>3.366947693761724E-8</v>
      </c>
      <c r="O353" s="5">
        <f t="shared" si="52"/>
        <v>8.2276966425885692E-7</v>
      </c>
      <c r="P353" s="5">
        <f t="shared" si="53"/>
        <v>9.4356085880352611E-7</v>
      </c>
      <c r="Q353" s="1">
        <f t="shared" si="49"/>
        <v>1.8000000000000001E-6</v>
      </c>
    </row>
    <row r="354" spans="1:17" x14ac:dyDescent="0.25">
      <c r="A354" s="1">
        <v>17.600000000000001</v>
      </c>
      <c r="B354" s="1">
        <v>4.5023000000000001E-2</v>
      </c>
      <c r="C354" s="1">
        <v>4.2705E-3</v>
      </c>
      <c r="D354" s="1">
        <v>1.0359999999999999E-2</v>
      </c>
      <c r="E354" s="1">
        <v>5.1515999999999999E-2</v>
      </c>
      <c r="F354" s="1">
        <v>1.3673E-6</v>
      </c>
      <c r="G354" s="1">
        <v>6.9805000000000001</v>
      </c>
      <c r="H354" s="1">
        <v>1.1274E-7</v>
      </c>
      <c r="I354" s="1">
        <f t="shared" si="45"/>
        <v>1.1274E-7</v>
      </c>
      <c r="J354" s="4">
        <f t="shared" si="46"/>
        <v>-6.2586829085690219E-9</v>
      </c>
      <c r="K354" s="4">
        <f t="shared" si="47"/>
        <v>-1.604400845304794E-8</v>
      </c>
      <c r="L354" s="4">
        <f t="shared" si="48"/>
        <v>-9.8295176576115492E-9</v>
      </c>
      <c r="M354" s="4">
        <f t="shared" si="50"/>
        <v>-1.1155720033634248E-8</v>
      </c>
      <c r="N354" s="5">
        <f t="shared" si="51"/>
        <v>3.3625284824484609E-8</v>
      </c>
      <c r="O354" s="5">
        <f t="shared" si="52"/>
        <v>8.2414005874801227E-7</v>
      </c>
      <c r="P354" s="5">
        <f t="shared" si="53"/>
        <v>9.4223465642750334E-7</v>
      </c>
      <c r="Q354" s="1">
        <f t="shared" si="49"/>
        <v>1.8000000000000001E-6</v>
      </c>
    </row>
    <row r="355" spans="1:17" x14ac:dyDescent="0.25">
      <c r="A355" s="1">
        <v>17.649999999999999</v>
      </c>
      <c r="B355" s="1">
        <v>4.4948000000000002E-2</v>
      </c>
      <c r="C355" s="1">
        <v>4.2764999999999999E-3</v>
      </c>
      <c r="D355" s="1">
        <v>1.0394E-2</v>
      </c>
      <c r="E355" s="1">
        <v>5.1434000000000001E-2</v>
      </c>
      <c r="F355" s="1">
        <v>1.3712000000000001E-6</v>
      </c>
      <c r="G355" s="1">
        <v>6.9798999999999998</v>
      </c>
      <c r="H355" s="1">
        <v>1.1288E-7</v>
      </c>
      <c r="I355" s="1">
        <f t="shared" si="45"/>
        <v>1.1288E-7</v>
      </c>
      <c r="J355" s="4">
        <f t="shared" si="46"/>
        <v>-6.2862782358266434E-9</v>
      </c>
      <c r="K355" s="4">
        <f t="shared" si="47"/>
        <v>-1.6070731145585325E-8</v>
      </c>
      <c r="L355" s="4">
        <f t="shared" si="48"/>
        <v>-9.8292417525554587E-9</v>
      </c>
      <c r="M355" s="4">
        <f t="shared" si="50"/>
        <v>-1.1153891192391222E-8</v>
      </c>
      <c r="N355" s="5">
        <f t="shared" si="51"/>
        <v>3.3580495981687835E-8</v>
      </c>
      <c r="O355" s="5">
        <f t="shared" si="52"/>
        <v>8.2550949703064482E-7</v>
      </c>
      <c r="P355" s="5">
        <f t="shared" si="53"/>
        <v>9.4091000698766757E-7</v>
      </c>
      <c r="Q355" s="1">
        <f t="shared" si="49"/>
        <v>1.8000000000000001E-6</v>
      </c>
    </row>
    <row r="356" spans="1:17" x14ac:dyDescent="0.25">
      <c r="A356" s="1">
        <v>17.7</v>
      </c>
      <c r="B356" s="1">
        <v>4.4873999999999997E-2</v>
      </c>
      <c r="C356" s="1">
        <v>4.2824999999999998E-3</v>
      </c>
      <c r="D356" s="1">
        <v>1.0429000000000001E-2</v>
      </c>
      <c r="E356" s="1">
        <v>5.1353000000000003E-2</v>
      </c>
      <c r="F356" s="1">
        <v>1.375E-6</v>
      </c>
      <c r="G356" s="1">
        <v>6.9793000000000003</v>
      </c>
      <c r="H356" s="1">
        <v>1.1302E-7</v>
      </c>
      <c r="I356" s="1">
        <f t="shared" si="45"/>
        <v>1.1302E-7</v>
      </c>
      <c r="J356" s="4">
        <f t="shared" si="46"/>
        <v>-6.3137693934732807E-9</v>
      </c>
      <c r="K356" s="4">
        <f t="shared" si="47"/>
        <v>-1.6097435192097803E-8</v>
      </c>
      <c r="L356" s="4">
        <f t="shared" si="48"/>
        <v>-9.8284788665636267E-9</v>
      </c>
      <c r="M356" s="4">
        <f t="shared" si="50"/>
        <v>-1.1152041766820791E-8</v>
      </c>
      <c r="N356" s="5">
        <f t="shared" si="51"/>
        <v>3.3535682913748724E-8</v>
      </c>
      <c r="O356" s="5">
        <f t="shared" si="52"/>
        <v>8.2687787299884112E-7</v>
      </c>
      <c r="P356" s="5">
        <f t="shared" si="53"/>
        <v>9.3958644408741034E-7</v>
      </c>
      <c r="Q356" s="1">
        <f t="shared" si="49"/>
        <v>1.8000000000000001E-6</v>
      </c>
    </row>
    <row r="357" spans="1:17" x14ac:dyDescent="0.25">
      <c r="A357" s="1">
        <v>17.75</v>
      </c>
      <c r="B357" s="1">
        <v>4.4798999999999999E-2</v>
      </c>
      <c r="C357" s="1">
        <v>4.2884000000000004E-3</v>
      </c>
      <c r="D357" s="1">
        <v>1.0463E-2</v>
      </c>
      <c r="E357" s="1">
        <v>5.1271999999999998E-2</v>
      </c>
      <c r="F357" s="1">
        <v>1.3788E-6</v>
      </c>
      <c r="G357" s="1">
        <v>6.9786999999999999</v>
      </c>
      <c r="H357" s="1">
        <v>1.1316E-7</v>
      </c>
      <c r="I357" s="1">
        <f t="shared" si="45"/>
        <v>1.1316E-7</v>
      </c>
      <c r="J357" s="4">
        <f t="shared" si="46"/>
        <v>-6.3403400508807075E-9</v>
      </c>
      <c r="K357" s="4">
        <f t="shared" si="47"/>
        <v>-1.6124118523477631E-8</v>
      </c>
      <c r="L357" s="4">
        <f t="shared" si="48"/>
        <v>-9.827063657646832E-9</v>
      </c>
      <c r="M357" s="4">
        <f t="shared" si="50"/>
        <v>-1.1150166290629866E-8</v>
      </c>
      <c r="N357" s="5">
        <f t="shared" si="51"/>
        <v>3.3492397728698815E-8</v>
      </c>
      <c r="O357" s="5">
        <f t="shared" si="52"/>
        <v>8.2824426081687403E-7</v>
      </c>
      <c r="P357" s="5">
        <f t="shared" si="53"/>
        <v>9.3826334145442733E-7</v>
      </c>
      <c r="Q357" s="1">
        <f t="shared" si="49"/>
        <v>1.8000000000000001E-6</v>
      </c>
    </row>
    <row r="358" spans="1:17" x14ac:dyDescent="0.25">
      <c r="A358" s="1">
        <v>17.8</v>
      </c>
      <c r="B358" s="1">
        <v>4.4724E-2</v>
      </c>
      <c r="C358" s="1">
        <v>4.2943E-3</v>
      </c>
      <c r="D358" s="1">
        <v>1.0498E-2</v>
      </c>
      <c r="E358" s="1">
        <v>5.1191E-2</v>
      </c>
      <c r="F358" s="1">
        <v>1.3826999999999999E-6</v>
      </c>
      <c r="G358" s="1">
        <v>6.9781000000000004</v>
      </c>
      <c r="H358" s="1">
        <v>1.133E-7</v>
      </c>
      <c r="I358" s="1">
        <f t="shared" si="45"/>
        <v>1.133E-7</v>
      </c>
      <c r="J358" s="4">
        <f t="shared" si="46"/>
        <v>-6.3672043642310211E-9</v>
      </c>
      <c r="K358" s="4">
        <f t="shared" si="47"/>
        <v>-1.6150763085929273E-8</v>
      </c>
      <c r="L358" s="4">
        <f t="shared" si="48"/>
        <v>-9.8259798663753943E-9</v>
      </c>
      <c r="M358" s="4">
        <f t="shared" si="50"/>
        <v>-1.1148257370493372E-8</v>
      </c>
      <c r="N358" s="5">
        <f t="shared" si="51"/>
        <v>3.3449976584021671E-8</v>
      </c>
      <c r="O358" s="5">
        <f t="shared" si="52"/>
        <v>8.2960895946566924E-7</v>
      </c>
      <c r="P358" s="5">
        <f t="shared" si="53"/>
        <v>9.3694106395030931E-7</v>
      </c>
      <c r="Q358" s="1">
        <f t="shared" si="49"/>
        <v>1.8000000000000001E-6</v>
      </c>
    </row>
    <row r="359" spans="1:17" x14ac:dyDescent="0.25">
      <c r="A359" s="1">
        <v>17.850000000000001</v>
      </c>
      <c r="B359" s="1">
        <v>4.4649000000000001E-2</v>
      </c>
      <c r="C359" s="1">
        <v>4.3001999999999997E-3</v>
      </c>
      <c r="D359" s="1">
        <v>1.0532E-2</v>
      </c>
      <c r="E359" s="1">
        <v>5.1110999999999997E-2</v>
      </c>
      <c r="F359" s="1">
        <v>1.3865E-6</v>
      </c>
      <c r="G359" s="1">
        <v>6.9775</v>
      </c>
      <c r="H359" s="1">
        <v>1.1344E-7</v>
      </c>
      <c r="I359" s="1">
        <f t="shared" si="45"/>
        <v>1.1344E-7</v>
      </c>
      <c r="J359" s="4">
        <f t="shared" si="46"/>
        <v>-6.3951648482445192E-9</v>
      </c>
      <c r="K359" s="4">
        <f t="shared" si="47"/>
        <v>-1.6177374709580778E-8</v>
      </c>
      <c r="L359" s="4">
        <f t="shared" si="48"/>
        <v>-9.8257450462711628E-9</v>
      </c>
      <c r="M359" s="4">
        <f t="shared" si="50"/>
        <v>-1.1146319367285014E-8</v>
      </c>
      <c r="N359" s="5">
        <f t="shared" si="51"/>
        <v>3.3406441399086773E-8</v>
      </c>
      <c r="O359" s="5">
        <f t="shared" si="52"/>
        <v>8.3097306897161794E-7</v>
      </c>
      <c r="P359" s="5">
        <f t="shared" si="53"/>
        <v>9.3562048962929549E-7</v>
      </c>
      <c r="Q359" s="1">
        <f t="shared" si="49"/>
        <v>1.8000000000000001E-6</v>
      </c>
    </row>
    <row r="360" spans="1:17" x14ac:dyDescent="0.25">
      <c r="A360" s="1">
        <v>17.899999999999999</v>
      </c>
      <c r="B360" s="1">
        <v>4.4574999999999997E-2</v>
      </c>
      <c r="C360" s="1">
        <v>4.3059999999999999E-3</v>
      </c>
      <c r="D360" s="1">
        <v>1.0566000000000001E-2</v>
      </c>
      <c r="E360" s="1">
        <v>5.1029999999999999E-2</v>
      </c>
      <c r="F360" s="1">
        <v>1.3903000000000001E-6</v>
      </c>
      <c r="G360" s="1">
        <v>6.9768999999999997</v>
      </c>
      <c r="H360" s="1">
        <v>1.1358E-7</v>
      </c>
      <c r="I360" s="1">
        <f t="shared" si="45"/>
        <v>1.1358E-7</v>
      </c>
      <c r="J360" s="4">
        <f t="shared" si="46"/>
        <v>-6.4219949981265918E-9</v>
      </c>
      <c r="K360" s="4">
        <f t="shared" si="47"/>
        <v>-1.6203974844945629E-8</v>
      </c>
      <c r="L360" s="4">
        <f t="shared" si="48"/>
        <v>-9.8245476620943393E-9</v>
      </c>
      <c r="M360" s="4">
        <f t="shared" si="50"/>
        <v>-1.1144362776071831E-8</v>
      </c>
      <c r="N360" s="5">
        <f t="shared" si="51"/>
        <v>3.3363873583811473E-8</v>
      </c>
      <c r="O360" s="5">
        <f t="shared" si="52"/>
        <v>8.323354519008707E-7</v>
      </c>
      <c r="P360" s="5">
        <f t="shared" si="53"/>
        <v>9.3430067451531802E-7</v>
      </c>
      <c r="Q360" s="1">
        <f t="shared" si="49"/>
        <v>1.8000000000000001E-6</v>
      </c>
    </row>
    <row r="361" spans="1:17" x14ac:dyDescent="0.25">
      <c r="A361" s="1">
        <v>17.95</v>
      </c>
      <c r="B361" s="1">
        <v>4.4500999999999999E-2</v>
      </c>
      <c r="C361" s="1">
        <v>4.3116999999999999E-3</v>
      </c>
      <c r="D361" s="1">
        <v>1.0600999999999999E-2</v>
      </c>
      <c r="E361" s="1">
        <v>5.0949000000000001E-2</v>
      </c>
      <c r="F361" s="1">
        <v>1.3940999999999999E-6</v>
      </c>
      <c r="G361" s="1">
        <v>6.9763000000000002</v>
      </c>
      <c r="H361" s="1">
        <v>1.1372E-7</v>
      </c>
      <c r="I361" s="1">
        <f t="shared" si="45"/>
        <v>1.1372E-7</v>
      </c>
      <c r="J361" s="4">
        <f t="shared" si="46"/>
        <v>-6.4490168624600598E-9</v>
      </c>
      <c r="K361" s="4">
        <f t="shared" si="47"/>
        <v>-1.6230541312067208E-8</v>
      </c>
      <c r="L361" s="4">
        <f t="shared" si="48"/>
        <v>-9.8233282136161093E-9</v>
      </c>
      <c r="M361" s="4">
        <f t="shared" si="50"/>
        <v>-1.1142376414202389E-8</v>
      </c>
      <c r="N361" s="5">
        <f t="shared" si="51"/>
        <v>3.332206981980251E-8</v>
      </c>
      <c r="O361" s="5">
        <f t="shared" si="52"/>
        <v>8.3369630386546586E-7</v>
      </c>
      <c r="P361" s="5">
        <f t="shared" si="53"/>
        <v>9.3298162631473177E-7</v>
      </c>
      <c r="Q361" s="1">
        <f t="shared" si="49"/>
        <v>1.8000000000000001E-6</v>
      </c>
    </row>
    <row r="362" spans="1:17" x14ac:dyDescent="0.25">
      <c r="A362" s="1">
        <v>18</v>
      </c>
      <c r="B362" s="1">
        <v>4.4426E-2</v>
      </c>
      <c r="C362" s="1">
        <v>4.3173999999999999E-3</v>
      </c>
      <c r="D362" s="1">
        <v>1.0635E-2</v>
      </c>
      <c r="E362" s="1">
        <v>5.0867999999999997E-2</v>
      </c>
      <c r="F362" s="1">
        <v>1.3979E-6</v>
      </c>
      <c r="G362" s="1">
        <v>6.9756999999999998</v>
      </c>
      <c r="H362" s="1">
        <v>1.1386E-7</v>
      </c>
      <c r="I362" s="1">
        <f t="shared" si="45"/>
        <v>1.1386E-7</v>
      </c>
      <c r="J362" s="4">
        <f t="shared" si="46"/>
        <v>-6.4761936194641124E-9</v>
      </c>
      <c r="K362" s="4">
        <f t="shared" si="47"/>
        <v>-1.6257077925376817E-8</v>
      </c>
      <c r="L362" s="4">
        <f t="shared" si="48"/>
        <v>-9.822220021375941E-9</v>
      </c>
      <c r="M362" s="4">
        <f t="shared" si="50"/>
        <v>-1.1140360407173845E-8</v>
      </c>
      <c r="N362" s="5">
        <f t="shared" si="51"/>
        <v>3.3280734104339279E-8</v>
      </c>
      <c r="O362" s="5">
        <f t="shared" si="52"/>
        <v>8.3505577996672702E-7</v>
      </c>
      <c r="P362" s="5">
        <f t="shared" si="53"/>
        <v>9.3166348592893384E-7</v>
      </c>
      <c r="Q362" s="1">
        <f t="shared" si="49"/>
        <v>1.8000000000000001E-6</v>
      </c>
    </row>
    <row r="363" spans="1:17" x14ac:dyDescent="0.25">
      <c r="A363" s="1">
        <v>18.05</v>
      </c>
      <c r="B363" s="1">
        <v>4.4352000000000003E-2</v>
      </c>
      <c r="C363" s="1">
        <v>4.3230999999999999E-3</v>
      </c>
      <c r="D363" s="1">
        <v>1.0669E-2</v>
      </c>
      <c r="E363" s="1">
        <v>5.0788E-2</v>
      </c>
      <c r="F363" s="1">
        <v>1.4017000000000001E-6</v>
      </c>
      <c r="G363" s="1">
        <v>6.9751000000000003</v>
      </c>
      <c r="H363" s="1">
        <v>1.14E-7</v>
      </c>
      <c r="I363" s="1">
        <f t="shared" si="45"/>
        <v>1.14E-7</v>
      </c>
      <c r="J363" s="4">
        <f t="shared" si="46"/>
        <v>-6.5034694896009793E-9</v>
      </c>
      <c r="K363" s="4">
        <f t="shared" si="47"/>
        <v>-1.6283587709351407E-8</v>
      </c>
      <c r="L363" s="4">
        <f t="shared" si="48"/>
        <v>-9.8211368258648257E-9</v>
      </c>
      <c r="M363" s="4">
        <f t="shared" si="50"/>
        <v>-1.1138316473326342E-8</v>
      </c>
      <c r="N363" s="5">
        <f t="shared" si="51"/>
        <v>3.3239715498224882E-8</v>
      </c>
      <c r="O363" s="5">
        <f t="shared" si="52"/>
        <v>8.3641397822030293E-7</v>
      </c>
      <c r="P363" s="5">
        <f t="shared" si="53"/>
        <v>9.3034630628147239E-7</v>
      </c>
      <c r="Q363" s="1">
        <f t="shared" si="49"/>
        <v>1.8000000000000001E-6</v>
      </c>
    </row>
    <row r="364" spans="1:17" x14ac:dyDescent="0.25">
      <c r="A364" s="1">
        <v>18.100000000000001</v>
      </c>
      <c r="B364" s="1">
        <v>4.4277999999999998E-2</v>
      </c>
      <c r="C364" s="1">
        <v>4.3287000000000004E-3</v>
      </c>
      <c r="D364" s="1">
        <v>1.0704E-2</v>
      </c>
      <c r="E364" s="1">
        <v>5.0707000000000002E-2</v>
      </c>
      <c r="F364" s="1">
        <v>1.4053999999999999E-6</v>
      </c>
      <c r="G364" s="1">
        <v>6.9744999999999999</v>
      </c>
      <c r="H364" s="1">
        <v>1.1414E-7</v>
      </c>
      <c r="I364" s="1">
        <f t="shared" si="45"/>
        <v>1.1414E-7</v>
      </c>
      <c r="J364" s="4">
        <f t="shared" si="46"/>
        <v>-6.5308159485071044E-9</v>
      </c>
      <c r="K364" s="4">
        <f t="shared" si="47"/>
        <v>-1.6310072575296137E-8</v>
      </c>
      <c r="L364" s="4">
        <f t="shared" si="48"/>
        <v>-9.8202281774276386E-9</v>
      </c>
      <c r="M364" s="4">
        <f t="shared" si="50"/>
        <v>-1.1136245286189383E-8</v>
      </c>
      <c r="N364" s="5">
        <f t="shared" si="51"/>
        <v>3.3198743947586272E-8</v>
      </c>
      <c r="O364" s="5">
        <f t="shared" si="52"/>
        <v>8.377709668797033E-7</v>
      </c>
      <c r="P364" s="5">
        <f t="shared" si="53"/>
        <v>9.2903028917271064E-7</v>
      </c>
      <c r="Q364" s="1">
        <f t="shared" si="49"/>
        <v>1.8000000000000001E-6</v>
      </c>
    </row>
    <row r="365" spans="1:17" x14ac:dyDescent="0.25">
      <c r="A365" s="1">
        <v>18.149999999999999</v>
      </c>
      <c r="B365" s="1">
        <v>4.4202999999999999E-2</v>
      </c>
      <c r="C365" s="1">
        <v>4.3343000000000001E-3</v>
      </c>
      <c r="D365" s="1">
        <v>1.0737999999999999E-2</v>
      </c>
      <c r="E365" s="1">
        <v>5.0626999999999998E-2</v>
      </c>
      <c r="F365" s="1">
        <v>1.4092E-6</v>
      </c>
      <c r="G365" s="1">
        <v>6.9739000000000004</v>
      </c>
      <c r="H365" s="1">
        <v>1.1428E-7</v>
      </c>
      <c r="I365" s="1">
        <f t="shared" si="45"/>
        <v>1.1428E-7</v>
      </c>
      <c r="J365" s="4">
        <f t="shared" si="46"/>
        <v>-6.5572471221126378E-9</v>
      </c>
      <c r="K365" s="4">
        <f t="shared" si="47"/>
        <v>-1.6336533854153284E-8</v>
      </c>
      <c r="L365" s="4">
        <f t="shared" si="48"/>
        <v>-9.8183297905009737E-9</v>
      </c>
      <c r="M365" s="4">
        <f t="shared" si="50"/>
        <v>-1.1134149306647551E-8</v>
      </c>
      <c r="N365" s="5">
        <f t="shared" si="51"/>
        <v>3.3159700889125949E-8</v>
      </c>
      <c r="O365" s="5">
        <f t="shared" si="52"/>
        <v>8.3912582945431018E-7</v>
      </c>
      <c r="P365" s="5">
        <f t="shared" si="53"/>
        <v>9.2771446965656414E-7</v>
      </c>
      <c r="Q365" s="1">
        <f t="shared" si="49"/>
        <v>1.8000000000000001E-6</v>
      </c>
    </row>
    <row r="366" spans="1:17" x14ac:dyDescent="0.25">
      <c r="A366" s="1">
        <v>18.2</v>
      </c>
      <c r="B366" s="1">
        <v>4.4129000000000002E-2</v>
      </c>
      <c r="C366" s="1">
        <v>4.3398000000000004E-3</v>
      </c>
      <c r="D366" s="1">
        <v>1.0772E-2</v>
      </c>
      <c r="E366" s="1">
        <v>5.0546000000000001E-2</v>
      </c>
      <c r="F366" s="1">
        <v>1.4129000000000001E-6</v>
      </c>
      <c r="G366" s="1">
        <v>6.9733000000000001</v>
      </c>
      <c r="H366" s="1">
        <v>1.1442E-7</v>
      </c>
      <c r="I366" s="1">
        <f t="shared" si="45"/>
        <v>1.1442E-7</v>
      </c>
      <c r="J366" s="4">
        <f t="shared" si="46"/>
        <v>-6.5850014274674938E-9</v>
      </c>
      <c r="K366" s="4">
        <f t="shared" si="47"/>
        <v>-1.636295367435928E-8</v>
      </c>
      <c r="L366" s="4">
        <f t="shared" si="48"/>
        <v>-9.8177852623037665E-9</v>
      </c>
      <c r="M366" s="4">
        <f t="shared" si="50"/>
        <v>-1.1132017007197134E-8</v>
      </c>
      <c r="N366" s="5">
        <f t="shared" si="51"/>
        <v>3.3119867873713971E-8</v>
      </c>
      <c r="O366" s="5">
        <f t="shared" si="52"/>
        <v>8.4047989421461555E-7</v>
      </c>
      <c r="P366" s="5">
        <f t="shared" si="53"/>
        <v>9.2640023791167082E-7</v>
      </c>
      <c r="Q366" s="1">
        <f t="shared" si="49"/>
        <v>1.8000000000000003E-6</v>
      </c>
    </row>
    <row r="367" spans="1:17" x14ac:dyDescent="0.25">
      <c r="A367" s="1">
        <v>18.25</v>
      </c>
      <c r="B367" s="1">
        <v>4.4054999999999997E-2</v>
      </c>
      <c r="C367" s="1">
        <v>4.3452999999999999E-3</v>
      </c>
      <c r="D367" s="1">
        <v>1.0807000000000001E-2</v>
      </c>
      <c r="E367" s="1">
        <v>5.0465999999999997E-2</v>
      </c>
      <c r="F367" s="1">
        <v>1.4166999999999999E-6</v>
      </c>
      <c r="G367" s="1">
        <v>6.9726999999999997</v>
      </c>
      <c r="H367" s="1">
        <v>1.1455E-7</v>
      </c>
      <c r="I367" s="1">
        <f t="shared" si="45"/>
        <v>1.1455E-7</v>
      </c>
      <c r="J367" s="4">
        <f t="shared" si="46"/>
        <v>-6.6116742137291743E-9</v>
      </c>
      <c r="K367" s="4">
        <f t="shared" si="47"/>
        <v>-1.6389357937185238E-8</v>
      </c>
      <c r="L367" s="4">
        <f t="shared" si="48"/>
        <v>-9.8160081530872135E-9</v>
      </c>
      <c r="M367" s="4">
        <f t="shared" si="50"/>
        <v>-1.1129865098294763E-8</v>
      </c>
      <c r="N367" s="5">
        <f t="shared" si="51"/>
        <v>3.3081543444082825E-8</v>
      </c>
      <c r="O367" s="5">
        <f t="shared" si="52"/>
        <v>8.4183207558945428E-7</v>
      </c>
      <c r="P367" s="5">
        <f t="shared" si="53"/>
        <v>9.2508638096646319E-7</v>
      </c>
      <c r="Q367" s="1">
        <f t="shared" si="49"/>
        <v>1.8000000000000003E-6</v>
      </c>
    </row>
    <row r="368" spans="1:17" x14ac:dyDescent="0.25">
      <c r="A368" s="1">
        <v>18.3</v>
      </c>
      <c r="B368" s="1">
        <v>4.3982E-2</v>
      </c>
      <c r="C368" s="1">
        <v>4.3508000000000002E-3</v>
      </c>
      <c r="D368" s="1">
        <v>1.0841E-2</v>
      </c>
      <c r="E368" s="1">
        <v>5.0386E-2</v>
      </c>
      <c r="F368" s="1">
        <v>1.4204E-6</v>
      </c>
      <c r="G368" s="1">
        <v>6.9721000000000002</v>
      </c>
      <c r="H368" s="1">
        <v>1.1469E-7</v>
      </c>
      <c r="I368" s="1">
        <f t="shared" si="45"/>
        <v>1.1469E-7</v>
      </c>
      <c r="J368" s="4">
        <f t="shared" si="46"/>
        <v>-6.6395944233499703E-9</v>
      </c>
      <c r="K368" s="4">
        <f t="shared" si="47"/>
        <v>-1.6415725473994593E-8</v>
      </c>
      <c r="L368" s="4">
        <f t="shared" si="48"/>
        <v>-9.8154595503665938E-9</v>
      </c>
      <c r="M368" s="4">
        <f t="shared" si="50"/>
        <v>-1.1126707718669536E-8</v>
      </c>
      <c r="N368" s="5">
        <f t="shared" si="51"/>
        <v>3.3042214944360852E-8</v>
      </c>
      <c r="O368" s="5">
        <f t="shared" si="52"/>
        <v>8.4318265225747916E-7</v>
      </c>
      <c r="P368" s="5">
        <f t="shared" si="53"/>
        <v>9.2377513279816026E-7</v>
      </c>
      <c r="Q368" s="1">
        <f t="shared" si="49"/>
        <v>1.8000000000000001E-6</v>
      </c>
    </row>
    <row r="369" spans="1:17" x14ac:dyDescent="0.25">
      <c r="A369" s="1">
        <v>18.350000000000001</v>
      </c>
      <c r="B369" s="1">
        <v>4.3908000000000003E-2</v>
      </c>
      <c r="C369" s="1">
        <v>4.3562000000000002E-3</v>
      </c>
      <c r="D369" s="1">
        <v>1.0874999999999999E-2</v>
      </c>
      <c r="E369" s="1">
        <v>5.0305000000000002E-2</v>
      </c>
      <c r="F369" s="1">
        <v>1.4241000000000001E-6</v>
      </c>
      <c r="G369" s="1">
        <v>6.9714999999999998</v>
      </c>
      <c r="H369" s="1">
        <v>1.1483E-7</v>
      </c>
      <c r="I369" s="1">
        <f t="shared" si="45"/>
        <v>1.1483E-7</v>
      </c>
      <c r="J369" s="4">
        <f t="shared" si="46"/>
        <v>-6.6663863456741348E-9</v>
      </c>
      <c r="K369" s="4">
        <f t="shared" si="47"/>
        <v>-1.6442061719021078E-8</v>
      </c>
      <c r="L369" s="4">
        <f t="shared" si="48"/>
        <v>-9.8138133695756017E-9</v>
      </c>
      <c r="M369" s="4">
        <f t="shared" si="50"/>
        <v>-1.1124515847965363E-8</v>
      </c>
      <c r="N369" s="5">
        <f t="shared" si="51"/>
        <v>3.3004076948132193E-8</v>
      </c>
      <c r="O369" s="5">
        <f t="shared" si="52"/>
        <v>8.4453149273209769E-7</v>
      </c>
      <c r="P369" s="5">
        <f t="shared" si="53"/>
        <v>9.2246443031977049E-7</v>
      </c>
      <c r="Q369" s="1">
        <f t="shared" si="49"/>
        <v>1.8000000000000003E-6</v>
      </c>
    </row>
    <row r="370" spans="1:17" x14ac:dyDescent="0.25">
      <c r="A370" s="1">
        <v>18.399999999999999</v>
      </c>
      <c r="B370" s="1">
        <v>4.3833999999999998E-2</v>
      </c>
      <c r="C370" s="1">
        <v>4.3614999999999999E-3</v>
      </c>
      <c r="D370" s="1">
        <v>1.0909E-2</v>
      </c>
      <c r="E370" s="1">
        <v>5.0224999999999999E-2</v>
      </c>
      <c r="F370" s="1">
        <v>1.4277999999999999E-6</v>
      </c>
      <c r="G370" s="1">
        <v>6.9709000000000003</v>
      </c>
      <c r="H370" s="1">
        <v>1.1497E-7</v>
      </c>
      <c r="I370" s="1">
        <f t="shared" si="45"/>
        <v>1.1497E-7</v>
      </c>
      <c r="J370" s="4">
        <f t="shared" si="46"/>
        <v>-6.6934275028727517E-9</v>
      </c>
      <c r="K370" s="4">
        <f t="shared" si="47"/>
        <v>-1.646836410827497E-8</v>
      </c>
      <c r="L370" s="4">
        <f t="shared" si="48"/>
        <v>-9.812221141126725E-9</v>
      </c>
      <c r="M370" s="4">
        <f t="shared" si="50"/>
        <v>-1.112229200602939E-8</v>
      </c>
      <c r="N370" s="5">
        <f t="shared" si="51"/>
        <v>3.2966792412407689E-8</v>
      </c>
      <c r="O370" s="5">
        <f t="shared" si="52"/>
        <v>8.4587884813272483E-7</v>
      </c>
      <c r="P370" s="5">
        <f t="shared" si="53"/>
        <v>9.2115435945486791E-7</v>
      </c>
      <c r="Q370" s="1">
        <f t="shared" si="49"/>
        <v>1.8000000000000006E-6</v>
      </c>
    </row>
    <row r="371" spans="1:17" x14ac:dyDescent="0.25">
      <c r="A371" s="1">
        <v>18.45</v>
      </c>
      <c r="B371" s="1">
        <v>4.376E-2</v>
      </c>
      <c r="C371" s="1">
        <v>4.3668999999999999E-3</v>
      </c>
      <c r="D371" s="1">
        <v>1.0943E-2</v>
      </c>
      <c r="E371" s="1">
        <v>5.0145000000000002E-2</v>
      </c>
      <c r="F371" s="1">
        <v>1.4315E-6</v>
      </c>
      <c r="G371" s="1">
        <v>6.9702999999999999</v>
      </c>
      <c r="H371" s="1">
        <v>1.1511E-7</v>
      </c>
      <c r="I371" s="1">
        <f t="shared" si="45"/>
        <v>1.1511E-7</v>
      </c>
      <c r="J371" s="4">
        <f t="shared" si="46"/>
        <v>-6.7206526305549843E-9</v>
      </c>
      <c r="K371" s="4">
        <f t="shared" si="47"/>
        <v>-1.6494637538588371E-8</v>
      </c>
      <c r="L371" s="4">
        <f t="shared" si="48"/>
        <v>-9.8109737374558061E-9</v>
      </c>
      <c r="M371" s="4">
        <f t="shared" si="50"/>
        <v>-1.1120037254185406E-8</v>
      </c>
      <c r="N371" s="5">
        <f t="shared" si="51"/>
        <v>3.2929803582985273E-8</v>
      </c>
      <c r="O371" s="5">
        <f t="shared" si="52"/>
        <v>8.4722490047887688E-7</v>
      </c>
      <c r="P371" s="5">
        <f t="shared" si="53"/>
        <v>9.1984529593813828E-7</v>
      </c>
      <c r="Q371" s="1">
        <f t="shared" si="49"/>
        <v>1.8000000000000006E-6</v>
      </c>
    </row>
    <row r="372" spans="1:17" x14ac:dyDescent="0.25">
      <c r="A372" s="1">
        <v>18.5</v>
      </c>
      <c r="B372" s="1">
        <v>4.3686999999999997E-2</v>
      </c>
      <c r="C372" s="1">
        <v>4.3721000000000003E-3</v>
      </c>
      <c r="D372" s="1">
        <v>1.0978E-2</v>
      </c>
      <c r="E372" s="1">
        <v>5.0064999999999998E-2</v>
      </c>
      <c r="F372" s="1">
        <v>1.4352E-6</v>
      </c>
      <c r="G372" s="1">
        <v>6.9696999999999996</v>
      </c>
      <c r="H372" s="1">
        <v>1.1525E-7</v>
      </c>
      <c r="I372" s="1">
        <f t="shared" si="45"/>
        <v>1.1525E-7</v>
      </c>
      <c r="J372" s="4">
        <f t="shared" si="46"/>
        <v>-6.7479498296276607E-9</v>
      </c>
      <c r="K372" s="4">
        <f t="shared" si="47"/>
        <v>-1.6520885559338335E-8</v>
      </c>
      <c r="L372" s="4">
        <f t="shared" si="48"/>
        <v>-9.8097112710982768E-9</v>
      </c>
      <c r="M372" s="4">
        <f t="shared" si="50"/>
        <v>-1.1117756161621264E-8</v>
      </c>
      <c r="N372" s="5">
        <f t="shared" si="51"/>
        <v>3.2893028041597673E-8</v>
      </c>
      <c r="O372" s="5">
        <f t="shared" si="52"/>
        <v>8.4856972091078739E-7</v>
      </c>
      <c r="P372" s="5">
        <f t="shared" si="53"/>
        <v>9.1853725104761532E-7</v>
      </c>
      <c r="Q372" s="1">
        <f t="shared" si="49"/>
        <v>1.8000000000000003E-6</v>
      </c>
    </row>
    <row r="373" spans="1:17" x14ac:dyDescent="0.25">
      <c r="A373" s="1">
        <v>18.55</v>
      </c>
      <c r="B373" s="1">
        <v>4.3612999999999999E-2</v>
      </c>
      <c r="C373" s="1">
        <v>4.3774E-3</v>
      </c>
      <c r="D373" s="1">
        <v>1.1011999999999999E-2</v>
      </c>
      <c r="E373" s="1">
        <v>4.9985000000000002E-2</v>
      </c>
      <c r="F373" s="1">
        <v>1.4388999999999999E-6</v>
      </c>
      <c r="G373" s="1">
        <v>6.9691000000000001</v>
      </c>
      <c r="H373" s="1">
        <v>1.1539E-7</v>
      </c>
      <c r="I373" s="1">
        <f t="shared" si="45"/>
        <v>1.1539E-7</v>
      </c>
      <c r="J373" s="4">
        <f t="shared" si="46"/>
        <v>-6.7753027582776932E-9</v>
      </c>
      <c r="K373" s="4">
        <f t="shared" si="47"/>
        <v>-1.6547109557760592E-8</v>
      </c>
      <c r="L373" s="4">
        <f t="shared" si="48"/>
        <v>-9.8084097008198625E-9</v>
      </c>
      <c r="M373" s="4">
        <f t="shared" si="50"/>
        <v>-1.1115448909240112E-8</v>
      </c>
      <c r="N373" s="5">
        <f t="shared" si="51"/>
        <v>3.2856425140260708E-8</v>
      </c>
      <c r="O373" s="5">
        <f t="shared" si="52"/>
        <v>8.4991336302054467E-7</v>
      </c>
      <c r="P373" s="5">
        <f t="shared" si="53"/>
        <v>9.1723021183919502E-7</v>
      </c>
      <c r="Q373" s="1">
        <f t="shared" si="49"/>
        <v>1.8000000000000003E-6</v>
      </c>
    </row>
    <row r="374" spans="1:17" x14ac:dyDescent="0.25">
      <c r="A374" s="1">
        <v>18.600000000000001</v>
      </c>
      <c r="B374" s="1">
        <v>4.3540000000000002E-2</v>
      </c>
      <c r="C374" s="1">
        <v>4.3826000000000004E-3</v>
      </c>
      <c r="D374" s="1">
        <v>1.1046E-2</v>
      </c>
      <c r="E374" s="1">
        <v>4.9904999999999998E-2</v>
      </c>
      <c r="F374" s="1">
        <v>1.4425E-6</v>
      </c>
      <c r="G374" s="1">
        <v>6.9684999999999997</v>
      </c>
      <c r="H374" s="1">
        <v>1.1552E-7</v>
      </c>
      <c r="I374" s="1">
        <f t="shared" si="45"/>
        <v>1.1552E-7</v>
      </c>
      <c r="J374" s="4">
        <f t="shared" si="46"/>
        <v>-6.8027033772275626E-9</v>
      </c>
      <c r="K374" s="4">
        <f t="shared" si="47"/>
        <v>-1.6573310578900858E-8</v>
      </c>
      <c r="L374" s="4">
        <f t="shared" si="48"/>
        <v>-9.8070573527659123E-9</v>
      </c>
      <c r="M374" s="4">
        <f t="shared" si="50"/>
        <v>-1.1113115385133254E-8</v>
      </c>
      <c r="N374" s="5">
        <f t="shared" si="51"/>
        <v>3.281997498916809E-8</v>
      </c>
      <c r="O374" s="5">
        <f t="shared" si="52"/>
        <v>8.5125587120400462E-7</v>
      </c>
      <c r="P374" s="5">
        <f t="shared" si="53"/>
        <v>9.1592415380682762E-7</v>
      </c>
      <c r="Q374" s="1">
        <f t="shared" si="49"/>
        <v>1.8000000000000003E-6</v>
      </c>
    </row>
    <row r="375" spans="1:17" x14ac:dyDescent="0.25">
      <c r="A375" s="1">
        <v>18.649999999999999</v>
      </c>
      <c r="B375" s="1">
        <v>4.3465999999999998E-2</v>
      </c>
      <c r="C375" s="1">
        <v>4.3876999999999996E-3</v>
      </c>
      <c r="D375" s="1">
        <v>1.108E-2</v>
      </c>
      <c r="E375" s="1">
        <v>4.9825000000000001E-2</v>
      </c>
      <c r="F375" s="1">
        <v>1.4462E-6</v>
      </c>
      <c r="G375" s="1">
        <v>6.968</v>
      </c>
      <c r="H375" s="1">
        <v>1.1566E-7</v>
      </c>
      <c r="I375" s="1">
        <f t="shared" si="45"/>
        <v>1.1566E-7</v>
      </c>
      <c r="J375" s="4">
        <f t="shared" si="46"/>
        <v>-6.8292009082300755E-9</v>
      </c>
      <c r="K375" s="4">
        <f t="shared" si="47"/>
        <v>-1.6599489488477147E-8</v>
      </c>
      <c r="L375" s="4">
        <f t="shared" si="48"/>
        <v>-9.804968984399798E-9</v>
      </c>
      <c r="M375" s="4">
        <f t="shared" si="50"/>
        <v>-1.1109793616014665E-8</v>
      </c>
      <c r="N375" s="5">
        <f t="shared" si="51"/>
        <v>3.2785294585015362E-8</v>
      </c>
      <c r="O375" s="5">
        <f t="shared" si="52"/>
        <v>8.5259537623977222E-7</v>
      </c>
      <c r="P375" s="5">
        <f t="shared" si="53"/>
        <v>9.146193291752127E-7</v>
      </c>
      <c r="Q375" s="1">
        <f t="shared" si="49"/>
        <v>1.8000000000000001E-6</v>
      </c>
    </row>
    <row r="376" spans="1:17" x14ac:dyDescent="0.25">
      <c r="A376" s="1">
        <v>18.7</v>
      </c>
      <c r="B376" s="1">
        <v>4.3393000000000001E-2</v>
      </c>
      <c r="C376" s="1">
        <v>4.3928999999999999E-3</v>
      </c>
      <c r="D376" s="1">
        <v>1.1114000000000001E-2</v>
      </c>
      <c r="E376" s="1">
        <v>4.9744999999999998E-2</v>
      </c>
      <c r="F376" s="1">
        <v>1.4498000000000001E-6</v>
      </c>
      <c r="G376" s="1">
        <v>6.9673999999999996</v>
      </c>
      <c r="H376" s="1">
        <v>1.158E-7</v>
      </c>
      <c r="I376" s="1">
        <f t="shared" si="45"/>
        <v>1.158E-7</v>
      </c>
      <c r="J376" s="4">
        <f t="shared" si="46"/>
        <v>-6.8570261338322709E-9</v>
      </c>
      <c r="K376" s="4">
        <f t="shared" si="47"/>
        <v>-1.6625609836675796E-8</v>
      </c>
      <c r="L376" s="4">
        <f t="shared" si="48"/>
        <v>-9.8039898184241492E-9</v>
      </c>
      <c r="M376" s="4">
        <f t="shared" si="50"/>
        <v>-1.1107411519302693E-8</v>
      </c>
      <c r="N376" s="5">
        <f t="shared" si="51"/>
        <v>3.2749888469434735E-8</v>
      </c>
      <c r="O376" s="5">
        <f t="shared" si="52"/>
        <v>8.5393420405623132E-7</v>
      </c>
      <c r="P376" s="5">
        <f t="shared" si="53"/>
        <v>9.1331590747433422E-7</v>
      </c>
      <c r="Q376" s="1">
        <f t="shared" si="49"/>
        <v>1.8000000000000001E-6</v>
      </c>
    </row>
    <row r="377" spans="1:17" x14ac:dyDescent="0.25">
      <c r="A377" s="1">
        <v>18.75</v>
      </c>
      <c r="B377" s="1">
        <v>4.3319999999999997E-2</v>
      </c>
      <c r="C377" s="1">
        <v>4.3978999999999997E-3</v>
      </c>
      <c r="D377" s="1">
        <v>1.1148E-2</v>
      </c>
      <c r="E377" s="1">
        <v>4.9665000000000001E-2</v>
      </c>
      <c r="F377" s="1">
        <v>1.4534999999999999E-6</v>
      </c>
      <c r="G377" s="1">
        <v>6.9668000000000001</v>
      </c>
      <c r="H377" s="1">
        <v>1.1594E-7</v>
      </c>
      <c r="I377" s="1">
        <f t="shared" si="45"/>
        <v>1.1594E-7</v>
      </c>
      <c r="J377" s="4">
        <f t="shared" si="46"/>
        <v>-6.8837646881670797E-9</v>
      </c>
      <c r="K377" s="4">
        <f t="shared" si="47"/>
        <v>-1.665171697909675E-8</v>
      </c>
      <c r="L377" s="4">
        <f t="shared" si="48"/>
        <v>-9.8020170286481989E-9</v>
      </c>
      <c r="M377" s="4">
        <f t="shared" si="50"/>
        <v>-1.1105008118980587E-8</v>
      </c>
      <c r="N377" s="5">
        <f t="shared" si="51"/>
        <v>3.2715823731716207E-8</v>
      </c>
      <c r="O377" s="5">
        <f t="shared" si="52"/>
        <v>8.552712598842822E-7</v>
      </c>
      <c r="P377" s="5">
        <f t="shared" si="53"/>
        <v>9.1201291638400193E-7</v>
      </c>
      <c r="Q377" s="1">
        <f t="shared" si="49"/>
        <v>1.8000000000000003E-6</v>
      </c>
    </row>
    <row r="378" spans="1:17" x14ac:dyDescent="0.25">
      <c r="A378" s="1">
        <v>18.8</v>
      </c>
      <c r="B378" s="1">
        <v>4.3247000000000001E-2</v>
      </c>
      <c r="C378" s="1">
        <v>4.4029999999999998E-3</v>
      </c>
      <c r="D378" s="1">
        <v>1.1181999999999999E-2</v>
      </c>
      <c r="E378" s="1">
        <v>4.9585999999999998E-2</v>
      </c>
      <c r="F378" s="1">
        <v>1.4571E-6</v>
      </c>
      <c r="G378" s="1">
        <v>6.9661999999999997</v>
      </c>
      <c r="H378" s="1">
        <v>1.1608E-7</v>
      </c>
      <c r="I378" s="1">
        <f t="shared" si="45"/>
        <v>1.1608E-7</v>
      </c>
      <c r="J378" s="4">
        <f t="shared" si="46"/>
        <v>-6.9117485775651928E-9</v>
      </c>
      <c r="K378" s="4">
        <f t="shared" si="47"/>
        <v>-1.6677789567743739E-8</v>
      </c>
      <c r="L378" s="4">
        <f t="shared" si="48"/>
        <v>-9.8010235389392349E-9</v>
      </c>
      <c r="M378" s="4">
        <f t="shared" si="50"/>
        <v>-1.1102571640184083E-8</v>
      </c>
      <c r="N378" s="5">
        <f t="shared" si="51"/>
        <v>3.2680841182955522E-8</v>
      </c>
      <c r="O378" s="5">
        <f t="shared" si="52"/>
        <v>8.5660779053428781E-7</v>
      </c>
      <c r="P378" s="5">
        <f t="shared" si="53"/>
        <v>9.1071136828275703E-7</v>
      </c>
      <c r="Q378" s="1">
        <f t="shared" si="49"/>
        <v>1.8000000000000003E-6</v>
      </c>
    </row>
    <row r="379" spans="1:17" x14ac:dyDescent="0.25">
      <c r="A379" s="1">
        <v>18.850000000000001</v>
      </c>
      <c r="B379" s="1">
        <v>4.3173999999999997E-2</v>
      </c>
      <c r="C379" s="1">
        <v>4.4079000000000002E-3</v>
      </c>
      <c r="D379" s="1">
        <v>1.1216E-2</v>
      </c>
      <c r="E379" s="1">
        <v>4.9506000000000001E-2</v>
      </c>
      <c r="F379" s="1">
        <v>1.4607000000000001E-6</v>
      </c>
      <c r="G379" s="1">
        <v>6.9656000000000002</v>
      </c>
      <c r="H379" s="1">
        <v>1.1621000000000001E-7</v>
      </c>
      <c r="I379" s="1">
        <f t="shared" si="45"/>
        <v>1.1621000000000001E-7</v>
      </c>
      <c r="J379" s="4">
        <f t="shared" si="46"/>
        <v>-6.9386014548326055E-9</v>
      </c>
      <c r="K379" s="4">
        <f t="shared" si="47"/>
        <v>-1.6703851915418851E-8</v>
      </c>
      <c r="L379" s="4">
        <f t="shared" si="48"/>
        <v>-9.7991805004338598E-9</v>
      </c>
      <c r="M379" s="4">
        <f t="shared" si="50"/>
        <v>-1.1100114441177714E-8</v>
      </c>
      <c r="N379" s="5">
        <f t="shared" si="51"/>
        <v>3.2646911143107906E-8</v>
      </c>
      <c r="O379" s="5">
        <f t="shared" si="52"/>
        <v>8.5794265451487926E-7</v>
      </c>
      <c r="P379" s="5">
        <f t="shared" si="53"/>
        <v>9.0941043434201314E-7</v>
      </c>
      <c r="Q379" s="1">
        <f t="shared" si="49"/>
        <v>1.8000000000000003E-6</v>
      </c>
    </row>
    <row r="380" spans="1:17" x14ac:dyDescent="0.25">
      <c r="A380" s="1">
        <v>18.899999999999999</v>
      </c>
      <c r="B380" s="1">
        <v>4.3101E-2</v>
      </c>
      <c r="C380" s="1">
        <v>4.4129E-3</v>
      </c>
      <c r="D380" s="1">
        <v>1.125E-2</v>
      </c>
      <c r="E380" s="1">
        <v>4.9425999999999998E-2</v>
      </c>
      <c r="F380" s="1">
        <v>1.4642999999999999E-6</v>
      </c>
      <c r="G380" s="1">
        <v>6.9649999999999999</v>
      </c>
      <c r="H380" s="1">
        <v>1.1635000000000001E-7</v>
      </c>
      <c r="I380" s="1">
        <f t="shared" si="45"/>
        <v>1.1635000000000001E-7</v>
      </c>
      <c r="J380" s="4">
        <f t="shared" si="46"/>
        <v>-6.9656902076007838E-9</v>
      </c>
      <c r="K380" s="4">
        <f t="shared" si="47"/>
        <v>-1.6729881763039195E-8</v>
      </c>
      <c r="L380" s="4">
        <f t="shared" si="48"/>
        <v>-9.797359872544397E-9</v>
      </c>
      <c r="M380" s="4">
        <f t="shared" si="50"/>
        <v>-1.1096671590362331E-8</v>
      </c>
      <c r="N380" s="5">
        <f t="shared" si="51"/>
        <v>3.261374282600192E-8</v>
      </c>
      <c r="O380" s="5">
        <f t="shared" si="52"/>
        <v>8.5927513454980314E-7</v>
      </c>
      <c r="P380" s="5">
        <f t="shared" si="53"/>
        <v>9.0811112262419514E-7</v>
      </c>
      <c r="Q380" s="1">
        <f t="shared" si="49"/>
        <v>1.8000000000000001E-6</v>
      </c>
    </row>
    <row r="381" spans="1:17" x14ac:dyDescent="0.25">
      <c r="A381" s="1">
        <v>18.95</v>
      </c>
      <c r="B381" s="1">
        <v>4.3027999999999997E-2</v>
      </c>
      <c r="C381" s="1">
        <v>4.4178000000000004E-3</v>
      </c>
      <c r="D381" s="1">
        <v>1.1284000000000001E-2</v>
      </c>
      <c r="E381" s="1">
        <v>4.9347000000000002E-2</v>
      </c>
      <c r="F381" s="1">
        <v>1.4679E-6</v>
      </c>
      <c r="G381" s="1">
        <v>6.9644000000000004</v>
      </c>
      <c r="H381" s="1">
        <v>1.1649000000000001E-7</v>
      </c>
      <c r="I381" s="1">
        <f t="shared" si="45"/>
        <v>1.1649000000000001E-7</v>
      </c>
      <c r="J381" s="4">
        <f t="shared" si="46"/>
        <v>-6.9929555390934814E-9</v>
      </c>
      <c r="K381" s="4">
        <f t="shared" si="47"/>
        <v>-1.6755865123721399E-8</v>
      </c>
      <c r="L381" s="4">
        <f t="shared" si="48"/>
        <v>-9.795672710320445E-9</v>
      </c>
      <c r="M381" s="4">
        <f t="shared" si="50"/>
        <v>-1.1094166557319294E-8</v>
      </c>
      <c r="N381" s="5">
        <f t="shared" si="51"/>
        <v>3.2580979700309393E-8</v>
      </c>
      <c r="O381" s="5">
        <f t="shared" si="52"/>
        <v>8.6060639152249446E-7</v>
      </c>
      <c r="P381" s="5">
        <f t="shared" si="53"/>
        <v>9.0681262877719625E-7</v>
      </c>
      <c r="Q381" s="1">
        <f t="shared" si="49"/>
        <v>1.8000000000000001E-6</v>
      </c>
    </row>
    <row r="382" spans="1:17" x14ac:dyDescent="0.25">
      <c r="A382" s="1">
        <v>19</v>
      </c>
      <c r="B382" s="1">
        <v>4.2955E-2</v>
      </c>
      <c r="C382" s="1">
        <v>4.4225999999999996E-3</v>
      </c>
      <c r="D382" s="1">
        <v>1.1318E-2</v>
      </c>
      <c r="E382" s="1">
        <v>4.9266999999999998E-2</v>
      </c>
      <c r="F382" s="1">
        <v>1.4715E-6</v>
      </c>
      <c r="G382" s="1">
        <v>6.9638999999999998</v>
      </c>
      <c r="H382" s="1">
        <v>1.1663000000000001E-7</v>
      </c>
      <c r="I382" s="1">
        <f t="shared" si="45"/>
        <v>1.1663000000000001E-7</v>
      </c>
      <c r="J382" s="4">
        <f t="shared" si="46"/>
        <v>-7.0203227747850332E-9</v>
      </c>
      <c r="K382" s="4">
        <f t="shared" si="47"/>
        <v>-1.6781824634688882E-8</v>
      </c>
      <c r="L382" s="4">
        <f t="shared" si="48"/>
        <v>-9.7942111319869611E-9</v>
      </c>
      <c r="M382" s="4">
        <f t="shared" si="50"/>
        <v>-1.1091633328256996E-8</v>
      </c>
      <c r="N382" s="5">
        <f t="shared" si="51"/>
        <v>3.2548270428226276E-8</v>
      </c>
      <c r="O382" s="5">
        <f t="shared" si="52"/>
        <v>8.6193652299084759E-7</v>
      </c>
      <c r="P382" s="5">
        <f t="shared" si="53"/>
        <v>9.0551520658092627E-7</v>
      </c>
      <c r="Q382" s="1">
        <f t="shared" si="49"/>
        <v>1.8000000000000001E-6</v>
      </c>
    </row>
    <row r="383" spans="1:17" x14ac:dyDescent="0.25">
      <c r="A383" s="1">
        <v>19.05</v>
      </c>
      <c r="B383" s="1">
        <v>4.2882000000000003E-2</v>
      </c>
      <c r="C383" s="1">
        <v>4.4275E-3</v>
      </c>
      <c r="D383" s="1">
        <v>1.1351999999999999E-2</v>
      </c>
      <c r="E383" s="1">
        <v>4.9188000000000003E-2</v>
      </c>
      <c r="F383" s="1">
        <v>1.4750000000000001E-6</v>
      </c>
      <c r="G383" s="1">
        <v>6.9633000000000003</v>
      </c>
      <c r="H383" s="1">
        <v>1.1675999999999999E-7</v>
      </c>
      <c r="I383" s="1">
        <f t="shared" si="45"/>
        <v>1.1675999999999999E-7</v>
      </c>
      <c r="J383" s="4">
        <f t="shared" si="46"/>
        <v>-7.0477168674552103E-9</v>
      </c>
      <c r="K383" s="4">
        <f t="shared" si="47"/>
        <v>-1.6807762198321767E-8</v>
      </c>
      <c r="L383" s="4">
        <f t="shared" si="48"/>
        <v>-9.7924733107169599E-9</v>
      </c>
      <c r="M383" s="4">
        <f t="shared" si="50"/>
        <v>-1.1089075047071168E-8</v>
      </c>
      <c r="N383" s="5">
        <f t="shared" si="51"/>
        <v>3.2515842448375879E-8</v>
      </c>
      <c r="O383" s="5">
        <f t="shared" si="52"/>
        <v>8.6326555270705221E-7</v>
      </c>
      <c r="P383" s="5">
        <f t="shared" si="53"/>
        <v>9.042186048445721E-7</v>
      </c>
      <c r="Q383" s="1">
        <f t="shared" si="49"/>
        <v>1.8000000000000001E-6</v>
      </c>
    </row>
    <row r="384" spans="1:17" x14ac:dyDescent="0.25">
      <c r="A384" s="1">
        <v>19.100000000000001</v>
      </c>
      <c r="B384" s="1">
        <v>4.2810000000000001E-2</v>
      </c>
      <c r="C384" s="1">
        <v>4.4321999999999999E-3</v>
      </c>
      <c r="D384" s="1">
        <v>1.1386E-2</v>
      </c>
      <c r="E384" s="1">
        <v>4.9109E-2</v>
      </c>
      <c r="F384" s="1">
        <v>1.4785999999999999E-6</v>
      </c>
      <c r="G384" s="1">
        <v>6.9626999999999999</v>
      </c>
      <c r="H384" s="1">
        <v>1.1689999999999999E-7</v>
      </c>
      <c r="I384" s="1">
        <f t="shared" si="45"/>
        <v>1.1689999999999999E-7</v>
      </c>
      <c r="J384" s="4">
        <f t="shared" si="46"/>
        <v>-7.0742279726748785E-9</v>
      </c>
      <c r="K384" s="4">
        <f t="shared" si="47"/>
        <v>-1.6833678277787757E-8</v>
      </c>
      <c r="L384" s="4">
        <f t="shared" si="48"/>
        <v>-9.79026149767944E-9</v>
      </c>
      <c r="M384" s="4">
        <f t="shared" si="50"/>
        <v>-1.1085539251673641E-8</v>
      </c>
      <c r="N384" s="5">
        <f t="shared" si="51"/>
        <v>3.2485031255809319E-8</v>
      </c>
      <c r="O384" s="5">
        <f t="shared" si="52"/>
        <v>8.6459164165361299E-7</v>
      </c>
      <c r="P384" s="5">
        <f t="shared" si="53"/>
        <v>9.0292332709057788E-7</v>
      </c>
      <c r="Q384" s="1">
        <f t="shared" si="49"/>
        <v>1.8000000000000001E-6</v>
      </c>
    </row>
    <row r="385" spans="1:17" x14ac:dyDescent="0.25">
      <c r="A385" s="1">
        <v>19.149999999999999</v>
      </c>
      <c r="B385" s="1">
        <v>4.2736999999999997E-2</v>
      </c>
      <c r="C385" s="1">
        <v>4.437E-3</v>
      </c>
      <c r="D385" s="1">
        <v>1.142E-2</v>
      </c>
      <c r="E385" s="1">
        <v>4.9029000000000003E-2</v>
      </c>
      <c r="F385" s="1">
        <v>1.4821E-6</v>
      </c>
      <c r="G385" s="1">
        <v>6.9621000000000004</v>
      </c>
      <c r="H385" s="1">
        <v>1.1703999999999999E-7</v>
      </c>
      <c r="I385" s="1">
        <f t="shared" si="45"/>
        <v>1.1703999999999999E-7</v>
      </c>
      <c r="J385" s="4">
        <f t="shared" si="46"/>
        <v>-7.1020658163857878E-9</v>
      </c>
      <c r="K385" s="4">
        <f t="shared" si="47"/>
        <v>-1.6859537012244498E-8</v>
      </c>
      <c r="L385" s="4">
        <f t="shared" si="48"/>
        <v>-9.7891093144467219E-9</v>
      </c>
      <c r="M385" s="4">
        <f t="shared" si="50"/>
        <v>-1.1082932378372669E-8</v>
      </c>
      <c r="N385" s="5">
        <f t="shared" si="51"/>
        <v>3.2453393137221312E-8</v>
      </c>
      <c r="O385" s="5">
        <f t="shared" si="52"/>
        <v>8.6591710283612701E-7</v>
      </c>
      <c r="P385" s="5">
        <f t="shared" si="53"/>
        <v>9.0162950402665195E-7</v>
      </c>
      <c r="Q385" s="1">
        <f t="shared" si="49"/>
        <v>1.8000000000000001E-6</v>
      </c>
    </row>
    <row r="386" spans="1:17" x14ac:dyDescent="0.25">
      <c r="A386" s="1">
        <v>19.2</v>
      </c>
      <c r="B386" s="1">
        <v>4.2665000000000002E-2</v>
      </c>
      <c r="C386" s="1">
        <v>4.4416999999999998E-3</v>
      </c>
      <c r="D386" s="1">
        <v>1.1454000000000001E-2</v>
      </c>
      <c r="E386" s="1">
        <v>4.895E-2</v>
      </c>
      <c r="F386" s="1">
        <v>1.4856E-6</v>
      </c>
      <c r="G386" s="1">
        <v>6.9615999999999998</v>
      </c>
      <c r="H386" s="1">
        <v>1.1717999999999999E-7</v>
      </c>
      <c r="I386" s="1">
        <f t="shared" si="45"/>
        <v>1.1717999999999999E-7</v>
      </c>
      <c r="J386" s="4">
        <f t="shared" si="46"/>
        <v>-7.1287785738975277E-9</v>
      </c>
      <c r="K386" s="4">
        <f t="shared" si="47"/>
        <v>-1.6885383505304716E-8</v>
      </c>
      <c r="L386" s="4">
        <f t="shared" si="48"/>
        <v>-9.786755762117474E-9</v>
      </c>
      <c r="M386" s="4">
        <f t="shared" si="50"/>
        <v>-1.1080305300884488E-8</v>
      </c>
      <c r="N386" s="5">
        <f t="shared" si="51"/>
        <v>3.2423242306511025E-8</v>
      </c>
      <c r="O386" s="5">
        <f t="shared" si="52"/>
        <v>8.6724080320560436E-7</v>
      </c>
      <c r="P386" s="5">
        <f t="shared" si="53"/>
        <v>9.003359544878849E-7</v>
      </c>
      <c r="Q386" s="1">
        <f t="shared" si="49"/>
        <v>1.8000000000000003E-6</v>
      </c>
    </row>
    <row r="387" spans="1:17" x14ac:dyDescent="0.25">
      <c r="A387" s="1">
        <v>19.25</v>
      </c>
      <c r="B387" s="1">
        <v>4.2591999999999998E-2</v>
      </c>
      <c r="C387" s="1">
        <v>4.4463000000000003E-3</v>
      </c>
      <c r="D387" s="1">
        <v>1.1488E-2</v>
      </c>
      <c r="E387" s="1">
        <v>4.8870999999999998E-2</v>
      </c>
      <c r="F387" s="1">
        <v>1.4892000000000001E-6</v>
      </c>
      <c r="G387" s="1">
        <v>6.9610000000000003</v>
      </c>
      <c r="H387" s="1">
        <v>1.1731E-7</v>
      </c>
      <c r="I387" s="1">
        <f t="shared" ref="I387:I450" si="54">H387</f>
        <v>1.1731E-7</v>
      </c>
      <c r="J387" s="4">
        <f t="shared" ref="J387:J450" si="55">(-$T$4*F386^2*N386)*(A387-A386)</f>
        <v>-7.1558334405534216E-9</v>
      </c>
      <c r="K387" s="4">
        <f t="shared" ref="K387:K450" si="56">-O386*$T$7*(A387-A386)</f>
        <v>-1.6911195662509527E-8</v>
      </c>
      <c r="L387" s="4">
        <f t="shared" ref="L387:L450" si="57">-$T$5*F386*E386*(A387-A386)*N386</f>
        <v>-9.7849615959721571E-9</v>
      </c>
      <c r="M387" s="4">
        <f t="shared" si="50"/>
        <v>-1.1077643550423644E-8</v>
      </c>
      <c r="N387" s="5">
        <f t="shared" si="51"/>
        <v>3.2393642932494969E-8</v>
      </c>
      <c r="O387" s="5">
        <f t="shared" si="52"/>
        <v>8.6856308453407191E-7</v>
      </c>
      <c r="P387" s="5">
        <f t="shared" si="53"/>
        <v>8.9904327253343344E-7</v>
      </c>
      <c r="Q387" s="1">
        <f t="shared" ref="Q387:Q450" si="58">N387+O387+P387</f>
        <v>1.8000000000000003E-6</v>
      </c>
    </row>
    <row r="388" spans="1:17" x14ac:dyDescent="0.25">
      <c r="A388" s="1">
        <v>19.3</v>
      </c>
      <c r="B388" s="1">
        <v>4.2520000000000002E-2</v>
      </c>
      <c r="C388" s="1">
        <v>4.4508999999999998E-3</v>
      </c>
      <c r="D388" s="1">
        <v>1.1521999999999999E-2</v>
      </c>
      <c r="E388" s="1">
        <v>4.8792000000000002E-2</v>
      </c>
      <c r="F388" s="1">
        <v>1.4926999999999999E-6</v>
      </c>
      <c r="G388" s="1">
        <v>6.9603999999999999</v>
      </c>
      <c r="H388" s="1">
        <v>1.1745E-7</v>
      </c>
      <c r="I388" s="1">
        <f t="shared" si="54"/>
        <v>1.1745E-7</v>
      </c>
      <c r="J388" s="4">
        <f t="shared" si="55"/>
        <v>-7.1839920961613517E-9</v>
      </c>
      <c r="K388" s="4">
        <f t="shared" si="56"/>
        <v>-1.6936980148414643E-8</v>
      </c>
      <c r="L388" s="4">
        <f t="shared" si="57"/>
        <v>-9.7839030525498966E-9</v>
      </c>
      <c r="M388" s="4">
        <f t="shared" ref="M388:M451" si="59">-P387*$T$8*I387*(A388-A387)</f>
        <v>-1.1074010461594349E-8</v>
      </c>
      <c r="N388" s="5">
        <f t="shared" ref="N388:N451" si="60">N387+J388-K388+L388</f>
        <v>3.2362727932198364E-8</v>
      </c>
      <c r="O388" s="5">
        <f t="shared" ref="O388:O451" si="61">-J388+O387+K388-M388</f>
        <v>8.6988410694341298E-7</v>
      </c>
      <c r="P388" s="5">
        <f t="shared" ref="P388:P451" si="62">P387-L388+M388</f>
        <v>8.9775316512438895E-7</v>
      </c>
      <c r="Q388" s="1">
        <f t="shared" si="58"/>
        <v>1.8000000000000003E-6</v>
      </c>
    </row>
    <row r="389" spans="1:17" x14ac:dyDescent="0.25">
      <c r="A389" s="1">
        <v>19.350000000000001</v>
      </c>
      <c r="B389" s="1">
        <v>4.2448E-2</v>
      </c>
      <c r="C389" s="1">
        <v>4.4555000000000003E-3</v>
      </c>
      <c r="D389" s="1">
        <v>1.1556E-2</v>
      </c>
      <c r="E389" s="1">
        <v>4.8712999999999999E-2</v>
      </c>
      <c r="F389" s="1">
        <v>1.4962E-6</v>
      </c>
      <c r="G389" s="1">
        <v>6.9598000000000004</v>
      </c>
      <c r="H389" s="1">
        <v>1.1759E-7</v>
      </c>
      <c r="I389" s="1">
        <f t="shared" si="54"/>
        <v>1.1759E-7</v>
      </c>
      <c r="J389" s="4">
        <f t="shared" si="55"/>
        <v>-7.2109118715503695E-9</v>
      </c>
      <c r="K389" s="4">
        <f t="shared" si="56"/>
        <v>-1.6962740085396797E-8</v>
      </c>
      <c r="L389" s="4">
        <f t="shared" si="57"/>
        <v>-9.7817007432990256E-9</v>
      </c>
      <c r="M389" s="4">
        <f t="shared" si="59"/>
        <v>-1.1071316470605403E-8</v>
      </c>
      <c r="N389" s="5">
        <f t="shared" si="60"/>
        <v>3.2332855402745769E-8</v>
      </c>
      <c r="O389" s="5">
        <f t="shared" si="61"/>
        <v>8.7120359520017203E-7</v>
      </c>
      <c r="P389" s="5">
        <f t="shared" si="62"/>
        <v>8.9646354939708262E-7</v>
      </c>
      <c r="Q389" s="1">
        <f t="shared" si="58"/>
        <v>1.8000000000000006E-6</v>
      </c>
    </row>
    <row r="390" spans="1:17" x14ac:dyDescent="0.25">
      <c r="A390" s="1">
        <v>19.399999999999999</v>
      </c>
      <c r="B390" s="1">
        <v>4.2375999999999997E-2</v>
      </c>
      <c r="C390" s="1">
        <v>4.4600000000000004E-3</v>
      </c>
      <c r="D390" s="1">
        <v>1.159E-2</v>
      </c>
      <c r="E390" s="1">
        <v>4.8633999999999997E-2</v>
      </c>
      <c r="F390" s="1">
        <v>1.4997E-6</v>
      </c>
      <c r="G390" s="1">
        <v>6.9592999999999998</v>
      </c>
      <c r="H390" s="1">
        <v>1.1772E-7</v>
      </c>
      <c r="I390" s="1">
        <f t="shared" si="54"/>
        <v>1.1772E-7</v>
      </c>
      <c r="J390" s="4">
        <f t="shared" si="55"/>
        <v>-7.2380796991014583E-9</v>
      </c>
      <c r="K390" s="4">
        <f t="shared" si="56"/>
        <v>-1.698847010640239E-8</v>
      </c>
      <c r="L390" s="4">
        <f t="shared" si="57"/>
        <v>-9.7797259189056737E-9</v>
      </c>
      <c r="M390" s="4">
        <f t="shared" si="59"/>
        <v>-1.106859062122768E-8</v>
      </c>
      <c r="N390" s="5">
        <f t="shared" si="60"/>
        <v>3.2303519891141028E-8</v>
      </c>
      <c r="O390" s="5">
        <f t="shared" si="61"/>
        <v>8.7252179541409882E-7</v>
      </c>
      <c r="P390" s="5">
        <f t="shared" si="62"/>
        <v>8.9517468469476055E-7</v>
      </c>
      <c r="Q390" s="1">
        <f t="shared" si="58"/>
        <v>1.8000000000000006E-6</v>
      </c>
    </row>
    <row r="391" spans="1:17" x14ac:dyDescent="0.25">
      <c r="A391" s="1">
        <v>19.45</v>
      </c>
      <c r="B391" s="1">
        <v>4.2303E-2</v>
      </c>
      <c r="C391" s="1">
        <v>4.4644999999999997E-3</v>
      </c>
      <c r="D391" s="1">
        <v>1.1623E-2</v>
      </c>
      <c r="E391" s="1">
        <v>4.8555000000000001E-2</v>
      </c>
      <c r="F391" s="1">
        <v>1.5031000000000001E-6</v>
      </c>
      <c r="G391" s="1">
        <v>6.9587000000000003</v>
      </c>
      <c r="H391" s="1">
        <v>1.1786E-7</v>
      </c>
      <c r="I391" s="1">
        <f t="shared" si="54"/>
        <v>1.1786E-7</v>
      </c>
      <c r="J391" s="4">
        <f t="shared" si="55"/>
        <v>-7.2653849494483122E-9</v>
      </c>
      <c r="K391" s="4">
        <f t="shared" si="56"/>
        <v>-1.7014175010575169E-8</v>
      </c>
      <c r="L391" s="4">
        <f t="shared" si="57"/>
        <v>-9.7778264737653987E-9</v>
      </c>
      <c r="M391" s="4">
        <f t="shared" si="59"/>
        <v>-1.1064896207638214E-8</v>
      </c>
      <c r="N391" s="5">
        <f t="shared" si="60"/>
        <v>3.2274483478502484E-8</v>
      </c>
      <c r="O391" s="5">
        <f t="shared" si="61"/>
        <v>8.7383790156061019E-7</v>
      </c>
      <c r="P391" s="5">
        <f t="shared" si="62"/>
        <v>8.9388761496088772E-7</v>
      </c>
      <c r="Q391" s="1">
        <f t="shared" si="58"/>
        <v>1.8000000000000003E-6</v>
      </c>
    </row>
    <row r="392" spans="1:17" x14ac:dyDescent="0.25">
      <c r="A392" s="1">
        <v>19.5</v>
      </c>
      <c r="B392" s="1">
        <v>4.2230999999999998E-2</v>
      </c>
      <c r="C392" s="1">
        <v>4.4689999999999999E-3</v>
      </c>
      <c r="D392" s="1">
        <v>1.1657000000000001E-2</v>
      </c>
      <c r="E392" s="1">
        <v>4.8475999999999998E-2</v>
      </c>
      <c r="F392" s="1">
        <v>1.5065999999999999E-6</v>
      </c>
      <c r="G392" s="1">
        <v>6.9581</v>
      </c>
      <c r="H392" s="1">
        <v>1.18E-7</v>
      </c>
      <c r="I392" s="1">
        <f t="shared" si="54"/>
        <v>1.18E-7</v>
      </c>
      <c r="J392" s="4">
        <f t="shared" si="55"/>
        <v>-7.2918050680767939E-9</v>
      </c>
      <c r="K392" s="4">
        <f t="shared" si="56"/>
        <v>-1.7039839080432142E-8</v>
      </c>
      <c r="L392" s="4">
        <f t="shared" si="57"/>
        <v>-9.7752805507547402E-9</v>
      </c>
      <c r="M392" s="4">
        <f t="shared" si="59"/>
        <v>-1.106212740142563E-8</v>
      </c>
      <c r="N392" s="5">
        <f t="shared" si="60"/>
        <v>3.2247236940103088E-8</v>
      </c>
      <c r="O392" s="5">
        <f t="shared" si="61"/>
        <v>8.7515199494968056E-7</v>
      </c>
      <c r="P392" s="5">
        <f t="shared" si="62"/>
        <v>8.9260076811021674E-7</v>
      </c>
      <c r="Q392" s="1">
        <f t="shared" si="58"/>
        <v>1.8000000000000003E-6</v>
      </c>
    </row>
    <row r="393" spans="1:17" x14ac:dyDescent="0.25">
      <c r="A393" s="1">
        <v>19.55</v>
      </c>
      <c r="B393" s="1">
        <v>4.2160000000000003E-2</v>
      </c>
      <c r="C393" s="1">
        <v>4.4733999999999998E-3</v>
      </c>
      <c r="D393" s="1">
        <v>1.1691E-2</v>
      </c>
      <c r="E393" s="1">
        <v>4.8397000000000003E-2</v>
      </c>
      <c r="F393" s="1">
        <v>1.5100999999999999E-6</v>
      </c>
      <c r="G393" s="1">
        <v>6.9576000000000002</v>
      </c>
      <c r="H393" s="1">
        <v>1.1813E-7</v>
      </c>
      <c r="I393" s="1">
        <f t="shared" si="54"/>
        <v>1.1813E-7</v>
      </c>
      <c r="J393" s="4">
        <f t="shared" si="55"/>
        <v>-7.3196183096288127E-9</v>
      </c>
      <c r="K393" s="4">
        <f t="shared" si="56"/>
        <v>-1.7065463901519016E-8</v>
      </c>
      <c r="L393" s="4">
        <f t="shared" si="57"/>
        <v>-9.7738427006962742E-9</v>
      </c>
      <c r="M393" s="4">
        <f t="shared" si="59"/>
        <v>-1.1059323516885743E-8</v>
      </c>
      <c r="N393" s="5">
        <f t="shared" si="60"/>
        <v>3.2219239831297013E-8</v>
      </c>
      <c r="O393" s="5">
        <f t="shared" si="61"/>
        <v>8.7646547287467608E-7</v>
      </c>
      <c r="P393" s="5">
        <f t="shared" si="62"/>
        <v>8.9131528729402718E-7</v>
      </c>
      <c r="Q393" s="1">
        <f t="shared" si="58"/>
        <v>1.8000000000000001E-6</v>
      </c>
    </row>
    <row r="394" spans="1:17" x14ac:dyDescent="0.25">
      <c r="A394" s="1">
        <v>19.600000000000001</v>
      </c>
      <c r="B394" s="1">
        <v>4.2088E-2</v>
      </c>
      <c r="C394" s="1">
        <v>4.4777999999999997E-3</v>
      </c>
      <c r="D394" s="1">
        <v>1.1724999999999999E-2</v>
      </c>
      <c r="E394" s="1">
        <v>4.8318E-2</v>
      </c>
      <c r="F394" s="1">
        <v>1.5135E-6</v>
      </c>
      <c r="G394" s="1">
        <v>6.9569999999999999</v>
      </c>
      <c r="H394" s="1">
        <v>1.1827E-7</v>
      </c>
      <c r="I394" s="1">
        <f t="shared" si="54"/>
        <v>1.1827E-7</v>
      </c>
      <c r="J394" s="4">
        <f t="shared" si="55"/>
        <v>-7.3472819271962817E-9</v>
      </c>
      <c r="K394" s="4">
        <f t="shared" si="56"/>
        <v>-1.7091076721056429E-8</v>
      </c>
      <c r="L394" s="4">
        <f t="shared" si="57"/>
        <v>-9.7720917438358485E-9</v>
      </c>
      <c r="M394" s="4">
        <f t="shared" si="59"/>
        <v>-1.1055562863244719E-8</v>
      </c>
      <c r="N394" s="5">
        <f t="shared" si="60"/>
        <v>3.2190942881321312E-8</v>
      </c>
      <c r="O394" s="5">
        <f t="shared" si="61"/>
        <v>8.7777724094406058E-7</v>
      </c>
      <c r="P394" s="5">
        <f t="shared" si="62"/>
        <v>8.9003181617461834E-7</v>
      </c>
      <c r="Q394" s="1">
        <f t="shared" si="58"/>
        <v>1.8000000000000001E-6</v>
      </c>
    </row>
    <row r="395" spans="1:17" x14ac:dyDescent="0.25">
      <c r="A395" s="1">
        <v>19.649999999999999</v>
      </c>
      <c r="B395" s="1">
        <v>4.2015999999999998E-2</v>
      </c>
      <c r="C395" s="1">
        <v>4.4821000000000001E-3</v>
      </c>
      <c r="D395" s="1">
        <v>1.1759E-2</v>
      </c>
      <c r="E395" s="1">
        <v>4.8239999999999998E-2</v>
      </c>
      <c r="F395" s="1">
        <v>1.5169E-6</v>
      </c>
      <c r="G395" s="1">
        <v>6.9564000000000004</v>
      </c>
      <c r="H395" s="1">
        <v>1.184E-7</v>
      </c>
      <c r="I395" s="1">
        <f t="shared" si="54"/>
        <v>1.184E-7</v>
      </c>
      <c r="J395" s="4">
        <f t="shared" si="55"/>
        <v>-7.3739221469002403E-9</v>
      </c>
      <c r="K395" s="4">
        <f t="shared" si="56"/>
        <v>-1.7116656198408207E-8</v>
      </c>
      <c r="L395" s="4">
        <f t="shared" si="57"/>
        <v>-9.7695187097442484E-9</v>
      </c>
      <c r="M395" s="4">
        <f t="shared" si="59"/>
        <v>-1.1052726604391443E-8</v>
      </c>
      <c r="N395" s="5">
        <f t="shared" si="60"/>
        <v>3.2164158223085026E-8</v>
      </c>
      <c r="O395" s="5">
        <f t="shared" si="61"/>
        <v>8.7908723349694411E-7</v>
      </c>
      <c r="P395" s="5">
        <f t="shared" si="62"/>
        <v>8.8874860827997106E-7</v>
      </c>
      <c r="Q395" s="1">
        <f t="shared" si="58"/>
        <v>1.8000000000000001E-6</v>
      </c>
    </row>
    <row r="396" spans="1:17" x14ac:dyDescent="0.25">
      <c r="A396" s="1">
        <v>19.7</v>
      </c>
      <c r="B396" s="1">
        <v>4.1944000000000002E-2</v>
      </c>
      <c r="C396" s="1">
        <v>4.4863999999999998E-3</v>
      </c>
      <c r="D396" s="1">
        <v>1.1792E-2</v>
      </c>
      <c r="E396" s="1">
        <v>4.8161000000000002E-2</v>
      </c>
      <c r="F396" s="1">
        <v>1.5204000000000001E-6</v>
      </c>
      <c r="G396" s="1">
        <v>6.9558999999999997</v>
      </c>
      <c r="H396" s="1">
        <v>1.1854E-7</v>
      </c>
      <c r="I396" s="1">
        <f t="shared" si="54"/>
        <v>1.1854E-7</v>
      </c>
      <c r="J396" s="4">
        <f t="shared" si="55"/>
        <v>-7.4009265229082866E-9</v>
      </c>
      <c r="K396" s="4">
        <f t="shared" si="56"/>
        <v>-1.7142201053190655E-8</v>
      </c>
      <c r="L396" s="4">
        <f t="shared" si="57"/>
        <v>-9.7675251247949599E-9</v>
      </c>
      <c r="M396" s="4">
        <f t="shared" si="59"/>
        <v>-1.1048922698136758E-8</v>
      </c>
      <c r="N396" s="5">
        <f t="shared" si="60"/>
        <v>3.213790762857243E-8</v>
      </c>
      <c r="O396" s="5">
        <f t="shared" si="61"/>
        <v>8.803948816647984E-7</v>
      </c>
      <c r="P396" s="5">
        <f t="shared" si="62"/>
        <v>8.8746721070662933E-7</v>
      </c>
      <c r="Q396" s="1">
        <f t="shared" si="58"/>
        <v>1.8000000000000001E-6</v>
      </c>
    </row>
    <row r="397" spans="1:17" x14ac:dyDescent="0.25">
      <c r="A397" s="1">
        <v>19.75</v>
      </c>
      <c r="B397" s="1">
        <v>4.1873E-2</v>
      </c>
      <c r="C397" s="1">
        <v>4.4906E-3</v>
      </c>
      <c r="D397" s="1">
        <v>1.1826E-2</v>
      </c>
      <c r="E397" s="1">
        <v>4.8083000000000001E-2</v>
      </c>
      <c r="F397" s="1">
        <v>1.5237999999999999E-6</v>
      </c>
      <c r="G397" s="1">
        <v>6.9553000000000003</v>
      </c>
      <c r="H397" s="1">
        <v>1.1868E-7</v>
      </c>
      <c r="I397" s="1">
        <f t="shared" si="54"/>
        <v>1.1868E-7</v>
      </c>
      <c r="J397" s="4">
        <f t="shared" si="55"/>
        <v>-7.4290506622796371E-9</v>
      </c>
      <c r="K397" s="4">
        <f t="shared" si="56"/>
        <v>-1.7167700192463811E-8</v>
      </c>
      <c r="L397" s="4">
        <f t="shared" si="57"/>
        <v>-9.766052434399538E-9</v>
      </c>
      <c r="M397" s="4">
        <f t="shared" si="59"/>
        <v>-1.104603813150236E-8</v>
      </c>
      <c r="N397" s="5">
        <f t="shared" si="60"/>
        <v>3.2110504724357062E-8</v>
      </c>
      <c r="O397" s="5">
        <f t="shared" si="61"/>
        <v>8.8170227026611662E-7</v>
      </c>
      <c r="P397" s="5">
        <f t="shared" si="62"/>
        <v>8.8618722500952649E-7</v>
      </c>
      <c r="Q397" s="1">
        <f t="shared" si="58"/>
        <v>1.8000000000000001E-6</v>
      </c>
    </row>
    <row r="398" spans="1:17" x14ac:dyDescent="0.25">
      <c r="A398" s="1">
        <v>19.8</v>
      </c>
      <c r="B398" s="1">
        <v>4.1800999999999998E-2</v>
      </c>
      <c r="C398" s="1">
        <v>4.4948000000000002E-3</v>
      </c>
      <c r="D398" s="1">
        <v>1.1860000000000001E-2</v>
      </c>
      <c r="E398" s="1">
        <v>4.8003999999999998E-2</v>
      </c>
      <c r="F398" s="1">
        <v>1.5272E-6</v>
      </c>
      <c r="G398" s="1">
        <v>6.9547999999999996</v>
      </c>
      <c r="H398" s="1">
        <v>1.1881E-7</v>
      </c>
      <c r="I398" s="1">
        <f t="shared" si="54"/>
        <v>1.1881E-7</v>
      </c>
      <c r="J398" s="4">
        <f t="shared" si="55"/>
        <v>-7.455951434141961E-9</v>
      </c>
      <c r="K398" s="4">
        <f t="shared" si="56"/>
        <v>-1.719319427018952E-8</v>
      </c>
      <c r="L398" s="4">
        <f t="shared" si="57"/>
        <v>-9.7637073641722566E-9</v>
      </c>
      <c r="M398" s="4">
        <f t="shared" si="59"/>
        <v>-1.104313348573387E-8</v>
      </c>
      <c r="N398" s="5">
        <f t="shared" si="60"/>
        <v>3.2084040196232365E-8</v>
      </c>
      <c r="O398" s="5">
        <f t="shared" si="61"/>
        <v>8.8300816091580293E-7</v>
      </c>
      <c r="P398" s="5">
        <f t="shared" si="62"/>
        <v>8.8490779888796487E-7</v>
      </c>
      <c r="Q398" s="1">
        <f t="shared" si="58"/>
        <v>1.8000000000000001E-6</v>
      </c>
    </row>
    <row r="399" spans="1:17" x14ac:dyDescent="0.25">
      <c r="A399" s="1">
        <v>19.850000000000001</v>
      </c>
      <c r="B399" s="1">
        <v>4.1730000000000003E-2</v>
      </c>
      <c r="C399" s="1">
        <v>4.4990000000000004E-3</v>
      </c>
      <c r="D399" s="1">
        <v>1.1893000000000001E-2</v>
      </c>
      <c r="E399" s="1">
        <v>4.7926000000000003E-2</v>
      </c>
      <c r="F399" s="1">
        <v>1.5305E-6</v>
      </c>
      <c r="G399" s="1">
        <v>6.9542000000000002</v>
      </c>
      <c r="H399" s="1">
        <v>1.1895E-7</v>
      </c>
      <c r="I399" s="1">
        <f t="shared" si="54"/>
        <v>1.1895E-7</v>
      </c>
      <c r="J399" s="4">
        <f t="shared" si="55"/>
        <v>-7.4830885177835229E-9</v>
      </c>
      <c r="K399" s="4">
        <f t="shared" si="56"/>
        <v>-1.7218659137858401E-8</v>
      </c>
      <c r="L399" s="4">
        <f t="shared" si="57"/>
        <v>-9.7613636197739186E-9</v>
      </c>
      <c r="M399" s="4">
        <f t="shared" si="59"/>
        <v>-1.1039269036517463E-8</v>
      </c>
      <c r="N399" s="5">
        <f t="shared" si="60"/>
        <v>3.2058247196533327E-8</v>
      </c>
      <c r="O399" s="5">
        <f t="shared" si="61"/>
        <v>8.8431185933224558E-7</v>
      </c>
      <c r="P399" s="5">
        <f t="shared" si="62"/>
        <v>8.8362989347122138E-7</v>
      </c>
      <c r="Q399" s="1">
        <f t="shared" si="58"/>
        <v>1.8000000000000003E-6</v>
      </c>
    </row>
    <row r="400" spans="1:17" x14ac:dyDescent="0.25">
      <c r="A400" s="1">
        <v>19.899999999999999</v>
      </c>
      <c r="B400" s="1">
        <v>4.1658000000000001E-2</v>
      </c>
      <c r="C400" s="1">
        <v>4.5031000000000003E-3</v>
      </c>
      <c r="D400" s="1">
        <v>1.1927E-2</v>
      </c>
      <c r="E400" s="1">
        <v>4.7847000000000001E-2</v>
      </c>
      <c r="F400" s="1">
        <v>1.5339E-6</v>
      </c>
      <c r="G400" s="1">
        <v>6.9535999999999998</v>
      </c>
      <c r="H400" s="1">
        <v>1.1908E-7</v>
      </c>
      <c r="I400" s="1">
        <f t="shared" si="54"/>
        <v>1.1908E-7</v>
      </c>
      <c r="J400" s="4">
        <f t="shared" si="55"/>
        <v>-7.5094207995133098E-9</v>
      </c>
      <c r="K400" s="4">
        <f t="shared" si="56"/>
        <v>-1.724408125697781E-8</v>
      </c>
      <c r="L400" s="4">
        <f t="shared" si="57"/>
        <v>-9.7587094422444993E-9</v>
      </c>
      <c r="M400" s="4">
        <f t="shared" si="59"/>
        <v>-1.1036316461981562E-8</v>
      </c>
      <c r="N400" s="5">
        <f t="shared" si="60"/>
        <v>3.2034198211753324E-8</v>
      </c>
      <c r="O400" s="5">
        <f t="shared" si="61"/>
        <v>8.8561351533676266E-7</v>
      </c>
      <c r="P400" s="5">
        <f t="shared" si="62"/>
        <v>8.8235228645148438E-7</v>
      </c>
      <c r="Q400" s="1">
        <f t="shared" si="58"/>
        <v>1.8000000000000003E-6</v>
      </c>
    </row>
    <row r="401" spans="1:17" x14ac:dyDescent="0.25">
      <c r="A401" s="1">
        <v>19.95</v>
      </c>
      <c r="B401" s="1">
        <v>4.1586999999999999E-2</v>
      </c>
      <c r="C401" s="1">
        <v>4.5072000000000003E-3</v>
      </c>
      <c r="D401" s="1">
        <v>1.1960999999999999E-2</v>
      </c>
      <c r="E401" s="1">
        <v>4.7768999999999999E-2</v>
      </c>
      <c r="F401" s="1">
        <v>1.5373000000000001E-6</v>
      </c>
      <c r="G401" s="1">
        <v>6.9531000000000001</v>
      </c>
      <c r="H401" s="1">
        <v>1.1922E-7</v>
      </c>
      <c r="I401" s="1">
        <f t="shared" si="54"/>
        <v>1.1922E-7</v>
      </c>
      <c r="J401" s="4">
        <f t="shared" si="55"/>
        <v>-7.5371637955508296E-9</v>
      </c>
      <c r="K401" s="4">
        <f t="shared" si="56"/>
        <v>-1.7269463549067118E-8</v>
      </c>
      <c r="L401" s="4">
        <f t="shared" si="57"/>
        <v>-9.756941820990549E-9</v>
      </c>
      <c r="M401" s="4">
        <f t="shared" si="59"/>
        <v>-1.1032403578417646E-8</v>
      </c>
      <c r="N401" s="5">
        <f t="shared" si="60"/>
        <v>3.2009556144279063E-8</v>
      </c>
      <c r="O401" s="5">
        <f t="shared" si="61"/>
        <v>8.8691361916166406E-7</v>
      </c>
      <c r="P401" s="5">
        <f t="shared" si="62"/>
        <v>8.8107682469405733E-7</v>
      </c>
      <c r="Q401" s="1">
        <f t="shared" si="58"/>
        <v>1.8000000000000006E-6</v>
      </c>
    </row>
    <row r="402" spans="1:17" x14ac:dyDescent="0.25">
      <c r="A402" s="1">
        <v>20</v>
      </c>
      <c r="B402" s="1">
        <v>4.1515999999999997E-2</v>
      </c>
      <c r="C402" s="1">
        <v>4.5111999999999999E-3</v>
      </c>
      <c r="D402" s="1">
        <v>1.1993999999999999E-2</v>
      </c>
      <c r="E402" s="1">
        <v>4.7690999999999997E-2</v>
      </c>
      <c r="F402" s="1">
        <v>1.5405999999999999E-6</v>
      </c>
      <c r="G402" s="1">
        <v>6.9524999999999997</v>
      </c>
      <c r="H402" s="1">
        <v>1.1934999999999999E-7</v>
      </c>
      <c r="I402" s="1">
        <f t="shared" si="54"/>
        <v>1.1934999999999999E-7</v>
      </c>
      <c r="J402" s="4">
        <f t="shared" si="55"/>
        <v>-7.5647905232541775E-9</v>
      </c>
      <c r="K402" s="4">
        <f t="shared" si="56"/>
        <v>-1.7294815573652697E-8</v>
      </c>
      <c r="L402" s="4">
        <f t="shared" si="57"/>
        <v>-9.7551179717499142E-9</v>
      </c>
      <c r="M402" s="4">
        <f t="shared" si="59"/>
        <v>-1.1029407799202836E-8</v>
      </c>
      <c r="N402" s="5">
        <f t="shared" si="60"/>
        <v>3.1984463222927666E-8</v>
      </c>
      <c r="O402" s="5">
        <f t="shared" si="61"/>
        <v>8.8821300191046837E-7</v>
      </c>
      <c r="P402" s="5">
        <f t="shared" si="62"/>
        <v>8.798025348666044E-7</v>
      </c>
      <c r="Q402" s="1">
        <f t="shared" si="58"/>
        <v>1.8000000000000006E-6</v>
      </c>
    </row>
    <row r="403" spans="1:17" x14ac:dyDescent="0.25">
      <c r="A403" s="1">
        <v>20.05</v>
      </c>
      <c r="B403" s="1">
        <v>4.1445000000000003E-2</v>
      </c>
      <c r="C403" s="1">
        <v>4.5151999999999996E-3</v>
      </c>
      <c r="D403" s="1">
        <v>1.2028E-2</v>
      </c>
      <c r="E403" s="1">
        <v>4.7612000000000002E-2</v>
      </c>
      <c r="F403" s="1">
        <v>1.544E-6</v>
      </c>
      <c r="G403" s="1">
        <v>6.952</v>
      </c>
      <c r="H403" s="1">
        <v>1.1948999999999999E-7</v>
      </c>
      <c r="I403" s="1">
        <f t="shared" si="54"/>
        <v>1.1948999999999999E-7</v>
      </c>
      <c r="J403" s="4">
        <f t="shared" si="55"/>
        <v>-7.5913471781939058E-9</v>
      </c>
      <c r="K403" s="4">
        <f t="shared" si="56"/>
        <v>-1.7320153537254382E-8</v>
      </c>
      <c r="L403" s="4">
        <f t="shared" si="57"/>
        <v>-9.7524444621723288E-9</v>
      </c>
      <c r="M403" s="4">
        <f t="shared" si="59"/>
        <v>-1.1025465416314725E-8</v>
      </c>
      <c r="N403" s="5">
        <f t="shared" si="60"/>
        <v>3.1960825119815813E-8</v>
      </c>
      <c r="O403" s="5">
        <f t="shared" si="61"/>
        <v>8.8950966096772266E-7</v>
      </c>
      <c r="P403" s="5">
        <f t="shared" si="62"/>
        <v>8.7852951391246206E-7</v>
      </c>
      <c r="Q403" s="1">
        <f t="shared" si="58"/>
        <v>1.8000000000000006E-6</v>
      </c>
    </row>
    <row r="404" spans="1:17" x14ac:dyDescent="0.25">
      <c r="A404" s="1">
        <v>20.100000000000001</v>
      </c>
      <c r="B404" s="1">
        <v>4.1373E-2</v>
      </c>
      <c r="C404" s="1">
        <v>4.5192000000000001E-3</v>
      </c>
      <c r="D404" s="1">
        <v>1.2061000000000001E-2</v>
      </c>
      <c r="E404" s="1">
        <v>4.7534E-2</v>
      </c>
      <c r="F404" s="1">
        <v>1.5473E-6</v>
      </c>
      <c r="G404" s="1">
        <v>6.9513999999999996</v>
      </c>
      <c r="H404" s="1">
        <v>1.1962000000000001E-7</v>
      </c>
      <c r="I404" s="1">
        <f t="shared" si="54"/>
        <v>1.1962000000000001E-7</v>
      </c>
      <c r="J404" s="4">
        <f t="shared" si="55"/>
        <v>-7.6192561592834298E-9</v>
      </c>
      <c r="K404" s="4">
        <f t="shared" si="56"/>
        <v>-1.7345438388870839E-8</v>
      </c>
      <c r="L404" s="4">
        <f t="shared" si="57"/>
        <v>-9.7505654187926249E-9</v>
      </c>
      <c r="M404" s="4">
        <f t="shared" si="59"/>
        <v>-1.1022426619827165E-8</v>
      </c>
      <c r="N404" s="5">
        <f t="shared" si="60"/>
        <v>3.1936441930610595E-8</v>
      </c>
      <c r="O404" s="5">
        <f t="shared" si="61"/>
        <v>8.9080590535796241E-7</v>
      </c>
      <c r="P404" s="5">
        <f t="shared" si="62"/>
        <v>8.7725765271142749E-7</v>
      </c>
      <c r="Q404" s="1">
        <f t="shared" si="58"/>
        <v>1.8000000000000006E-6</v>
      </c>
    </row>
    <row r="405" spans="1:17" x14ac:dyDescent="0.25">
      <c r="A405" s="1">
        <v>20.149999999999999</v>
      </c>
      <c r="B405" s="1">
        <v>4.1302999999999999E-2</v>
      </c>
      <c r="C405" s="1">
        <v>4.5231000000000004E-3</v>
      </c>
      <c r="D405" s="1">
        <v>1.2095E-2</v>
      </c>
      <c r="E405" s="1">
        <v>4.7455999999999998E-2</v>
      </c>
      <c r="F405" s="1">
        <v>1.5506E-6</v>
      </c>
      <c r="G405" s="1">
        <v>6.9508999999999999</v>
      </c>
      <c r="H405" s="1">
        <v>1.1976000000000001E-7</v>
      </c>
      <c r="I405" s="1">
        <f t="shared" si="54"/>
        <v>1.1976000000000001E-7</v>
      </c>
      <c r="J405" s="4">
        <f t="shared" si="55"/>
        <v>-7.6460226535990075E-9</v>
      </c>
      <c r="K405" s="4">
        <f t="shared" si="56"/>
        <v>-1.737071515447928E-8</v>
      </c>
      <c r="L405" s="4">
        <f t="shared" si="57"/>
        <v>-9.7479549498295565E-9</v>
      </c>
      <c r="M405" s="4">
        <f t="shared" si="59"/>
        <v>-1.1018443843820175E-8</v>
      </c>
      <c r="N405" s="5">
        <f t="shared" si="60"/>
        <v>3.1913179481661312E-8</v>
      </c>
      <c r="O405" s="5">
        <f t="shared" si="61"/>
        <v>8.9209965670090232E-7</v>
      </c>
      <c r="P405" s="5">
        <f t="shared" si="62"/>
        <v>8.7598716381743685E-7</v>
      </c>
      <c r="Q405" s="1">
        <f t="shared" si="58"/>
        <v>1.8000000000000006E-6</v>
      </c>
    </row>
    <row r="406" spans="1:17" x14ac:dyDescent="0.25">
      <c r="A406" s="1">
        <v>20.2</v>
      </c>
      <c r="B406" s="1">
        <v>4.1231999999999998E-2</v>
      </c>
      <c r="C406" s="1">
        <v>4.5269999999999998E-3</v>
      </c>
      <c r="D406" s="1">
        <v>1.2128999999999999E-2</v>
      </c>
      <c r="E406" s="1">
        <v>4.7378000000000003E-2</v>
      </c>
      <c r="F406" s="1">
        <v>1.5539000000000001E-6</v>
      </c>
      <c r="G406" s="1">
        <v>6.9503000000000004</v>
      </c>
      <c r="H406" s="1">
        <v>1.1989E-7</v>
      </c>
      <c r="I406" s="1">
        <f t="shared" si="54"/>
        <v>1.1989E-7</v>
      </c>
      <c r="J406" s="4">
        <f t="shared" si="55"/>
        <v>-7.6730783707272896E-9</v>
      </c>
      <c r="K406" s="4">
        <f t="shared" si="56"/>
        <v>-1.7395943305667844E-8</v>
      </c>
      <c r="L406" s="4">
        <f t="shared" si="57"/>
        <v>-9.7456111809565472E-9</v>
      </c>
      <c r="M406" s="4">
        <f t="shared" si="59"/>
        <v>-1.1015363387571662E-8</v>
      </c>
      <c r="N406" s="5">
        <f t="shared" si="60"/>
        <v>3.1890433235645319E-8</v>
      </c>
      <c r="O406" s="5">
        <f t="shared" si="61"/>
        <v>8.9339215515353342E-7</v>
      </c>
      <c r="P406" s="5">
        <f t="shared" si="62"/>
        <v>8.7471741161082173E-7</v>
      </c>
      <c r="Q406" s="1">
        <f t="shared" si="58"/>
        <v>1.8000000000000006E-6</v>
      </c>
    </row>
    <row r="407" spans="1:17" x14ac:dyDescent="0.25">
      <c r="A407" s="1">
        <v>20.25</v>
      </c>
      <c r="B407" s="1">
        <v>4.1161000000000003E-2</v>
      </c>
      <c r="C407" s="1">
        <v>4.5307999999999998E-3</v>
      </c>
      <c r="D407" s="1">
        <v>1.2161999999999999E-2</v>
      </c>
      <c r="E407" s="1">
        <v>4.7300000000000002E-2</v>
      </c>
      <c r="F407" s="1">
        <v>1.5572000000000001E-6</v>
      </c>
      <c r="G407" s="1">
        <v>6.9497999999999998</v>
      </c>
      <c r="H407" s="1">
        <v>1.2003E-7</v>
      </c>
      <c r="I407" s="1">
        <f t="shared" si="54"/>
        <v>1.2003E-7</v>
      </c>
      <c r="J407" s="4">
        <f t="shared" si="55"/>
        <v>-7.7002806239947439E-9</v>
      </c>
      <c r="K407" s="4">
        <f t="shared" si="56"/>
        <v>-1.7421147025494151E-8</v>
      </c>
      <c r="L407" s="4">
        <f t="shared" si="57"/>
        <v>-9.743350060654068E-9</v>
      </c>
      <c r="M407" s="4">
        <f t="shared" si="59"/>
        <v>-1.1011336400192405E-8</v>
      </c>
      <c r="N407" s="5">
        <f t="shared" si="60"/>
        <v>3.1867949576490655E-8</v>
      </c>
      <c r="O407" s="5">
        <f t="shared" si="61"/>
        <v>8.9468262515222639E-7</v>
      </c>
      <c r="P407" s="5">
        <f t="shared" si="62"/>
        <v>8.7344942527128338E-7</v>
      </c>
      <c r="Q407" s="1">
        <f t="shared" si="58"/>
        <v>1.8000000000000006E-6</v>
      </c>
    </row>
    <row r="408" spans="1:17" x14ac:dyDescent="0.25">
      <c r="A408" s="1">
        <v>20.3</v>
      </c>
      <c r="B408" s="1">
        <v>4.1090000000000002E-2</v>
      </c>
      <c r="C408" s="1">
        <v>4.5345999999999997E-3</v>
      </c>
      <c r="D408" s="1">
        <v>1.2196E-2</v>
      </c>
      <c r="E408" s="1">
        <v>4.7223000000000001E-2</v>
      </c>
      <c r="F408" s="1">
        <v>1.5604999999999999E-6</v>
      </c>
      <c r="G408" s="1">
        <v>6.9492000000000003</v>
      </c>
      <c r="H408" s="1">
        <v>1.2016000000000001E-7</v>
      </c>
      <c r="I408" s="1">
        <f t="shared" si="54"/>
        <v>1.2016000000000001E-7</v>
      </c>
      <c r="J408" s="4">
        <f t="shared" si="55"/>
        <v>-7.7275693526573217E-9</v>
      </c>
      <c r="K408" s="4">
        <f t="shared" si="56"/>
        <v>-1.7446311190468662E-8</v>
      </c>
      <c r="L408" s="4">
        <f t="shared" si="57"/>
        <v>-9.7410944392490944E-9</v>
      </c>
      <c r="M408" s="4">
        <f t="shared" si="59"/>
        <v>-1.1008214124107931E-8</v>
      </c>
      <c r="N408" s="5">
        <f t="shared" si="60"/>
        <v>3.1845596975052894E-8</v>
      </c>
      <c r="O408" s="5">
        <f t="shared" si="61"/>
        <v>8.9597209743852291E-7</v>
      </c>
      <c r="P408" s="5">
        <f t="shared" si="62"/>
        <v>8.7218230558642459E-7</v>
      </c>
      <c r="Q408" s="1">
        <f t="shared" si="58"/>
        <v>1.8000000000000003E-6</v>
      </c>
    </row>
    <row r="409" spans="1:17" x14ac:dyDescent="0.25">
      <c r="A409" s="1">
        <v>20.350000000000001</v>
      </c>
      <c r="B409" s="1">
        <v>4.1019E-2</v>
      </c>
      <c r="C409" s="1">
        <v>4.5383999999999997E-3</v>
      </c>
      <c r="D409" s="1">
        <v>1.2229E-2</v>
      </c>
      <c r="E409" s="1">
        <v>4.7144999999999999E-2</v>
      </c>
      <c r="F409" s="1">
        <v>1.5637E-6</v>
      </c>
      <c r="G409" s="1">
        <v>6.9486999999999997</v>
      </c>
      <c r="H409" s="1">
        <v>1.2030000000000001E-7</v>
      </c>
      <c r="I409" s="1">
        <f t="shared" si="54"/>
        <v>1.2030000000000001E-7</v>
      </c>
      <c r="J409" s="4">
        <f t="shared" si="55"/>
        <v>-7.7549131891170141E-9</v>
      </c>
      <c r="K409" s="4">
        <f t="shared" si="56"/>
        <v>-1.7471455900051447E-8</v>
      </c>
      <c r="L409" s="4">
        <f t="shared" si="57"/>
        <v>-9.7390105860182129E-9</v>
      </c>
      <c r="M409" s="4">
        <f t="shared" si="59"/>
        <v>-1.1004149713122959E-8</v>
      </c>
      <c r="N409" s="5">
        <f t="shared" si="60"/>
        <v>3.1823129099969116E-8</v>
      </c>
      <c r="O409" s="5">
        <f t="shared" si="61"/>
        <v>8.9725970444071147E-7</v>
      </c>
      <c r="P409" s="5">
        <f t="shared" si="62"/>
        <v>8.7091716645931982E-7</v>
      </c>
      <c r="Q409" s="1">
        <f t="shared" si="58"/>
        <v>1.8000000000000006E-6</v>
      </c>
    </row>
    <row r="410" spans="1:17" x14ac:dyDescent="0.25">
      <c r="A410" s="1">
        <v>20.399999999999999</v>
      </c>
      <c r="B410" s="1">
        <v>4.0948999999999999E-2</v>
      </c>
      <c r="C410" s="1">
        <v>4.5421000000000003E-3</v>
      </c>
      <c r="D410" s="1">
        <v>1.2262E-2</v>
      </c>
      <c r="E410" s="1">
        <v>4.7066999999999998E-2</v>
      </c>
      <c r="F410" s="1">
        <v>1.567E-6</v>
      </c>
      <c r="G410" s="1">
        <v>6.9481000000000002</v>
      </c>
      <c r="H410" s="1">
        <v>1.2043E-7</v>
      </c>
      <c r="I410" s="1">
        <f t="shared" si="54"/>
        <v>1.2043E-7</v>
      </c>
      <c r="J410" s="4">
        <f t="shared" si="55"/>
        <v>-7.7812568838647845E-9</v>
      </c>
      <c r="K410" s="4">
        <f t="shared" si="56"/>
        <v>-1.749656423659288E-8</v>
      </c>
      <c r="L410" s="4">
        <f t="shared" si="57"/>
        <v>-9.7359885305857376E-9</v>
      </c>
      <c r="M410" s="4">
        <f t="shared" si="59"/>
        <v>-1.1000990188130275E-8</v>
      </c>
      <c r="N410" s="5">
        <f t="shared" si="60"/>
        <v>3.1802447922111475E-8</v>
      </c>
      <c r="O410" s="5">
        <f t="shared" si="61"/>
        <v>8.9854538727611363E-7</v>
      </c>
      <c r="P410" s="5">
        <f t="shared" si="62"/>
        <v>8.6965216480177536E-7</v>
      </c>
      <c r="Q410" s="1">
        <f t="shared" si="58"/>
        <v>1.8000000000000006E-6</v>
      </c>
    </row>
    <row r="411" spans="1:17" x14ac:dyDescent="0.25">
      <c r="A411" s="1">
        <v>20.45</v>
      </c>
      <c r="B411" s="1">
        <v>4.0877999999999998E-2</v>
      </c>
      <c r="C411" s="1">
        <v>4.5458E-3</v>
      </c>
      <c r="D411" s="1">
        <v>1.2296E-2</v>
      </c>
      <c r="E411" s="1">
        <v>4.6989000000000003E-2</v>
      </c>
      <c r="F411" s="1">
        <v>1.5702E-6</v>
      </c>
      <c r="G411" s="1">
        <v>6.9476000000000004</v>
      </c>
      <c r="H411" s="1">
        <v>1.2057E-7</v>
      </c>
      <c r="I411" s="1">
        <f t="shared" si="54"/>
        <v>1.2057E-7</v>
      </c>
      <c r="J411" s="4">
        <f t="shared" si="55"/>
        <v>-7.8090561045818695E-9</v>
      </c>
      <c r="K411" s="4">
        <f t="shared" si="56"/>
        <v>-1.7521635051884466E-8</v>
      </c>
      <c r="L411" s="4">
        <f t="shared" si="57"/>
        <v>-9.7340631860151419E-9</v>
      </c>
      <c r="M411" s="4">
        <f t="shared" si="59"/>
        <v>-1.0996882071743326E-8</v>
      </c>
      <c r="N411" s="5">
        <f t="shared" si="60"/>
        <v>3.178096368339893E-8</v>
      </c>
      <c r="O411" s="5">
        <f t="shared" si="61"/>
        <v>8.9982969040055443E-7</v>
      </c>
      <c r="P411" s="5">
        <f t="shared" si="62"/>
        <v>8.6838934591604709E-7</v>
      </c>
      <c r="Q411" s="1">
        <f t="shared" si="58"/>
        <v>1.8000000000000006E-6</v>
      </c>
    </row>
    <row r="412" spans="1:17" x14ac:dyDescent="0.25">
      <c r="A412" s="1">
        <v>20.5</v>
      </c>
      <c r="B412" s="1">
        <v>4.0807999999999997E-2</v>
      </c>
      <c r="C412" s="1">
        <v>4.5494000000000003E-3</v>
      </c>
      <c r="D412" s="1">
        <v>1.2329E-2</v>
      </c>
      <c r="E412" s="1">
        <v>4.6912000000000002E-2</v>
      </c>
      <c r="F412" s="1">
        <v>1.5735000000000001E-6</v>
      </c>
      <c r="G412" s="1">
        <v>6.9470000000000001</v>
      </c>
      <c r="H412" s="1">
        <v>1.2069999999999999E-7</v>
      </c>
      <c r="I412" s="1">
        <f t="shared" si="54"/>
        <v>1.2069999999999999E-7</v>
      </c>
      <c r="J412" s="4">
        <f t="shared" si="55"/>
        <v>-7.835685709964286E-9</v>
      </c>
      <c r="K412" s="4">
        <f t="shared" si="56"/>
        <v>-1.754667896281106E-8</v>
      </c>
      <c r="L412" s="4">
        <f t="shared" si="57"/>
        <v>-9.7311985649972899E-9</v>
      </c>
      <c r="M412" s="4">
        <f t="shared" si="59"/>
        <v>-1.0993678860895426E-8</v>
      </c>
      <c r="N412" s="5">
        <f t="shared" si="60"/>
        <v>3.1760758371248411E-8</v>
      </c>
      <c r="O412" s="5">
        <f t="shared" si="61"/>
        <v>9.0111237600860304E-7</v>
      </c>
      <c r="P412" s="5">
        <f t="shared" si="62"/>
        <v>8.67126865620149E-7</v>
      </c>
      <c r="Q412" s="1">
        <f t="shared" si="58"/>
        <v>1.8000000000000006E-6</v>
      </c>
    </row>
    <row r="413" spans="1:17" x14ac:dyDescent="0.25">
      <c r="A413" s="1">
        <v>20.55</v>
      </c>
      <c r="B413" s="1">
        <v>4.0737000000000002E-2</v>
      </c>
      <c r="C413" s="1">
        <v>4.5529999999999998E-3</v>
      </c>
      <c r="D413" s="1">
        <v>1.2363000000000001E-2</v>
      </c>
      <c r="E413" s="1">
        <v>4.6834000000000001E-2</v>
      </c>
      <c r="F413" s="1">
        <v>1.5767000000000001E-6</v>
      </c>
      <c r="G413" s="1">
        <v>6.9465000000000003</v>
      </c>
      <c r="H413" s="1">
        <v>1.2083999999999999E-7</v>
      </c>
      <c r="I413" s="1">
        <f t="shared" si="54"/>
        <v>1.2083999999999999E-7</v>
      </c>
      <c r="J413" s="4">
        <f t="shared" si="55"/>
        <v>-7.8636533113081385E-9</v>
      </c>
      <c r="K413" s="4">
        <f t="shared" si="56"/>
        <v>-1.7571691332168011E-8</v>
      </c>
      <c r="L413" s="4">
        <f t="shared" si="57"/>
        <v>-9.729480598546953E-9</v>
      </c>
      <c r="M413" s="4">
        <f t="shared" si="59"/>
        <v>-1.0989532331437113E-8</v>
      </c>
      <c r="N413" s="5">
        <f t="shared" si="60"/>
        <v>3.1739315793561327E-8</v>
      </c>
      <c r="O413" s="5">
        <f t="shared" si="61"/>
        <v>9.0239387031918026E-7</v>
      </c>
      <c r="P413" s="5">
        <f t="shared" si="62"/>
        <v>8.658668138872588E-7</v>
      </c>
      <c r="Q413" s="1">
        <f t="shared" si="58"/>
        <v>1.8000000000000003E-6</v>
      </c>
    </row>
    <row r="414" spans="1:17" x14ac:dyDescent="0.25">
      <c r="A414" s="1">
        <v>20.6</v>
      </c>
      <c r="B414" s="1">
        <v>4.0667000000000002E-2</v>
      </c>
      <c r="C414" s="1">
        <v>4.5566000000000001E-3</v>
      </c>
      <c r="D414" s="1">
        <v>1.2396000000000001E-2</v>
      </c>
      <c r="E414" s="1">
        <v>4.6757E-2</v>
      </c>
      <c r="F414" s="1">
        <v>1.5798999999999999E-6</v>
      </c>
      <c r="G414" s="1">
        <v>6.9459</v>
      </c>
      <c r="H414" s="1">
        <v>1.2097E-7</v>
      </c>
      <c r="I414" s="1">
        <f t="shared" si="54"/>
        <v>1.2097E-7</v>
      </c>
      <c r="J414" s="4">
        <f t="shared" si="55"/>
        <v>-7.890339600310137E-9</v>
      </c>
      <c r="K414" s="4">
        <f t="shared" si="56"/>
        <v>-1.7596680471224267E-8</v>
      </c>
      <c r="L414" s="4">
        <f t="shared" si="57"/>
        <v>-9.7264862313048687E-9</v>
      </c>
      <c r="M414" s="4">
        <f t="shared" si="59"/>
        <v>-1.0986291307964472E-8</v>
      </c>
      <c r="N414" s="5">
        <f t="shared" si="60"/>
        <v>3.1719170433170587E-8</v>
      </c>
      <c r="O414" s="5">
        <f t="shared" si="61"/>
        <v>9.0367382075623052E-7</v>
      </c>
      <c r="P414" s="5">
        <f t="shared" si="62"/>
        <v>8.6460700881059916E-7</v>
      </c>
      <c r="Q414" s="1">
        <f t="shared" si="58"/>
        <v>1.8000000000000001E-6</v>
      </c>
    </row>
    <row r="415" spans="1:17" x14ac:dyDescent="0.25">
      <c r="A415" s="1">
        <v>20.65</v>
      </c>
      <c r="B415" s="1">
        <v>4.0597000000000001E-2</v>
      </c>
      <c r="C415" s="1">
        <v>4.5601000000000001E-3</v>
      </c>
      <c r="D415" s="1">
        <v>1.2429000000000001E-2</v>
      </c>
      <c r="E415" s="1">
        <v>4.6678999999999998E-2</v>
      </c>
      <c r="F415" s="1">
        <v>1.5830999999999999E-6</v>
      </c>
      <c r="G415" s="1">
        <v>6.9454000000000002</v>
      </c>
      <c r="H415" s="1">
        <v>1.2111E-7</v>
      </c>
      <c r="I415" s="1">
        <f t="shared" si="54"/>
        <v>1.2111E-7</v>
      </c>
      <c r="J415" s="4">
        <f t="shared" si="55"/>
        <v>-7.9173714128697358E-9</v>
      </c>
      <c r="K415" s="4">
        <f t="shared" si="56"/>
        <v>-1.7621639504745492E-8</v>
      </c>
      <c r="L415" s="4">
        <f t="shared" si="57"/>
        <v>-9.7240269692951055E-9</v>
      </c>
      <c r="M415" s="4">
        <f t="shared" si="59"/>
        <v>-1.0982108534860285E-8</v>
      </c>
      <c r="N415" s="5">
        <f t="shared" si="60"/>
        <v>3.1699411555751241E-8</v>
      </c>
      <c r="O415" s="5">
        <f t="shared" si="61"/>
        <v>9.0495166119921506E-7</v>
      </c>
      <c r="P415" s="5">
        <f t="shared" si="62"/>
        <v>8.6334892724503391E-7</v>
      </c>
      <c r="Q415" s="1">
        <f t="shared" si="58"/>
        <v>1.8000000000000001E-6</v>
      </c>
    </row>
    <row r="416" spans="1:17" x14ac:dyDescent="0.25">
      <c r="A416" s="1">
        <v>20.7</v>
      </c>
      <c r="B416" s="1">
        <v>4.0527000000000001E-2</v>
      </c>
      <c r="C416" s="1">
        <v>4.5636000000000001E-3</v>
      </c>
      <c r="D416" s="1">
        <v>1.2463E-2</v>
      </c>
      <c r="E416" s="1">
        <v>4.6601999999999998E-2</v>
      </c>
      <c r="F416" s="1">
        <v>1.5863E-6</v>
      </c>
      <c r="G416" s="1">
        <v>6.9448999999999996</v>
      </c>
      <c r="H416" s="1">
        <v>1.2123999999999999E-7</v>
      </c>
      <c r="I416" s="1">
        <f t="shared" si="54"/>
        <v>1.2123999999999999E-7</v>
      </c>
      <c r="J416" s="4">
        <f t="shared" si="55"/>
        <v>-7.9445243074723724E-9</v>
      </c>
      <c r="K416" s="4">
        <f t="shared" si="56"/>
        <v>-1.7646557393384944E-8</v>
      </c>
      <c r="L416" s="4">
        <f t="shared" si="57"/>
        <v>-9.7214084272395102E-9</v>
      </c>
      <c r="M416" s="4">
        <f t="shared" si="59"/>
        <v>-1.0978819800757993E-8</v>
      </c>
      <c r="N416" s="5">
        <f t="shared" si="60"/>
        <v>3.1680036214424301E-8</v>
      </c>
      <c r="O416" s="5">
        <f t="shared" si="61"/>
        <v>9.0622844791406043E-7</v>
      </c>
      <c r="P416" s="5">
        <f t="shared" si="62"/>
        <v>8.6209151587151548E-7</v>
      </c>
      <c r="Q416" s="1">
        <f t="shared" si="58"/>
        <v>1.8000000000000001E-6</v>
      </c>
    </row>
    <row r="417" spans="1:17" x14ac:dyDescent="0.25">
      <c r="A417" s="1">
        <v>20.75</v>
      </c>
      <c r="B417" s="1">
        <v>4.0457E-2</v>
      </c>
      <c r="C417" s="1">
        <v>4.5669999999999999E-3</v>
      </c>
      <c r="D417" s="1">
        <v>1.2496E-2</v>
      </c>
      <c r="E417" s="1">
        <v>4.6524999999999997E-2</v>
      </c>
      <c r="F417" s="1">
        <v>1.5894E-6</v>
      </c>
      <c r="G417" s="1">
        <v>6.9443000000000001</v>
      </c>
      <c r="H417" s="1">
        <v>1.2137000000000001E-7</v>
      </c>
      <c r="I417" s="1">
        <f t="shared" si="54"/>
        <v>1.2137000000000001E-7</v>
      </c>
      <c r="J417" s="4">
        <f t="shared" si="55"/>
        <v>-7.9717985947284049E-9</v>
      </c>
      <c r="K417" s="4">
        <f t="shared" si="56"/>
        <v>-1.767145473432443E-8</v>
      </c>
      <c r="L417" s="4">
        <f t="shared" si="57"/>
        <v>-9.7190461839681204E-9</v>
      </c>
      <c r="M417" s="4">
        <f t="shared" si="59"/>
        <v>-1.0974597415347722E-8</v>
      </c>
      <c r="N417" s="5">
        <f t="shared" si="60"/>
        <v>3.1660646170052208E-8</v>
      </c>
      <c r="O417" s="5">
        <f t="shared" si="61"/>
        <v>9.0750338918981215E-7</v>
      </c>
      <c r="P417" s="5">
        <f t="shared" si="62"/>
        <v>8.6083596464013583E-7</v>
      </c>
      <c r="Q417" s="1">
        <f t="shared" si="58"/>
        <v>1.8000000000000001E-6</v>
      </c>
    </row>
    <row r="418" spans="1:17" x14ac:dyDescent="0.25">
      <c r="A418" s="1">
        <v>20.8</v>
      </c>
      <c r="B418" s="1">
        <v>4.0386999999999999E-2</v>
      </c>
      <c r="C418" s="1">
        <v>4.5703999999999996E-3</v>
      </c>
      <c r="D418" s="1">
        <v>1.2529E-2</v>
      </c>
      <c r="E418" s="1">
        <v>4.6447000000000002E-2</v>
      </c>
      <c r="F418" s="1">
        <v>1.5926E-6</v>
      </c>
      <c r="G418" s="1">
        <v>6.9438000000000004</v>
      </c>
      <c r="H418" s="1">
        <v>1.2151000000000001E-7</v>
      </c>
      <c r="I418" s="1">
        <f t="shared" si="54"/>
        <v>1.2151000000000001E-7</v>
      </c>
      <c r="J418" s="4">
        <f t="shared" si="55"/>
        <v>-7.9980882467450285E-9</v>
      </c>
      <c r="K418" s="4">
        <f t="shared" si="56"/>
        <v>-1.7696316089201589E-8</v>
      </c>
      <c r="L418" s="4">
        <f t="shared" si="57"/>
        <v>-9.715999000070602E-9</v>
      </c>
      <c r="M418" s="4">
        <f t="shared" si="59"/>
        <v>-1.0970364407979352E-8</v>
      </c>
      <c r="N418" s="5">
        <f t="shared" si="60"/>
        <v>3.1642875012438167E-8</v>
      </c>
      <c r="O418" s="5">
        <f t="shared" si="61"/>
        <v>9.08775525755335E-7</v>
      </c>
      <c r="P418" s="5">
        <f t="shared" si="62"/>
        <v>8.5958159923222705E-7</v>
      </c>
      <c r="Q418" s="1">
        <f t="shared" si="58"/>
        <v>1.8000000000000001E-6</v>
      </c>
    </row>
    <row r="419" spans="1:17" x14ac:dyDescent="0.25">
      <c r="A419" s="1">
        <v>20.85</v>
      </c>
      <c r="B419" s="1">
        <v>4.0316999999999999E-2</v>
      </c>
      <c r="C419" s="1">
        <v>4.5738000000000003E-3</v>
      </c>
      <c r="D419" s="1">
        <v>1.2563E-2</v>
      </c>
      <c r="E419" s="1">
        <v>4.6370000000000001E-2</v>
      </c>
      <c r="F419" s="1">
        <v>1.5957E-6</v>
      </c>
      <c r="G419" s="1">
        <v>6.9432999999999998</v>
      </c>
      <c r="H419" s="1">
        <v>1.2164E-7</v>
      </c>
      <c r="I419" s="1">
        <f t="shared" si="54"/>
        <v>1.2164E-7</v>
      </c>
      <c r="J419" s="4">
        <f t="shared" si="55"/>
        <v>-8.0258189515384E-9</v>
      </c>
      <c r="K419" s="4">
        <f t="shared" si="56"/>
        <v>-1.7721122752229284E-8</v>
      </c>
      <c r="L419" s="4">
        <f t="shared" si="57"/>
        <v>-9.7137833309979389E-9</v>
      </c>
      <c r="M419" s="4">
        <f t="shared" si="59"/>
        <v>-1.0967014812884487E-8</v>
      </c>
      <c r="N419" s="5">
        <f t="shared" si="60"/>
        <v>3.162439548213111E-8</v>
      </c>
      <c r="O419" s="5">
        <f t="shared" si="61"/>
        <v>9.1004723676752864E-7</v>
      </c>
      <c r="P419" s="5">
        <f t="shared" si="62"/>
        <v>8.5832836775034053E-7</v>
      </c>
      <c r="Q419" s="1">
        <f t="shared" si="58"/>
        <v>1.8000000000000001E-6</v>
      </c>
    </row>
    <row r="420" spans="1:17" x14ac:dyDescent="0.25">
      <c r="A420" s="1">
        <v>20.9</v>
      </c>
      <c r="B420" s="1">
        <v>4.0246999999999998E-2</v>
      </c>
      <c r="C420" s="1">
        <v>4.5770999999999997E-3</v>
      </c>
      <c r="D420" s="1">
        <v>1.2596E-2</v>
      </c>
      <c r="E420" s="1">
        <v>4.6293000000000001E-2</v>
      </c>
      <c r="F420" s="1">
        <v>1.5989000000000001E-6</v>
      </c>
      <c r="G420" s="1">
        <v>6.9427000000000003</v>
      </c>
      <c r="H420" s="1">
        <v>1.2177000000000001E-7</v>
      </c>
      <c r="I420" s="1">
        <f t="shared" si="54"/>
        <v>1.2177000000000001E-7</v>
      </c>
      <c r="J420" s="4">
        <f t="shared" si="55"/>
        <v>-8.0523885487489395E-9</v>
      </c>
      <c r="K420" s="4">
        <f t="shared" si="56"/>
        <v>-1.77459211169658E-8</v>
      </c>
      <c r="L420" s="4">
        <f t="shared" si="57"/>
        <v>-9.7108818485478295E-9</v>
      </c>
      <c r="M420" s="4">
        <f t="shared" si="59"/>
        <v>-1.0962741578580276E-8</v>
      </c>
      <c r="N420" s="5">
        <f t="shared" si="60"/>
        <v>3.1607046201800141E-8</v>
      </c>
      <c r="O420" s="5">
        <f t="shared" si="61"/>
        <v>9.1131644577789209E-7</v>
      </c>
      <c r="P420" s="5">
        <f t="shared" si="62"/>
        <v>8.5707650802030807E-7</v>
      </c>
      <c r="Q420" s="1">
        <f t="shared" si="58"/>
        <v>1.8000000000000003E-6</v>
      </c>
    </row>
    <row r="421" spans="1:17" x14ac:dyDescent="0.25">
      <c r="A421" s="1">
        <v>20.95</v>
      </c>
      <c r="B421" s="1">
        <v>4.0177999999999998E-2</v>
      </c>
      <c r="C421" s="1">
        <v>4.5804000000000001E-3</v>
      </c>
      <c r="D421" s="1">
        <v>1.2629E-2</v>
      </c>
      <c r="E421" s="1">
        <v>4.6216E-2</v>
      </c>
      <c r="F421" s="1">
        <v>1.6020000000000001E-6</v>
      </c>
      <c r="G421" s="1">
        <v>6.9421999999999997</v>
      </c>
      <c r="H421" s="1">
        <v>1.2191000000000001E-7</v>
      </c>
      <c r="I421" s="1">
        <f t="shared" si="54"/>
        <v>1.2191000000000001E-7</v>
      </c>
      <c r="J421" s="4">
        <f t="shared" si="55"/>
        <v>-8.0802819718505069E-9</v>
      </c>
      <c r="K421" s="4">
        <f t="shared" si="56"/>
        <v>-1.7770670692669148E-8</v>
      </c>
      <c r="L421" s="4">
        <f t="shared" si="57"/>
        <v>-9.7088688929259719E-9</v>
      </c>
      <c r="M421" s="4">
        <f t="shared" si="59"/>
        <v>-1.0958451670071612E-8</v>
      </c>
      <c r="N421" s="5">
        <f t="shared" si="60"/>
        <v>3.1588566029692813E-8</v>
      </c>
      <c r="O421" s="5">
        <f t="shared" si="61"/>
        <v>9.1258450872714505E-7</v>
      </c>
      <c r="P421" s="5">
        <f t="shared" si="62"/>
        <v>8.5582692524316248E-7</v>
      </c>
      <c r="Q421" s="1">
        <f t="shared" si="58"/>
        <v>1.8000000000000003E-6</v>
      </c>
    </row>
    <row r="422" spans="1:17" x14ac:dyDescent="0.25">
      <c r="A422" s="1">
        <v>21</v>
      </c>
      <c r="B422" s="1">
        <v>4.0107999999999998E-2</v>
      </c>
      <c r="C422" s="1">
        <v>4.5836999999999996E-3</v>
      </c>
      <c r="D422" s="1">
        <v>1.2662E-2</v>
      </c>
      <c r="E422" s="1">
        <v>4.6138999999999999E-2</v>
      </c>
      <c r="F422" s="1">
        <v>1.6051000000000001E-6</v>
      </c>
      <c r="G422" s="1">
        <v>6.9416000000000002</v>
      </c>
      <c r="H422" s="1">
        <v>1.2204E-7</v>
      </c>
      <c r="I422" s="1">
        <f t="shared" si="54"/>
        <v>1.2204E-7</v>
      </c>
      <c r="J422" s="4">
        <f t="shared" si="55"/>
        <v>-8.1069022212868922E-9</v>
      </c>
      <c r="K422" s="4">
        <f t="shared" si="56"/>
        <v>-1.7795397920179582E-8</v>
      </c>
      <c r="L422" s="4">
        <f t="shared" si="57"/>
        <v>-9.7058343395432512E-9</v>
      </c>
      <c r="M422" s="4">
        <f t="shared" si="59"/>
        <v>-1.095505534792152E-8</v>
      </c>
      <c r="N422" s="5">
        <f t="shared" si="60"/>
        <v>3.1571227389042254E-8</v>
      </c>
      <c r="O422" s="5">
        <f t="shared" si="61"/>
        <v>9.1385106837617379E-7</v>
      </c>
      <c r="P422" s="5">
        <f t="shared" si="62"/>
        <v>8.5457770423478425E-7</v>
      </c>
      <c r="Q422" s="1">
        <f t="shared" si="58"/>
        <v>1.8000000000000003E-6</v>
      </c>
    </row>
    <row r="423" spans="1:17" x14ac:dyDescent="0.25">
      <c r="A423" s="1">
        <v>21.05</v>
      </c>
      <c r="B423" s="1">
        <v>4.0037999999999997E-2</v>
      </c>
      <c r="C423" s="1">
        <v>4.5868999999999997E-3</v>
      </c>
      <c r="D423" s="1">
        <v>1.2696000000000001E-2</v>
      </c>
      <c r="E423" s="1">
        <v>4.6061999999999999E-2</v>
      </c>
      <c r="F423" s="1">
        <v>1.6081999999999999E-6</v>
      </c>
      <c r="G423" s="1">
        <v>6.9410999999999996</v>
      </c>
      <c r="H423" s="1">
        <v>1.2216999999999999E-7</v>
      </c>
      <c r="I423" s="1">
        <f t="shared" si="54"/>
        <v>1.2216999999999999E-7</v>
      </c>
      <c r="J423" s="4">
        <f t="shared" si="55"/>
        <v>-8.1338405714562891E-9</v>
      </c>
      <c r="K423" s="4">
        <f t="shared" si="56"/>
        <v>-1.7820095833335644E-8</v>
      </c>
      <c r="L423" s="4">
        <f t="shared" si="57"/>
        <v>-9.7030849855127388E-9</v>
      </c>
      <c r="M423" s="4">
        <f t="shared" si="59"/>
        <v>-1.0950729617605527E-8</v>
      </c>
      <c r="N423" s="5">
        <f t="shared" si="60"/>
        <v>3.1554397665408864E-8</v>
      </c>
      <c r="O423" s="5">
        <f t="shared" si="61"/>
        <v>9.1511554273189997E-7</v>
      </c>
      <c r="P423" s="5">
        <f t="shared" si="62"/>
        <v>8.533300596026914E-7</v>
      </c>
      <c r="Q423" s="1">
        <f t="shared" si="58"/>
        <v>1.8000000000000001E-6</v>
      </c>
    </row>
    <row r="424" spans="1:17" x14ac:dyDescent="0.25">
      <c r="A424" s="1">
        <v>21.1</v>
      </c>
      <c r="B424" s="1">
        <v>3.9968999999999998E-2</v>
      </c>
      <c r="C424" s="1">
        <v>4.5900000000000003E-3</v>
      </c>
      <c r="D424" s="1">
        <v>1.2729000000000001E-2</v>
      </c>
      <c r="E424" s="1">
        <v>4.5984999999999998E-2</v>
      </c>
      <c r="F424" s="1">
        <v>1.6112999999999999E-6</v>
      </c>
      <c r="G424" s="1">
        <v>6.9405999999999999</v>
      </c>
      <c r="H424" s="1">
        <v>1.2230999999999999E-7</v>
      </c>
      <c r="I424" s="1">
        <f t="shared" si="54"/>
        <v>1.2230999999999999E-7</v>
      </c>
      <c r="J424" s="4">
        <f t="shared" si="55"/>
        <v>-8.1609367135887187E-9</v>
      </c>
      <c r="K424" s="4">
        <f t="shared" si="56"/>
        <v>-1.7844753083272305E-8</v>
      </c>
      <c r="L424" s="4">
        <f t="shared" si="57"/>
        <v>-9.7004267357324517E-9</v>
      </c>
      <c r="M424" s="4">
        <f t="shared" si="59"/>
        <v>-1.0946390005074539E-8</v>
      </c>
      <c r="N424" s="5">
        <f t="shared" si="60"/>
        <v>3.1537787299360001E-8</v>
      </c>
      <c r="O424" s="5">
        <f t="shared" si="61"/>
        <v>9.163781163672909E-7</v>
      </c>
      <c r="P424" s="5">
        <f t="shared" si="62"/>
        <v>8.5208409633334926E-7</v>
      </c>
      <c r="Q424" s="1">
        <f t="shared" si="58"/>
        <v>1.8000000000000001E-6</v>
      </c>
    </row>
    <row r="425" spans="1:17" x14ac:dyDescent="0.25">
      <c r="A425" s="1">
        <v>21.15</v>
      </c>
      <c r="B425" s="1">
        <v>3.9899999999999998E-2</v>
      </c>
      <c r="C425" s="1">
        <v>4.5932000000000004E-3</v>
      </c>
      <c r="D425" s="1">
        <v>1.2762000000000001E-2</v>
      </c>
      <c r="E425" s="1">
        <v>4.5907999999999997E-2</v>
      </c>
      <c r="F425" s="1">
        <v>1.6144E-6</v>
      </c>
      <c r="G425" s="1">
        <v>6.9401000000000002</v>
      </c>
      <c r="H425" s="1">
        <v>1.2244E-7</v>
      </c>
      <c r="I425" s="1">
        <f t="shared" si="54"/>
        <v>1.2244E-7</v>
      </c>
      <c r="J425" s="4">
        <f t="shared" si="55"/>
        <v>-8.1881168935162055E-9</v>
      </c>
      <c r="K425" s="4">
        <f t="shared" si="56"/>
        <v>-1.7869373269161156E-8</v>
      </c>
      <c r="L425" s="4">
        <f t="shared" si="57"/>
        <v>-9.6977707732614793E-9</v>
      </c>
      <c r="M425" s="4">
        <f t="shared" si="59"/>
        <v>-1.0942932611365231E-8</v>
      </c>
      <c r="N425" s="5">
        <f t="shared" si="60"/>
        <v>3.1521272901743476E-8</v>
      </c>
      <c r="O425" s="5">
        <f t="shared" si="61"/>
        <v>9.1763979260301116E-7</v>
      </c>
      <c r="P425" s="5">
        <f t="shared" si="62"/>
        <v>8.5083893449524551E-7</v>
      </c>
      <c r="Q425" s="1">
        <f t="shared" si="58"/>
        <v>1.8000000000000001E-6</v>
      </c>
    </row>
    <row r="426" spans="1:17" x14ac:dyDescent="0.25">
      <c r="A426" s="1">
        <v>21.2</v>
      </c>
      <c r="B426" s="1">
        <v>3.9829999999999997E-2</v>
      </c>
      <c r="C426" s="1">
        <v>4.5963000000000002E-3</v>
      </c>
      <c r="D426" s="1">
        <v>1.2795000000000001E-2</v>
      </c>
      <c r="E426" s="1">
        <v>4.5831999999999998E-2</v>
      </c>
      <c r="F426" s="1">
        <v>1.6174E-6</v>
      </c>
      <c r="G426" s="1">
        <v>6.9394999999999998</v>
      </c>
      <c r="H426" s="1">
        <v>1.2256999999999999E-7</v>
      </c>
      <c r="I426" s="1">
        <f t="shared" si="54"/>
        <v>1.2256999999999999E-7</v>
      </c>
      <c r="J426" s="4">
        <f t="shared" si="55"/>
        <v>-8.2153495134925715E-9</v>
      </c>
      <c r="K426" s="4">
        <f t="shared" si="56"/>
        <v>-1.7893975955758973E-8</v>
      </c>
      <c r="L426" s="4">
        <f t="shared" si="57"/>
        <v>-9.6950792968377106E-9</v>
      </c>
      <c r="M426" s="4">
        <f t="shared" si="59"/>
        <v>-1.0938555509657931E-8</v>
      </c>
      <c r="N426" s="5">
        <f t="shared" si="60"/>
        <v>3.1504820047172164E-8</v>
      </c>
      <c r="O426" s="5">
        <f t="shared" si="61"/>
        <v>9.188997216704027E-7</v>
      </c>
      <c r="P426" s="5">
        <f t="shared" si="62"/>
        <v>8.4959545828242537E-7</v>
      </c>
      <c r="Q426" s="1">
        <f t="shared" si="58"/>
        <v>1.8000000000000001E-6</v>
      </c>
    </row>
    <row r="427" spans="1:17" x14ac:dyDescent="0.25">
      <c r="A427" s="1">
        <v>21.25</v>
      </c>
      <c r="B427" s="1">
        <v>3.9760999999999998E-2</v>
      </c>
      <c r="C427" s="1">
        <v>4.5992999999999997E-3</v>
      </c>
      <c r="D427" s="1">
        <v>1.2828000000000001E-2</v>
      </c>
      <c r="E427" s="1">
        <v>4.5754999999999997E-2</v>
      </c>
      <c r="F427" s="1">
        <v>1.6205E-6</v>
      </c>
      <c r="G427" s="1">
        <v>6.9390000000000001</v>
      </c>
      <c r="H427" s="1">
        <v>1.2270999999999999E-7</v>
      </c>
      <c r="I427" s="1">
        <f t="shared" si="54"/>
        <v>1.2270999999999999E-7</v>
      </c>
      <c r="J427" s="4">
        <f t="shared" si="55"/>
        <v>-8.2416066100305945E-9</v>
      </c>
      <c r="K427" s="4">
        <f t="shared" si="56"/>
        <v>-1.791854457257311E-8</v>
      </c>
      <c r="L427" s="4">
        <f t="shared" si="57"/>
        <v>-9.6919540851139306E-9</v>
      </c>
      <c r="M427" s="4">
        <f t="shared" si="59"/>
        <v>-1.0934166108776226E-8</v>
      </c>
      <c r="N427" s="5">
        <f t="shared" si="60"/>
        <v>3.1489803924600743E-8</v>
      </c>
      <c r="O427" s="5">
        <f t="shared" si="61"/>
        <v>9.2015694981663643E-7</v>
      </c>
      <c r="P427" s="5">
        <f t="shared" si="62"/>
        <v>8.4835324625876308E-7</v>
      </c>
      <c r="Q427" s="1">
        <f t="shared" si="58"/>
        <v>1.8000000000000001E-6</v>
      </c>
    </row>
    <row r="428" spans="1:17" x14ac:dyDescent="0.25">
      <c r="A428" s="1">
        <v>21.3</v>
      </c>
      <c r="B428" s="1">
        <v>3.9691999999999998E-2</v>
      </c>
      <c r="C428" s="1">
        <v>4.6023000000000001E-3</v>
      </c>
      <c r="D428" s="1">
        <v>1.2860999999999999E-2</v>
      </c>
      <c r="E428" s="1">
        <v>4.5678999999999997E-2</v>
      </c>
      <c r="F428" s="1">
        <v>1.6235E-6</v>
      </c>
      <c r="G428" s="1">
        <v>6.9385000000000003</v>
      </c>
      <c r="H428" s="1">
        <v>1.2284000000000001E-7</v>
      </c>
      <c r="I428" s="1">
        <f t="shared" si="54"/>
        <v>1.2284000000000001E-7</v>
      </c>
      <c r="J428" s="4">
        <f t="shared" si="55"/>
        <v>-8.2692862774532185E-9</v>
      </c>
      <c r="K428" s="4">
        <f t="shared" si="56"/>
        <v>-1.7943060521424664E-8</v>
      </c>
      <c r="L428" s="4">
        <f t="shared" si="57"/>
        <v>-9.6895955170825001E-9</v>
      </c>
      <c r="M428" s="4">
        <f t="shared" si="59"/>
        <v>-1.0930649819083501E-8</v>
      </c>
      <c r="N428" s="5">
        <f t="shared" si="60"/>
        <v>3.1473982651489689E-8</v>
      </c>
      <c r="O428" s="5">
        <f t="shared" si="61"/>
        <v>9.2141382539174845E-7</v>
      </c>
      <c r="P428" s="5">
        <f t="shared" si="62"/>
        <v>8.4711219195676212E-7</v>
      </c>
      <c r="Q428" s="1">
        <f t="shared" si="58"/>
        <v>1.8000000000000001E-6</v>
      </c>
    </row>
    <row r="429" spans="1:17" x14ac:dyDescent="0.25">
      <c r="A429" s="1">
        <v>21.35</v>
      </c>
      <c r="B429" s="1">
        <v>3.9622999999999998E-2</v>
      </c>
      <c r="C429" s="1">
        <v>4.6052999999999997E-3</v>
      </c>
      <c r="D429" s="1">
        <v>1.2893999999999999E-2</v>
      </c>
      <c r="E429" s="1">
        <v>4.5601999999999997E-2</v>
      </c>
      <c r="F429" s="1">
        <v>1.6265E-6</v>
      </c>
      <c r="G429" s="1">
        <v>6.9379</v>
      </c>
      <c r="H429" s="1">
        <v>1.2297E-7</v>
      </c>
      <c r="I429" s="1">
        <f t="shared" si="54"/>
        <v>1.2297E-7</v>
      </c>
      <c r="J429" s="4">
        <f t="shared" si="55"/>
        <v>-8.295762059012609E-9</v>
      </c>
      <c r="K429" s="4">
        <f t="shared" si="56"/>
        <v>-1.7967569595139352E-8</v>
      </c>
      <c r="L429" s="4">
        <f t="shared" si="57"/>
        <v>-9.6865400532096899E-9</v>
      </c>
      <c r="M429" s="4">
        <f t="shared" si="59"/>
        <v>-1.0926222474296864E-8</v>
      </c>
      <c r="N429" s="5">
        <f t="shared" si="60"/>
        <v>3.1459250134406742E-8</v>
      </c>
      <c r="O429" s="5">
        <f t="shared" si="61"/>
        <v>9.2266824032991855E-7</v>
      </c>
      <c r="P429" s="5">
        <f t="shared" si="62"/>
        <v>8.45872509535675E-7</v>
      </c>
      <c r="Q429" s="1">
        <f t="shared" si="58"/>
        <v>1.8000000000000003E-6</v>
      </c>
    </row>
    <row r="430" spans="1:17" x14ac:dyDescent="0.25">
      <c r="A430" s="1">
        <v>21.4</v>
      </c>
      <c r="B430" s="1">
        <v>3.9553999999999999E-2</v>
      </c>
      <c r="C430" s="1">
        <v>4.6081999999999998E-3</v>
      </c>
      <c r="D430" s="1">
        <v>1.2926999999999999E-2</v>
      </c>
      <c r="E430" s="1">
        <v>4.5525999999999997E-2</v>
      </c>
      <c r="F430" s="1">
        <v>1.6295E-6</v>
      </c>
      <c r="G430" s="1">
        <v>6.9374000000000002</v>
      </c>
      <c r="H430" s="1">
        <v>1.2310000000000001E-7</v>
      </c>
      <c r="I430" s="1">
        <f t="shared" si="54"/>
        <v>1.2310000000000001E-7</v>
      </c>
      <c r="J430" s="4">
        <f t="shared" si="55"/>
        <v>-8.3225517013881121E-9</v>
      </c>
      <c r="K430" s="4">
        <f t="shared" si="56"/>
        <v>-1.799203068643239E-8</v>
      </c>
      <c r="L430" s="4">
        <f t="shared" si="57"/>
        <v>-9.6835460261285445E-9</v>
      </c>
      <c r="M430" s="4">
        <f t="shared" si="59"/>
        <v>-1.0921778962247584E-8</v>
      </c>
      <c r="N430" s="5">
        <f t="shared" si="60"/>
        <v>3.1445183093322467E-8</v>
      </c>
      <c r="O430" s="5">
        <f t="shared" si="61"/>
        <v>9.239205403071219E-7</v>
      </c>
      <c r="P430" s="5">
        <f t="shared" si="62"/>
        <v>8.4463427659955593E-7</v>
      </c>
      <c r="Q430" s="1">
        <f t="shared" si="58"/>
        <v>1.8000000000000003E-6</v>
      </c>
    </row>
    <row r="431" spans="1:17" x14ac:dyDescent="0.25">
      <c r="A431" s="1">
        <v>21.45</v>
      </c>
      <c r="B431" s="1">
        <v>3.9484999999999999E-2</v>
      </c>
      <c r="C431" s="1">
        <v>4.6110999999999999E-3</v>
      </c>
      <c r="D431" s="1">
        <v>1.2959999999999999E-2</v>
      </c>
      <c r="E431" s="1">
        <v>4.5449000000000003E-2</v>
      </c>
      <c r="F431" s="1">
        <v>1.6325E-6</v>
      </c>
      <c r="G431" s="1">
        <v>6.9368999999999996</v>
      </c>
      <c r="H431" s="1">
        <v>1.2324000000000001E-7</v>
      </c>
      <c r="I431" s="1">
        <f t="shared" si="54"/>
        <v>1.2324000000000001E-7</v>
      </c>
      <c r="J431" s="4">
        <f t="shared" si="55"/>
        <v>-8.3495459173503312E-9</v>
      </c>
      <c r="K431" s="4">
        <f t="shared" si="56"/>
        <v>-1.8016450535989133E-8</v>
      </c>
      <c r="L431" s="4">
        <f t="shared" si="57"/>
        <v>-9.6809077867330978E-9</v>
      </c>
      <c r="M431" s="4">
        <f t="shared" si="59"/>
        <v>-1.0917320342187717E-8</v>
      </c>
      <c r="N431" s="5">
        <f t="shared" si="60"/>
        <v>3.143117992522817E-8</v>
      </c>
      <c r="O431" s="5">
        <f t="shared" si="61"/>
        <v>9.2517095603067079E-7</v>
      </c>
      <c r="P431" s="5">
        <f t="shared" si="62"/>
        <v>8.4339786404410133E-7</v>
      </c>
      <c r="Q431" s="1">
        <f t="shared" si="58"/>
        <v>1.8000000000000003E-6</v>
      </c>
    </row>
    <row r="432" spans="1:17" x14ac:dyDescent="0.25">
      <c r="A432" s="1">
        <v>21.5</v>
      </c>
      <c r="B432" s="1">
        <v>3.9416E-2</v>
      </c>
      <c r="C432" s="1">
        <v>4.614E-3</v>
      </c>
      <c r="D432" s="1">
        <v>1.2992999999999999E-2</v>
      </c>
      <c r="E432" s="1">
        <v>4.5372999999999997E-2</v>
      </c>
      <c r="F432" s="1">
        <v>1.6355000000000001E-6</v>
      </c>
      <c r="G432" s="1">
        <v>6.9363999999999999</v>
      </c>
      <c r="H432" s="1">
        <v>1.2337E-7</v>
      </c>
      <c r="I432" s="1">
        <f t="shared" si="54"/>
        <v>1.2337E-7</v>
      </c>
      <c r="J432" s="4">
        <f t="shared" si="55"/>
        <v>-8.3765862504605071E-9</v>
      </c>
      <c r="K432" s="4">
        <f t="shared" si="56"/>
        <v>-1.8040833642598338E-8</v>
      </c>
      <c r="L432" s="4">
        <f t="shared" si="57"/>
        <v>-9.6780152787950684E-9</v>
      </c>
      <c r="M432" s="4">
        <f t="shared" si="59"/>
        <v>-1.0913737040303637E-8</v>
      </c>
      <c r="N432" s="5">
        <f t="shared" si="60"/>
        <v>3.1417412038570931E-8</v>
      </c>
      <c r="O432" s="5">
        <f t="shared" si="61"/>
        <v>9.2642044567883664E-7</v>
      </c>
      <c r="P432" s="5">
        <f t="shared" si="62"/>
        <v>8.421621422825927E-7</v>
      </c>
      <c r="Q432" s="1">
        <f t="shared" si="58"/>
        <v>1.8000000000000003E-6</v>
      </c>
    </row>
    <row r="433" spans="1:17" x14ac:dyDescent="0.25">
      <c r="A433" s="1">
        <v>21.55</v>
      </c>
      <c r="B433" s="1">
        <v>3.9347E-2</v>
      </c>
      <c r="C433" s="1">
        <v>4.6167999999999999E-3</v>
      </c>
      <c r="D433" s="1">
        <v>1.3025999999999999E-2</v>
      </c>
      <c r="E433" s="1">
        <v>4.5296999999999997E-2</v>
      </c>
      <c r="F433" s="1">
        <v>1.6385000000000001E-6</v>
      </c>
      <c r="G433" s="1">
        <v>6.9358000000000004</v>
      </c>
      <c r="H433" s="1">
        <v>1.2349999999999999E-7</v>
      </c>
      <c r="I433" s="1">
        <f t="shared" si="54"/>
        <v>1.2349999999999999E-7</v>
      </c>
      <c r="J433" s="4">
        <f t="shared" si="55"/>
        <v>-8.4037186619846055E-9</v>
      </c>
      <c r="K433" s="4">
        <f t="shared" si="56"/>
        <v>-1.8065198690737574E-8</v>
      </c>
      <c r="L433" s="4">
        <f t="shared" si="57"/>
        <v>-9.6753469668507704E-9</v>
      </c>
      <c r="M433" s="4">
        <f t="shared" si="59"/>
        <v>-1.0909242066807518E-8</v>
      </c>
      <c r="N433" s="5">
        <f t="shared" si="60"/>
        <v>3.1403545100473128E-8</v>
      </c>
      <c r="O433" s="5">
        <f t="shared" si="61"/>
        <v>9.2766820771689121E-7</v>
      </c>
      <c r="P433" s="5">
        <f t="shared" si="62"/>
        <v>8.4092824718263591E-7</v>
      </c>
      <c r="Q433" s="1">
        <f t="shared" si="58"/>
        <v>1.8000000000000003E-6</v>
      </c>
    </row>
    <row r="434" spans="1:17" x14ac:dyDescent="0.25">
      <c r="A434" s="1">
        <v>21.6</v>
      </c>
      <c r="B434" s="1">
        <v>3.9279000000000001E-2</v>
      </c>
      <c r="C434" s="1">
        <v>4.6195999999999997E-3</v>
      </c>
      <c r="D434" s="1">
        <v>1.3058999999999999E-2</v>
      </c>
      <c r="E434" s="1">
        <v>4.5220000000000003E-2</v>
      </c>
      <c r="F434" s="1">
        <v>1.6414000000000001E-6</v>
      </c>
      <c r="G434" s="1">
        <v>6.9352999999999998</v>
      </c>
      <c r="H434" s="1">
        <v>1.2363E-7</v>
      </c>
      <c r="I434" s="1">
        <f t="shared" si="54"/>
        <v>1.2363E-7</v>
      </c>
      <c r="J434" s="4">
        <f t="shared" si="55"/>
        <v>-8.4308540118315871E-9</v>
      </c>
      <c r="K434" s="4">
        <f t="shared" si="56"/>
        <v>-1.8089530050479637E-8</v>
      </c>
      <c r="L434" s="4">
        <f t="shared" si="57"/>
        <v>-9.6725873409937849E-9</v>
      </c>
      <c r="M434" s="4">
        <f t="shared" si="59"/>
        <v>-1.0904737045340985E-8</v>
      </c>
      <c r="N434" s="5">
        <f t="shared" si="60"/>
        <v>3.1389633798127393E-8</v>
      </c>
      <c r="O434" s="5">
        <f t="shared" si="61"/>
        <v>9.2891426872358403E-7</v>
      </c>
      <c r="P434" s="5">
        <f t="shared" si="62"/>
        <v>8.3969609747828881E-7</v>
      </c>
      <c r="Q434" s="1">
        <f t="shared" si="58"/>
        <v>1.8000000000000001E-6</v>
      </c>
    </row>
    <row r="435" spans="1:17" x14ac:dyDescent="0.25">
      <c r="A435" s="1">
        <v>21.65</v>
      </c>
      <c r="B435" s="1">
        <v>3.9210000000000002E-2</v>
      </c>
      <c r="C435" s="1">
        <v>4.6223999999999996E-3</v>
      </c>
      <c r="D435" s="1">
        <v>1.3091999999999999E-2</v>
      </c>
      <c r="E435" s="1">
        <v>4.5143999999999997E-2</v>
      </c>
      <c r="F435" s="1">
        <v>1.6444000000000001E-6</v>
      </c>
      <c r="G435" s="1">
        <v>6.9348000000000001</v>
      </c>
      <c r="H435" s="1">
        <v>1.2375999999999999E-7</v>
      </c>
      <c r="I435" s="1">
        <f t="shared" si="54"/>
        <v>1.2375999999999999E-7</v>
      </c>
      <c r="J435" s="4">
        <f t="shared" si="55"/>
        <v>-8.4569761785521877E-9</v>
      </c>
      <c r="K435" s="4">
        <f t="shared" si="56"/>
        <v>-1.8113828240108857E-8</v>
      </c>
      <c r="L435" s="4">
        <f t="shared" si="57"/>
        <v>-9.668950411816981E-9</v>
      </c>
      <c r="M435" s="4">
        <f t="shared" si="59"/>
        <v>-1.0900220995779669E-8</v>
      </c>
      <c r="N435" s="5">
        <f t="shared" si="60"/>
        <v>3.1377535447867081E-8</v>
      </c>
      <c r="O435" s="5">
        <f t="shared" si="61"/>
        <v>9.3015763765780713E-7</v>
      </c>
      <c r="P435" s="5">
        <f t="shared" si="62"/>
        <v>8.3846482689432607E-7</v>
      </c>
      <c r="Q435" s="1">
        <f t="shared" si="58"/>
        <v>1.8000000000000001E-6</v>
      </c>
    </row>
    <row r="436" spans="1:17" x14ac:dyDescent="0.25">
      <c r="A436" s="1">
        <v>21.7</v>
      </c>
      <c r="B436" s="1">
        <v>3.9141000000000002E-2</v>
      </c>
      <c r="C436" s="1">
        <v>4.6251E-3</v>
      </c>
      <c r="D436" s="1">
        <v>1.3125E-2</v>
      </c>
      <c r="E436" s="1">
        <v>4.5067999999999997E-2</v>
      </c>
      <c r="F436" s="1">
        <v>1.6473000000000001E-6</v>
      </c>
      <c r="G436" s="1">
        <v>6.9343000000000004</v>
      </c>
      <c r="H436" s="1">
        <v>1.2389999999999999E-7</v>
      </c>
      <c r="I436" s="1">
        <f t="shared" si="54"/>
        <v>1.2389999999999999E-7</v>
      </c>
      <c r="J436" s="4">
        <f t="shared" si="55"/>
        <v>-8.4846467401254407E-9</v>
      </c>
      <c r="K436" s="4">
        <f t="shared" si="56"/>
        <v>-1.8138073934327498E-8</v>
      </c>
      <c r="L436" s="4">
        <f t="shared" si="57"/>
        <v>-9.6666152007438864E-9</v>
      </c>
      <c r="M436" s="4">
        <f t="shared" si="59"/>
        <v>-1.0895682732526542E-8</v>
      </c>
      <c r="N436" s="5">
        <f t="shared" si="60"/>
        <v>3.1364347441325252E-8</v>
      </c>
      <c r="O436" s="5">
        <f t="shared" si="61"/>
        <v>9.3139989319613167E-7</v>
      </c>
      <c r="P436" s="5">
        <f t="shared" si="62"/>
        <v>8.3723575936254336E-7</v>
      </c>
      <c r="Q436" s="1">
        <f t="shared" si="58"/>
        <v>1.8000000000000001E-6</v>
      </c>
    </row>
    <row r="437" spans="1:17" x14ac:dyDescent="0.25">
      <c r="A437" s="1">
        <v>21.75</v>
      </c>
      <c r="B437" s="1">
        <v>3.9072999999999997E-2</v>
      </c>
      <c r="C437" s="1">
        <v>4.6277000000000002E-3</v>
      </c>
      <c r="D437" s="1">
        <v>1.3158E-2</v>
      </c>
      <c r="E437" s="1">
        <v>4.4991999999999997E-2</v>
      </c>
      <c r="F437" s="1">
        <v>1.6502000000000001E-6</v>
      </c>
      <c r="G437" s="1">
        <v>6.9337999999999997</v>
      </c>
      <c r="H437" s="1">
        <v>1.2403000000000001E-7</v>
      </c>
      <c r="I437" s="1">
        <f t="shared" si="54"/>
        <v>1.2403000000000001E-7</v>
      </c>
      <c r="J437" s="4">
        <f t="shared" si="55"/>
        <v>-8.5110208219399873E-9</v>
      </c>
      <c r="K437" s="4">
        <f t="shared" si="56"/>
        <v>-1.8162297917324826E-8</v>
      </c>
      <c r="L437" s="4">
        <f t="shared" si="57"/>
        <v>-9.6632972049611074E-9</v>
      </c>
      <c r="M437" s="4">
        <f t="shared" si="59"/>
        <v>-1.0892018611427161E-8</v>
      </c>
      <c r="N437" s="5">
        <f t="shared" si="60"/>
        <v>3.1352327331748987E-8</v>
      </c>
      <c r="O437" s="5">
        <f t="shared" si="61"/>
        <v>9.3264063471217396E-7</v>
      </c>
      <c r="P437" s="5">
        <f t="shared" si="62"/>
        <v>8.3600703795607735E-7</v>
      </c>
      <c r="Q437" s="1">
        <f t="shared" si="58"/>
        <v>1.8000000000000003E-6</v>
      </c>
    </row>
    <row r="438" spans="1:17" x14ac:dyDescent="0.25">
      <c r="A438" s="1">
        <v>21.8</v>
      </c>
      <c r="B438" s="1">
        <v>3.9004999999999998E-2</v>
      </c>
      <c r="C438" s="1">
        <v>4.6303999999999998E-3</v>
      </c>
      <c r="D438" s="1">
        <v>1.3191E-2</v>
      </c>
      <c r="E438" s="1">
        <v>4.4915999999999998E-2</v>
      </c>
      <c r="F438" s="1">
        <v>1.6531000000000001E-6</v>
      </c>
      <c r="G438" s="1">
        <v>6.9332000000000003</v>
      </c>
      <c r="H438" s="1">
        <v>1.2415999999999999E-7</v>
      </c>
      <c r="I438" s="1">
        <f t="shared" si="54"/>
        <v>1.2415999999999999E-7</v>
      </c>
      <c r="J438" s="4">
        <f t="shared" si="55"/>
        <v>-8.5377404950819878E-9</v>
      </c>
      <c r="K438" s="4">
        <f t="shared" si="56"/>
        <v>-1.8186492376887654E-8</v>
      </c>
      <c r="L438" s="4">
        <f t="shared" si="57"/>
        <v>-9.6602810839420937E-9</v>
      </c>
      <c r="M438" s="4">
        <f t="shared" si="59"/>
        <v>-1.0887445056357843E-8</v>
      </c>
      <c r="N438" s="5">
        <f t="shared" si="60"/>
        <v>3.1340798129612562E-8</v>
      </c>
      <c r="O438" s="5">
        <f t="shared" si="61"/>
        <v>9.3387932788672612E-7</v>
      </c>
      <c r="P438" s="5">
        <f t="shared" si="62"/>
        <v>8.3477987398366167E-7</v>
      </c>
      <c r="Q438" s="1">
        <f t="shared" si="58"/>
        <v>1.8000000000000003E-6</v>
      </c>
    </row>
    <row r="439" spans="1:17" x14ac:dyDescent="0.25">
      <c r="A439" s="1">
        <v>21.85</v>
      </c>
      <c r="B439" s="1">
        <v>3.8935999999999998E-2</v>
      </c>
      <c r="C439" s="1">
        <v>4.633E-3</v>
      </c>
      <c r="D439" s="1">
        <v>1.3224E-2</v>
      </c>
      <c r="E439" s="1">
        <v>4.4839999999999998E-2</v>
      </c>
      <c r="F439" s="1">
        <v>1.6559999999999999E-6</v>
      </c>
      <c r="G439" s="1">
        <v>6.9326999999999996</v>
      </c>
      <c r="H439" s="1">
        <v>1.2429000000000001E-7</v>
      </c>
      <c r="I439" s="1">
        <f t="shared" si="54"/>
        <v>1.2429000000000001E-7</v>
      </c>
      <c r="J439" s="4">
        <f t="shared" si="55"/>
        <v>-8.5646240457807397E-9</v>
      </c>
      <c r="K439" s="4">
        <f t="shared" si="56"/>
        <v>-1.8210646893791419E-8</v>
      </c>
      <c r="L439" s="4">
        <f t="shared" si="57"/>
        <v>-9.6573583727977356E-9</v>
      </c>
      <c r="M439" s="4">
        <f t="shared" si="59"/>
        <v>-1.0882858261150354E-8</v>
      </c>
      <c r="N439" s="5">
        <f t="shared" si="60"/>
        <v>3.1329462604825508E-8</v>
      </c>
      <c r="O439" s="5">
        <f t="shared" si="61"/>
        <v>9.3511616329986579E-7</v>
      </c>
      <c r="P439" s="5">
        <f t="shared" si="62"/>
        <v>8.3355437409530903E-7</v>
      </c>
      <c r="Q439" s="1">
        <f t="shared" si="58"/>
        <v>1.8000000000000003E-6</v>
      </c>
    </row>
    <row r="440" spans="1:17" x14ac:dyDescent="0.25">
      <c r="A440" s="1">
        <v>21.9</v>
      </c>
      <c r="B440" s="1">
        <v>3.8868E-2</v>
      </c>
      <c r="C440" s="1">
        <v>4.6354999999999999E-3</v>
      </c>
      <c r="D440" s="1">
        <v>1.3257E-2</v>
      </c>
      <c r="E440" s="1">
        <v>4.4763999999999998E-2</v>
      </c>
      <c r="F440" s="1">
        <v>1.6588999999999999E-6</v>
      </c>
      <c r="G440" s="1">
        <v>6.9321999999999999</v>
      </c>
      <c r="H440" s="1">
        <v>1.2442E-7</v>
      </c>
      <c r="I440" s="1">
        <f t="shared" si="54"/>
        <v>1.2442E-7</v>
      </c>
      <c r="J440" s="4">
        <f t="shared" si="55"/>
        <v>-8.5915913161861864E-9</v>
      </c>
      <c r="K440" s="4">
        <f t="shared" si="56"/>
        <v>-1.8234765184346347E-8</v>
      </c>
      <c r="L440" s="4">
        <f t="shared" si="57"/>
        <v>-9.6544375704337116E-9</v>
      </c>
      <c r="M440" s="4">
        <f t="shared" si="59"/>
        <v>-1.087825968141151E-8</v>
      </c>
      <c r="N440" s="5">
        <f t="shared" si="60"/>
        <v>3.1318198902551953E-8</v>
      </c>
      <c r="O440" s="5">
        <f t="shared" si="61"/>
        <v>9.3635124911311714E-7</v>
      </c>
      <c r="P440" s="5">
        <f t="shared" si="62"/>
        <v>8.3233055198433119E-7</v>
      </c>
      <c r="Q440" s="1">
        <f t="shared" si="58"/>
        <v>1.8000000000000001E-6</v>
      </c>
    </row>
    <row r="441" spans="1:17" x14ac:dyDescent="0.25">
      <c r="A441" s="1">
        <v>21.95</v>
      </c>
      <c r="B441" s="1">
        <v>3.8800000000000001E-2</v>
      </c>
      <c r="C441" s="1">
        <v>4.6379999999999998E-3</v>
      </c>
      <c r="D441" s="1">
        <v>1.3289E-2</v>
      </c>
      <c r="E441" s="1">
        <v>4.4689E-2</v>
      </c>
      <c r="F441" s="1">
        <v>1.6617999999999999E-6</v>
      </c>
      <c r="G441" s="1">
        <v>6.9317000000000002</v>
      </c>
      <c r="H441" s="1">
        <v>1.2454999999999999E-7</v>
      </c>
      <c r="I441" s="1">
        <f t="shared" si="54"/>
        <v>1.2454999999999999E-7</v>
      </c>
      <c r="J441" s="4">
        <f t="shared" si="55"/>
        <v>-8.618609272850194E-9</v>
      </c>
      <c r="K441" s="4">
        <f t="shared" si="56"/>
        <v>-1.8258849357706043E-8</v>
      </c>
      <c r="L441" s="4">
        <f t="shared" si="57"/>
        <v>-9.6514811970760367E-9</v>
      </c>
      <c r="M441" s="4">
        <f t="shared" si="59"/>
        <v>-1.0873649564178657E-8</v>
      </c>
      <c r="N441" s="5">
        <f t="shared" si="60"/>
        <v>3.1306957790331768E-8</v>
      </c>
      <c r="O441" s="5">
        <f t="shared" si="61"/>
        <v>9.3758465859244001E-7</v>
      </c>
      <c r="P441" s="5">
        <f t="shared" si="62"/>
        <v>8.3110838361722856E-7</v>
      </c>
      <c r="Q441" s="1">
        <f t="shared" si="58"/>
        <v>1.8000000000000001E-6</v>
      </c>
    </row>
    <row r="442" spans="1:17" x14ac:dyDescent="0.25">
      <c r="A442" s="1">
        <v>22</v>
      </c>
      <c r="B442" s="1">
        <v>3.8732000000000003E-2</v>
      </c>
      <c r="C442" s="1">
        <v>4.6404999999999997E-3</v>
      </c>
      <c r="D442" s="1">
        <v>1.3322000000000001E-2</v>
      </c>
      <c r="E442" s="1">
        <v>4.4613E-2</v>
      </c>
      <c r="F442" s="1">
        <v>1.6645999999999999E-6</v>
      </c>
      <c r="G442" s="1">
        <v>6.9311999999999996</v>
      </c>
      <c r="H442" s="1">
        <v>1.2468E-7</v>
      </c>
      <c r="I442" s="1">
        <f t="shared" si="54"/>
        <v>1.2468E-7</v>
      </c>
      <c r="J442" s="4">
        <f t="shared" si="55"/>
        <v>-8.6456644701337695E-9</v>
      </c>
      <c r="K442" s="4">
        <f t="shared" si="56"/>
        <v>-1.8282900842552841E-8</v>
      </c>
      <c r="L442" s="4">
        <f t="shared" si="57"/>
        <v>-9.6486900526483533E-9</v>
      </c>
      <c r="M442" s="4">
        <f t="shared" si="59"/>
        <v>-1.0869027663850363E-8</v>
      </c>
      <c r="N442" s="5">
        <f t="shared" si="60"/>
        <v>3.1295504110102489E-8</v>
      </c>
      <c r="O442" s="5">
        <f t="shared" si="61"/>
        <v>9.3881644988387133E-7</v>
      </c>
      <c r="P442" s="5">
        <f t="shared" si="62"/>
        <v>8.2988804600602657E-7</v>
      </c>
      <c r="Q442" s="1">
        <f t="shared" si="58"/>
        <v>1.8000000000000003E-6</v>
      </c>
    </row>
    <row r="443" spans="1:17" x14ac:dyDescent="0.25">
      <c r="A443" s="1">
        <v>22.05</v>
      </c>
      <c r="B443" s="1">
        <v>3.8663999999999997E-2</v>
      </c>
      <c r="C443" s="1">
        <v>4.6430000000000004E-3</v>
      </c>
      <c r="D443" s="1">
        <v>1.3355000000000001E-2</v>
      </c>
      <c r="E443" s="1">
        <v>4.4537E-2</v>
      </c>
      <c r="F443" s="1">
        <v>1.6674999999999999E-6</v>
      </c>
      <c r="G443" s="1">
        <v>6.9306999999999999</v>
      </c>
      <c r="H443" s="1">
        <v>1.2482E-7</v>
      </c>
      <c r="I443" s="1">
        <f t="shared" si="54"/>
        <v>1.2482E-7</v>
      </c>
      <c r="J443" s="4">
        <f t="shared" si="55"/>
        <v>-8.6716498277436087E-9</v>
      </c>
      <c r="K443" s="4">
        <f t="shared" si="56"/>
        <v>-1.8306920772735751E-8</v>
      </c>
      <c r="L443" s="4">
        <f t="shared" si="57"/>
        <v>-9.6449807889299016E-9</v>
      </c>
      <c r="M443" s="4">
        <f t="shared" si="59"/>
        <v>-1.0864396365483452E-8</v>
      </c>
      <c r="N443" s="5">
        <f t="shared" si="60"/>
        <v>3.1285794266164732E-8</v>
      </c>
      <c r="O443" s="5">
        <f t="shared" si="61"/>
        <v>9.400455753043627E-7</v>
      </c>
      <c r="P443" s="5">
        <f t="shared" si="62"/>
        <v>8.2866863042947294E-7</v>
      </c>
      <c r="Q443" s="1">
        <f t="shared" si="58"/>
        <v>1.8000000000000003E-6</v>
      </c>
    </row>
    <row r="444" spans="1:17" x14ac:dyDescent="0.25">
      <c r="A444" s="1">
        <v>22.1</v>
      </c>
      <c r="B444" s="1">
        <v>3.8595999999999998E-2</v>
      </c>
      <c r="C444" s="1">
        <v>4.6454000000000001E-3</v>
      </c>
      <c r="D444" s="1">
        <v>1.3388000000000001E-2</v>
      </c>
      <c r="E444" s="1">
        <v>4.4462000000000002E-2</v>
      </c>
      <c r="F444" s="1">
        <v>1.6702999999999999E-6</v>
      </c>
      <c r="G444" s="1">
        <v>6.9302000000000001</v>
      </c>
      <c r="H444" s="1">
        <v>1.2494999999999999E-7</v>
      </c>
      <c r="I444" s="1">
        <f t="shared" si="54"/>
        <v>1.2494999999999999E-7</v>
      </c>
      <c r="J444" s="4">
        <f t="shared" si="55"/>
        <v>-8.6991910782999741E-9</v>
      </c>
      <c r="K444" s="4">
        <f t="shared" si="56"/>
        <v>-1.8330888718435334E-8</v>
      </c>
      <c r="L444" s="4">
        <f t="shared" si="57"/>
        <v>-9.6423320730142181E-9</v>
      </c>
      <c r="M444" s="4">
        <f t="shared" si="59"/>
        <v>-1.086061393727187E-8</v>
      </c>
      <c r="N444" s="5">
        <f t="shared" si="60"/>
        <v>3.1275159833285882E-8</v>
      </c>
      <c r="O444" s="5">
        <f t="shared" si="61"/>
        <v>9.4127449160149916E-7</v>
      </c>
      <c r="P444" s="5">
        <f t="shared" si="62"/>
        <v>8.2745034856521535E-7</v>
      </c>
      <c r="Q444" s="1">
        <f t="shared" si="58"/>
        <v>1.8000000000000003E-6</v>
      </c>
    </row>
    <row r="445" spans="1:17" x14ac:dyDescent="0.25">
      <c r="A445" s="1">
        <v>22.15</v>
      </c>
      <c r="B445" s="1">
        <v>3.8528E-2</v>
      </c>
      <c r="C445" s="1">
        <v>4.6477000000000003E-3</v>
      </c>
      <c r="D445" s="1">
        <v>1.3421000000000001E-2</v>
      </c>
      <c r="E445" s="1">
        <v>4.4386000000000002E-2</v>
      </c>
      <c r="F445" s="1">
        <v>1.6730999999999999E-6</v>
      </c>
      <c r="G445" s="1">
        <v>6.9297000000000004</v>
      </c>
      <c r="H445" s="1">
        <v>1.2508000000000001E-7</v>
      </c>
      <c r="I445" s="1">
        <f t="shared" si="54"/>
        <v>1.2508000000000001E-7</v>
      </c>
      <c r="J445" s="4">
        <f t="shared" si="55"/>
        <v>-8.7254633783963362E-9</v>
      </c>
      <c r="K445" s="4">
        <f t="shared" si="56"/>
        <v>-1.8354852586228191E-8</v>
      </c>
      <c r="L445" s="4">
        <f t="shared" si="57"/>
        <v>-9.6389806850899255E-9</v>
      </c>
      <c r="M445" s="4">
        <f t="shared" si="59"/>
        <v>-1.0855941710587867E-8</v>
      </c>
      <c r="N445" s="5">
        <f t="shared" si="60"/>
        <v>3.1265568356027805E-8</v>
      </c>
      <c r="O445" s="5">
        <f t="shared" si="61"/>
        <v>9.425010441042552E-7</v>
      </c>
      <c r="P445" s="5">
        <f t="shared" si="62"/>
        <v>8.2623338753971744E-7</v>
      </c>
      <c r="Q445" s="1">
        <f t="shared" si="58"/>
        <v>1.8000000000000006E-6</v>
      </c>
    </row>
    <row r="446" spans="1:17" x14ac:dyDescent="0.25">
      <c r="A446" s="1">
        <v>22.2</v>
      </c>
      <c r="B446" s="1">
        <v>3.8461000000000002E-2</v>
      </c>
      <c r="C446" s="1">
        <v>4.6500999999999999E-3</v>
      </c>
      <c r="D446" s="1">
        <v>1.3453E-2</v>
      </c>
      <c r="E446" s="1">
        <v>4.4311000000000003E-2</v>
      </c>
      <c r="F446" s="1">
        <v>1.6758999999999999E-6</v>
      </c>
      <c r="G446" s="1">
        <v>6.9291</v>
      </c>
      <c r="H446" s="1">
        <v>1.2520999999999999E-7</v>
      </c>
      <c r="I446" s="1">
        <f t="shared" si="54"/>
        <v>1.2520999999999999E-7</v>
      </c>
      <c r="J446" s="4">
        <f t="shared" si="55"/>
        <v>-8.7520567744997401E-9</v>
      </c>
      <c r="K446" s="4">
        <f t="shared" si="56"/>
        <v>-1.8378770360033238E-8</v>
      </c>
      <c r="L446" s="4">
        <f t="shared" si="57"/>
        <v>-9.6356791989165238E-9</v>
      </c>
      <c r="M446" s="4">
        <f t="shared" si="59"/>
        <v>-1.0851253571914281E-8</v>
      </c>
      <c r="N446" s="5">
        <f t="shared" si="60"/>
        <v>3.1256602742644778E-8</v>
      </c>
      <c r="O446" s="5">
        <f t="shared" si="61"/>
        <v>9.4372558409063604E-7</v>
      </c>
      <c r="P446" s="5">
        <f t="shared" si="62"/>
        <v>8.2501781316671966E-7</v>
      </c>
      <c r="Q446" s="1">
        <f t="shared" si="58"/>
        <v>1.8000000000000006E-6</v>
      </c>
    </row>
    <row r="447" spans="1:17" x14ac:dyDescent="0.25">
      <c r="A447" s="1">
        <v>22.25</v>
      </c>
      <c r="B447" s="1">
        <v>3.8392999999999997E-2</v>
      </c>
      <c r="C447" s="1">
        <v>4.6524000000000001E-3</v>
      </c>
      <c r="D447" s="1">
        <v>1.3486E-2</v>
      </c>
      <c r="E447" s="1">
        <v>4.4235999999999998E-2</v>
      </c>
      <c r="F447" s="1">
        <v>1.6786999999999999E-6</v>
      </c>
      <c r="G447" s="1">
        <v>6.9286000000000003</v>
      </c>
      <c r="H447" s="1">
        <v>1.2534000000000001E-7</v>
      </c>
      <c r="I447" s="1">
        <f t="shared" si="54"/>
        <v>1.2534000000000001E-7</v>
      </c>
      <c r="J447" s="4">
        <f t="shared" si="55"/>
        <v>-8.7788570044951289E-9</v>
      </c>
      <c r="K447" s="4">
        <f t="shared" si="56"/>
        <v>-1.8402648889767665E-8</v>
      </c>
      <c r="L447" s="4">
        <f t="shared" si="57"/>
        <v>-9.6327329841497837E-9</v>
      </c>
      <c r="M447" s="4">
        <f t="shared" si="59"/>
        <v>-1.0846550440593675E-8</v>
      </c>
      <c r="N447" s="5">
        <f t="shared" si="60"/>
        <v>3.1247661643767523E-8</v>
      </c>
      <c r="O447" s="5">
        <f t="shared" si="61"/>
        <v>9.4494834264595714E-7</v>
      </c>
      <c r="P447" s="5">
        <f t="shared" si="62"/>
        <v>8.2380399571027582E-7</v>
      </c>
      <c r="Q447" s="1">
        <f t="shared" si="58"/>
        <v>1.8000000000000006E-6</v>
      </c>
    </row>
    <row r="448" spans="1:17" x14ac:dyDescent="0.25">
      <c r="A448" s="1">
        <v>22.3</v>
      </c>
      <c r="B448" s="1">
        <v>3.8325999999999999E-2</v>
      </c>
      <c r="C448" s="1">
        <v>4.6546000000000001E-3</v>
      </c>
      <c r="D448" s="1">
        <v>1.3519E-2</v>
      </c>
      <c r="E448" s="1">
        <v>4.4159999999999998E-2</v>
      </c>
      <c r="F448" s="1">
        <v>1.6814999999999999E-6</v>
      </c>
      <c r="G448" s="1">
        <v>6.9280999999999997</v>
      </c>
      <c r="H448" s="1">
        <v>1.2547E-7</v>
      </c>
      <c r="I448" s="1">
        <f t="shared" si="54"/>
        <v>1.2547E-7</v>
      </c>
      <c r="J448" s="4">
        <f t="shared" si="55"/>
        <v>-8.805696324585891E-9</v>
      </c>
      <c r="K448" s="4">
        <f t="shared" si="56"/>
        <v>-1.8426492681596428E-8</v>
      </c>
      <c r="L448" s="4">
        <f t="shared" si="57"/>
        <v>-9.6297399645540177E-9</v>
      </c>
      <c r="M448" s="4">
        <f t="shared" si="59"/>
        <v>-1.0841837246344382E-8</v>
      </c>
      <c r="N448" s="5">
        <f t="shared" si="60"/>
        <v>3.1238718036224041E-8</v>
      </c>
      <c r="O448" s="5">
        <f t="shared" si="61"/>
        <v>9.4616938353529099E-7</v>
      </c>
      <c r="P448" s="5">
        <f t="shared" si="62"/>
        <v>8.2259189842848539E-7</v>
      </c>
      <c r="Q448" s="1">
        <f t="shared" si="58"/>
        <v>1.8000000000000003E-6</v>
      </c>
    </row>
    <row r="449" spans="1:17" x14ac:dyDescent="0.25">
      <c r="A449" s="1">
        <v>22.35</v>
      </c>
      <c r="B449" s="1">
        <v>3.8258E-2</v>
      </c>
      <c r="C449" s="1">
        <v>4.6569000000000003E-3</v>
      </c>
      <c r="D449" s="1">
        <v>1.3551000000000001E-2</v>
      </c>
      <c r="E449" s="1">
        <v>4.4084999999999999E-2</v>
      </c>
      <c r="F449" s="1">
        <v>1.6841999999999999E-6</v>
      </c>
      <c r="G449" s="1">
        <v>6.9276</v>
      </c>
      <c r="H449" s="1">
        <v>1.2560000000000001E-7</v>
      </c>
      <c r="I449" s="1">
        <f t="shared" si="54"/>
        <v>1.2560000000000001E-7</v>
      </c>
      <c r="J449" s="4">
        <f t="shared" si="55"/>
        <v>-8.8325671211458116E-9</v>
      </c>
      <c r="K449" s="4">
        <f t="shared" si="56"/>
        <v>-1.8450302978938437E-8</v>
      </c>
      <c r="L449" s="4">
        <f t="shared" si="57"/>
        <v>-9.6264738679135666E-9</v>
      </c>
      <c r="M449" s="4">
        <f t="shared" si="59"/>
        <v>-1.083711357706147E-8</v>
      </c>
      <c r="N449" s="5">
        <f t="shared" si="60"/>
        <v>3.1229980026103103E-8</v>
      </c>
      <c r="O449" s="5">
        <f t="shared" si="61"/>
        <v>9.4738876125455978E-7</v>
      </c>
      <c r="P449" s="5">
        <f t="shared" si="62"/>
        <v>8.2138125871933751E-7</v>
      </c>
      <c r="Q449" s="1">
        <f t="shared" si="58"/>
        <v>1.8000000000000003E-6</v>
      </c>
    </row>
    <row r="450" spans="1:17" x14ac:dyDescent="0.25">
      <c r="A450" s="1">
        <v>22.4</v>
      </c>
      <c r="B450" s="1">
        <v>3.8191000000000003E-2</v>
      </c>
      <c r="C450" s="1">
        <v>4.6589999999999999E-3</v>
      </c>
      <c r="D450" s="1">
        <v>1.3584000000000001E-2</v>
      </c>
      <c r="E450" s="1">
        <v>4.4010000000000001E-2</v>
      </c>
      <c r="F450" s="1">
        <v>1.6869999999999999E-6</v>
      </c>
      <c r="G450" s="1">
        <v>6.9271000000000003</v>
      </c>
      <c r="H450" s="1">
        <v>1.2573E-7</v>
      </c>
      <c r="I450" s="1">
        <f t="shared" si="54"/>
        <v>1.2573E-7</v>
      </c>
      <c r="J450" s="4">
        <f t="shared" si="55"/>
        <v>-8.8584764000644393E-9</v>
      </c>
      <c r="K450" s="4">
        <f t="shared" si="56"/>
        <v>-1.8474080844462867E-8</v>
      </c>
      <c r="L450" s="4">
        <f t="shared" si="57"/>
        <v>-9.6228631884686463E-9</v>
      </c>
      <c r="M450" s="4">
        <f t="shared" si="59"/>
        <v>-1.083237603999001E-8</v>
      </c>
      <c r="N450" s="5">
        <f t="shared" si="60"/>
        <v>3.1222721282032883E-8</v>
      </c>
      <c r="O450" s="5">
        <f t="shared" si="61"/>
        <v>9.4860553285015147E-7</v>
      </c>
      <c r="P450" s="5">
        <f t="shared" si="62"/>
        <v>8.2017174586781617E-7</v>
      </c>
      <c r="Q450" s="1">
        <f t="shared" si="58"/>
        <v>1.8000000000000006E-6</v>
      </c>
    </row>
    <row r="451" spans="1:17" x14ac:dyDescent="0.25">
      <c r="A451" s="1">
        <v>22.45</v>
      </c>
      <c r="B451" s="1">
        <v>3.8122999999999997E-2</v>
      </c>
      <c r="C451" s="1">
        <v>4.6611999999999999E-3</v>
      </c>
      <c r="D451" s="1">
        <v>1.3616E-2</v>
      </c>
      <c r="E451" s="1">
        <v>4.3935000000000002E-2</v>
      </c>
      <c r="F451" s="1">
        <v>1.6897000000000001E-6</v>
      </c>
      <c r="G451" s="1">
        <v>6.9265999999999996</v>
      </c>
      <c r="H451" s="1">
        <v>1.2585999999999999E-7</v>
      </c>
      <c r="I451" s="1">
        <f t="shared" ref="I451:I514" si="63">H451</f>
        <v>1.2585999999999999E-7</v>
      </c>
      <c r="J451" s="4">
        <f t="shared" ref="J451:J514" si="64">(-$T$4*F450^2*N450)*(A451-A450)</f>
        <v>-8.8858896864307097E-9</v>
      </c>
      <c r="K451" s="4">
        <f t="shared" ref="K451:K514" si="65">-O450*$T$7*(A451-A450)</f>
        <v>-1.8497807890578219E-8</v>
      </c>
      <c r="L451" s="4">
        <f t="shared" ref="L451:L514" si="66">-$T$5*F450*E450*(A451-A450)*N450</f>
        <v>-9.6202265629178097E-9</v>
      </c>
      <c r="M451" s="4">
        <f t="shared" si="59"/>
        <v>-1.082762032883601E-8</v>
      </c>
      <c r="N451" s="5">
        <f t="shared" si="60"/>
        <v>3.121441292326258E-8</v>
      </c>
      <c r="O451" s="5">
        <f t="shared" si="61"/>
        <v>9.4982123497484E-7</v>
      </c>
      <c r="P451" s="5">
        <f t="shared" si="62"/>
        <v>8.1896435210189804E-7</v>
      </c>
      <c r="Q451" s="1">
        <f t="shared" ref="Q451:Q514" si="67">N451+O451+P451</f>
        <v>1.8000000000000006E-6</v>
      </c>
    </row>
    <row r="452" spans="1:17" x14ac:dyDescent="0.25">
      <c r="A452" s="1">
        <v>22.5</v>
      </c>
      <c r="B452" s="1">
        <v>3.8056E-2</v>
      </c>
      <c r="C452" s="1">
        <v>4.6633000000000004E-3</v>
      </c>
      <c r="D452" s="1">
        <v>1.3649E-2</v>
      </c>
      <c r="E452" s="1">
        <v>4.3860000000000003E-2</v>
      </c>
      <c r="F452" s="1">
        <v>1.6925000000000001E-6</v>
      </c>
      <c r="G452" s="1">
        <v>6.9260999999999999</v>
      </c>
      <c r="H452" s="1">
        <v>1.2599000000000001E-7</v>
      </c>
      <c r="I452" s="1">
        <f t="shared" si="63"/>
        <v>1.2599000000000001E-7</v>
      </c>
      <c r="J452" s="4">
        <f t="shared" si="64"/>
        <v>-8.91198361447245E-9</v>
      </c>
      <c r="K452" s="4">
        <f t="shared" si="65"/>
        <v>-1.8521514082009647E-8</v>
      </c>
      <c r="L452" s="4">
        <f t="shared" si="66"/>
        <v>-9.6166431936004342E-9</v>
      </c>
      <c r="M452" s="4">
        <f t="shared" ref="M452:M515" si="68">-P451*$T$8*I451*(A452-A451)</f>
        <v>-1.0822859602332367E-8</v>
      </c>
      <c r="N452" s="5">
        <f t="shared" ref="N452:N515" si="69">N451+J452-K452+L452</f>
        <v>3.1207300197199341E-8</v>
      </c>
      <c r="O452" s="5">
        <f t="shared" ref="O452:O515" si="70">-J452+O451+K452-M452</f>
        <v>9.5103456410963518E-7</v>
      </c>
      <c r="P452" s="5">
        <f t="shared" ref="P452:P515" si="71">P451-L452+M452</f>
        <v>8.1775813569316602E-7</v>
      </c>
      <c r="Q452" s="1">
        <f t="shared" si="67"/>
        <v>1.8000000000000006E-6</v>
      </c>
    </row>
    <row r="453" spans="1:17" x14ac:dyDescent="0.25">
      <c r="A453" s="1">
        <v>22.55</v>
      </c>
      <c r="B453" s="1">
        <v>3.7989000000000002E-2</v>
      </c>
      <c r="C453" s="1">
        <v>4.6654000000000001E-3</v>
      </c>
      <c r="D453" s="1">
        <v>1.3682E-2</v>
      </c>
      <c r="E453" s="1">
        <v>4.3784999999999998E-2</v>
      </c>
      <c r="F453" s="1">
        <v>1.6952000000000001E-6</v>
      </c>
      <c r="G453" s="1">
        <v>6.9256000000000002</v>
      </c>
      <c r="H453" s="1">
        <v>1.2611999999999999E-7</v>
      </c>
      <c r="I453" s="1">
        <f t="shared" si="63"/>
        <v>1.2611999999999999E-7</v>
      </c>
      <c r="J453" s="4">
        <f t="shared" si="64"/>
        <v>-8.9395066825514878E-9</v>
      </c>
      <c r="K453" s="4">
        <f t="shared" si="65"/>
        <v>-1.854517400013815E-8</v>
      </c>
      <c r="L453" s="4">
        <f t="shared" si="66"/>
        <v>-9.6139442650005305E-9</v>
      </c>
      <c r="M453" s="4">
        <f t="shared" si="68"/>
        <v>-1.0818081489178262E-8</v>
      </c>
      <c r="N453" s="5">
        <f t="shared" si="69"/>
        <v>3.1199023249785474E-8</v>
      </c>
      <c r="O453" s="5">
        <f t="shared" si="70"/>
        <v>9.5224697828122671E-7</v>
      </c>
      <c r="P453" s="5">
        <f t="shared" si="71"/>
        <v>8.1655399846898831E-7</v>
      </c>
      <c r="Q453" s="1">
        <f t="shared" si="67"/>
        <v>1.8000000000000006E-6</v>
      </c>
    </row>
    <row r="454" spans="1:17" x14ac:dyDescent="0.25">
      <c r="A454" s="1">
        <v>22.6</v>
      </c>
      <c r="B454" s="1">
        <v>3.7921999999999997E-2</v>
      </c>
      <c r="C454" s="1">
        <v>4.6674000000000004E-3</v>
      </c>
      <c r="D454" s="1">
        <v>1.3714E-2</v>
      </c>
      <c r="E454" s="1">
        <v>4.3709999999999999E-2</v>
      </c>
      <c r="F454" s="1">
        <v>1.6979000000000001E-6</v>
      </c>
      <c r="G454" s="1">
        <v>6.9250999999999996</v>
      </c>
      <c r="H454" s="1">
        <v>1.2625000000000001E-7</v>
      </c>
      <c r="I454" s="1">
        <f t="shared" si="63"/>
        <v>1.2625000000000001E-7</v>
      </c>
      <c r="J454" s="4">
        <f t="shared" si="64"/>
        <v>-8.9656727957940469E-9</v>
      </c>
      <c r="K454" s="4">
        <f t="shared" si="65"/>
        <v>-1.8568816076484187E-8</v>
      </c>
      <c r="L454" s="4">
        <f t="shared" si="66"/>
        <v>-9.6102656380364893E-9</v>
      </c>
      <c r="M454" s="4">
        <f t="shared" si="68"/>
        <v>-1.0813297980125578E-8</v>
      </c>
      <c r="N454" s="5">
        <f t="shared" si="69"/>
        <v>3.1191900892439128E-8</v>
      </c>
      <c r="O454" s="5">
        <f t="shared" si="70"/>
        <v>9.5345713298066212E-7</v>
      </c>
      <c r="P454" s="5">
        <f t="shared" si="71"/>
        <v>8.1535096612689926E-7</v>
      </c>
      <c r="Q454" s="1">
        <f t="shared" si="67"/>
        <v>1.8000000000000006E-6</v>
      </c>
    </row>
    <row r="455" spans="1:17" x14ac:dyDescent="0.25">
      <c r="A455" s="1">
        <v>22.65</v>
      </c>
      <c r="B455" s="1">
        <v>3.7855E-2</v>
      </c>
      <c r="C455" s="1">
        <v>4.6693999999999998E-3</v>
      </c>
      <c r="D455" s="1">
        <v>1.3747000000000001E-2</v>
      </c>
      <c r="E455" s="1">
        <v>4.3635E-2</v>
      </c>
      <c r="F455" s="1">
        <v>1.7005000000000001E-6</v>
      </c>
      <c r="G455" s="1">
        <v>6.9245999999999999</v>
      </c>
      <c r="H455" s="1">
        <v>1.2638E-7</v>
      </c>
      <c r="I455" s="1">
        <f t="shared" si="63"/>
        <v>1.2638E-7</v>
      </c>
      <c r="J455" s="4">
        <f t="shared" si="64"/>
        <v>-8.9922020963054891E-9</v>
      </c>
      <c r="K455" s="4">
        <f t="shared" si="65"/>
        <v>-1.8592414093121858E-8</v>
      </c>
      <c r="L455" s="4">
        <f t="shared" si="66"/>
        <v>-9.6068907919340274E-9</v>
      </c>
      <c r="M455" s="4">
        <f t="shared" si="68"/>
        <v>-1.0808496244719095E-8</v>
      </c>
      <c r="N455" s="5">
        <f t="shared" si="69"/>
        <v>3.1185222097321467E-8</v>
      </c>
      <c r="O455" s="5">
        <f t="shared" si="70"/>
        <v>9.5466541722856481E-7</v>
      </c>
      <c r="P455" s="5">
        <f t="shared" si="71"/>
        <v>8.1414936067411422E-7</v>
      </c>
      <c r="Q455" s="1">
        <f t="shared" si="67"/>
        <v>1.8000000000000006E-6</v>
      </c>
    </row>
    <row r="456" spans="1:17" x14ac:dyDescent="0.25">
      <c r="A456" s="1">
        <v>22.7</v>
      </c>
      <c r="B456" s="1">
        <v>3.7788000000000002E-2</v>
      </c>
      <c r="C456" s="1">
        <v>4.6714E-3</v>
      </c>
      <c r="D456" s="1">
        <v>1.3779E-2</v>
      </c>
      <c r="E456" s="1">
        <v>4.3560000000000001E-2</v>
      </c>
      <c r="F456" s="1">
        <v>1.7032000000000001E-6</v>
      </c>
      <c r="G456" s="1">
        <v>6.9241000000000001</v>
      </c>
      <c r="H456" s="1">
        <v>1.2651000000000001E-7</v>
      </c>
      <c r="I456" s="1">
        <f t="shared" si="63"/>
        <v>1.2651000000000001E-7</v>
      </c>
      <c r="J456" s="4">
        <f t="shared" si="64"/>
        <v>-9.0178314535131288E-9</v>
      </c>
      <c r="K456" s="4">
        <f t="shared" si="65"/>
        <v>-1.8615975635957281E-8</v>
      </c>
      <c r="L456" s="4">
        <f t="shared" si="66"/>
        <v>-9.603035949528306E-9</v>
      </c>
      <c r="M456" s="4">
        <f t="shared" si="68"/>
        <v>-1.0803680601209582E-8</v>
      </c>
      <c r="N456" s="5">
        <f t="shared" si="69"/>
        <v>3.1180330330237312E-8</v>
      </c>
      <c r="O456" s="5">
        <f t="shared" si="70"/>
        <v>9.5587095364733033E-7</v>
      </c>
      <c r="P456" s="5">
        <f t="shared" si="71"/>
        <v>8.1294871602243302E-7</v>
      </c>
      <c r="Q456" s="1">
        <f t="shared" si="67"/>
        <v>1.8000000000000008E-6</v>
      </c>
    </row>
    <row r="457" spans="1:17" x14ac:dyDescent="0.25">
      <c r="A457" s="1">
        <v>22.75</v>
      </c>
      <c r="B457" s="1">
        <v>3.7720999999999998E-2</v>
      </c>
      <c r="C457" s="1">
        <v>4.6733E-3</v>
      </c>
      <c r="D457" s="1">
        <v>1.3812E-2</v>
      </c>
      <c r="E457" s="1">
        <v>4.3485999999999997E-2</v>
      </c>
      <c r="F457" s="1">
        <v>1.7059E-6</v>
      </c>
      <c r="G457" s="1">
        <v>6.9236000000000004</v>
      </c>
      <c r="H457" s="1">
        <v>1.2664E-7</v>
      </c>
      <c r="I457" s="1">
        <f t="shared" si="63"/>
        <v>1.2664E-7</v>
      </c>
      <c r="J457" s="4">
        <f t="shared" si="64"/>
        <v>-9.0450715934962682E-9</v>
      </c>
      <c r="K457" s="4">
        <f t="shared" si="65"/>
        <v>-1.8639483596123207E-8</v>
      </c>
      <c r="L457" s="4">
        <f t="shared" si="66"/>
        <v>-9.6002452574136587E-9</v>
      </c>
      <c r="M457" s="4">
        <f t="shared" si="68"/>
        <v>-1.0798844916719945E-8</v>
      </c>
      <c r="N457" s="5">
        <f t="shared" si="69"/>
        <v>3.1174497075450593E-8</v>
      </c>
      <c r="O457" s="5">
        <f t="shared" si="70"/>
        <v>9.5707538656142337E-7</v>
      </c>
      <c r="P457" s="5">
        <f t="shared" si="71"/>
        <v>8.1175011636312673E-7</v>
      </c>
      <c r="Q457" s="1">
        <f t="shared" si="67"/>
        <v>1.8000000000000008E-6</v>
      </c>
    </row>
    <row r="458" spans="1:17" x14ac:dyDescent="0.25">
      <c r="A458" s="1">
        <v>22.8</v>
      </c>
      <c r="B458" s="1">
        <v>3.7654E-2</v>
      </c>
      <c r="C458" s="1">
        <v>4.6752E-3</v>
      </c>
      <c r="D458" s="1">
        <v>1.3844E-2</v>
      </c>
      <c r="E458" s="1">
        <v>4.3410999999999998E-2</v>
      </c>
      <c r="F458" s="1">
        <v>1.7085E-6</v>
      </c>
      <c r="G458" s="1">
        <v>6.9230999999999998</v>
      </c>
      <c r="H458" s="1">
        <v>1.2676999999999999E-7</v>
      </c>
      <c r="I458" s="1">
        <f t="shared" si="63"/>
        <v>1.2676999999999999E-7</v>
      </c>
      <c r="J458" s="4">
        <f t="shared" si="64"/>
        <v>-9.0720742143630241E-9</v>
      </c>
      <c r="K458" s="4">
        <f t="shared" si="65"/>
        <v>-1.8662970037948022E-8</v>
      </c>
      <c r="L458" s="4">
        <f t="shared" si="66"/>
        <v>-9.5973334312446799E-9</v>
      </c>
      <c r="M458" s="4">
        <f t="shared" si="68"/>
        <v>-1.0794003647303922E-8</v>
      </c>
      <c r="N458" s="5">
        <f t="shared" si="69"/>
        <v>3.1168059467790919E-8</v>
      </c>
      <c r="O458" s="5">
        <f t="shared" si="70"/>
        <v>9.5827849438514241E-7</v>
      </c>
      <c r="P458" s="5">
        <f t="shared" si="71"/>
        <v>8.1055344614706749E-7</v>
      </c>
      <c r="Q458" s="1">
        <f t="shared" si="67"/>
        <v>1.800000000000001E-6</v>
      </c>
    </row>
    <row r="459" spans="1:17" x14ac:dyDescent="0.25">
      <c r="A459" s="1">
        <v>22.85</v>
      </c>
      <c r="B459" s="1">
        <v>3.7588000000000003E-2</v>
      </c>
      <c r="C459" s="1">
        <v>4.6769999999999997E-3</v>
      </c>
      <c r="D459" s="1">
        <v>1.3877E-2</v>
      </c>
      <c r="E459" s="1">
        <v>4.3336E-2</v>
      </c>
      <c r="F459" s="1">
        <v>1.7111E-6</v>
      </c>
      <c r="G459" s="1">
        <v>6.9226000000000001</v>
      </c>
      <c r="H459" s="1">
        <v>1.269E-7</v>
      </c>
      <c r="I459" s="1">
        <f t="shared" si="63"/>
        <v>1.269E-7</v>
      </c>
      <c r="J459" s="4">
        <f t="shared" si="64"/>
        <v>-9.0978700672832744E-9</v>
      </c>
      <c r="K459" s="4">
        <f t="shared" si="65"/>
        <v>-1.8686430640510543E-8</v>
      </c>
      <c r="L459" s="4">
        <f t="shared" si="66"/>
        <v>-9.5934017886272304E-9</v>
      </c>
      <c r="M459" s="4">
        <f t="shared" si="68"/>
        <v>-1.0789155338646846E-8</v>
      </c>
      <c r="N459" s="5">
        <f t="shared" si="69"/>
        <v>3.1163218252390959E-8</v>
      </c>
      <c r="O459" s="5">
        <f t="shared" si="70"/>
        <v>9.5947908915056195E-7</v>
      </c>
      <c r="P459" s="5">
        <f t="shared" si="71"/>
        <v>8.0935769259704788E-7</v>
      </c>
      <c r="Q459" s="1">
        <f t="shared" si="67"/>
        <v>1.800000000000001E-6</v>
      </c>
    </row>
    <row r="460" spans="1:17" x14ac:dyDescent="0.25">
      <c r="A460" s="1">
        <v>22.9</v>
      </c>
      <c r="B460" s="1">
        <v>3.7520999999999999E-2</v>
      </c>
      <c r="C460" s="1">
        <v>4.6788999999999997E-3</v>
      </c>
      <c r="D460" s="1">
        <v>1.3908999999999999E-2</v>
      </c>
      <c r="E460" s="1">
        <v>4.3262000000000002E-2</v>
      </c>
      <c r="F460" s="1">
        <v>1.7138E-6</v>
      </c>
      <c r="G460" s="1">
        <v>6.9221000000000004</v>
      </c>
      <c r="H460" s="1">
        <v>1.2702999999999999E-7</v>
      </c>
      <c r="I460" s="1">
        <f t="shared" si="63"/>
        <v>1.2702999999999999E-7</v>
      </c>
      <c r="J460" s="4">
        <f t="shared" si="64"/>
        <v>-9.1241640226370801E-9</v>
      </c>
      <c r="K460" s="4">
        <f t="shared" si="65"/>
        <v>-1.8709842238434897E-8</v>
      </c>
      <c r="L460" s="4">
        <f t="shared" si="66"/>
        <v>-9.5899117769432058E-9</v>
      </c>
      <c r="M460" s="4">
        <f t="shared" si="68"/>
        <v>-1.0784286575008752E-8</v>
      </c>
      <c r="N460" s="5">
        <f t="shared" si="69"/>
        <v>3.1158984691245572E-8</v>
      </c>
      <c r="O460" s="5">
        <f t="shared" si="70"/>
        <v>9.6067769750977286E-7</v>
      </c>
      <c r="P460" s="5">
        <f t="shared" si="71"/>
        <v>8.0816331779898232E-7</v>
      </c>
      <c r="Q460" s="1">
        <f t="shared" si="67"/>
        <v>1.8000000000000006E-6</v>
      </c>
    </row>
    <row r="461" spans="1:17" x14ac:dyDescent="0.25">
      <c r="A461" s="1">
        <v>22.95</v>
      </c>
      <c r="B461" s="1">
        <v>3.7455000000000002E-2</v>
      </c>
      <c r="C461" s="1">
        <v>4.6806E-3</v>
      </c>
      <c r="D461" s="1">
        <v>1.3941E-2</v>
      </c>
      <c r="E461" s="1">
        <v>4.3187000000000003E-2</v>
      </c>
      <c r="F461" s="1">
        <v>1.7164E-6</v>
      </c>
      <c r="G461" s="1">
        <v>6.9215999999999998</v>
      </c>
      <c r="H461" s="1">
        <v>1.2716000000000001E-7</v>
      </c>
      <c r="I461" s="1">
        <f t="shared" si="63"/>
        <v>1.2716000000000001E-7</v>
      </c>
      <c r="J461" s="4">
        <f t="shared" si="64"/>
        <v>-9.1517379236458849E-9</v>
      </c>
      <c r="K461" s="4">
        <f t="shared" si="65"/>
        <v>-1.8733215101440837E-8</v>
      </c>
      <c r="L461" s="4">
        <f t="shared" si="66"/>
        <v>-9.587339929507459E-9</v>
      </c>
      <c r="M461" s="4">
        <f t="shared" si="68"/>
        <v>-1.0779403557300649E-8</v>
      </c>
      <c r="N461" s="5">
        <f t="shared" si="69"/>
        <v>3.1153121939533064E-8</v>
      </c>
      <c r="O461" s="5">
        <f t="shared" si="70"/>
        <v>9.6187562388927854E-7</v>
      </c>
      <c r="P461" s="5">
        <f t="shared" si="71"/>
        <v>8.0697125417118915E-7</v>
      </c>
      <c r="Q461" s="1">
        <f t="shared" si="67"/>
        <v>1.8000000000000008E-6</v>
      </c>
    </row>
    <row r="462" spans="1:17" x14ac:dyDescent="0.25">
      <c r="A462" s="1">
        <v>23</v>
      </c>
      <c r="B462" s="1">
        <v>3.7387999999999998E-2</v>
      </c>
      <c r="C462" s="1">
        <v>4.6823999999999998E-3</v>
      </c>
      <c r="D462" s="1">
        <v>1.3974E-2</v>
      </c>
      <c r="E462" s="1">
        <v>4.3112999999999999E-2</v>
      </c>
      <c r="F462" s="1">
        <v>1.719E-6</v>
      </c>
      <c r="G462" s="1">
        <v>6.9211</v>
      </c>
      <c r="H462" s="1">
        <v>1.2728000000000001E-7</v>
      </c>
      <c r="I462" s="1">
        <f t="shared" si="63"/>
        <v>1.2728000000000001E-7</v>
      </c>
      <c r="J462" s="4">
        <f t="shared" si="64"/>
        <v>-9.1777999428277083E-9</v>
      </c>
      <c r="K462" s="4">
        <f t="shared" si="65"/>
        <v>-1.8756574665841198E-8</v>
      </c>
      <c r="L462" s="4">
        <f t="shared" si="66"/>
        <v>-9.5834352799069908E-9</v>
      </c>
      <c r="M462" s="4">
        <f t="shared" si="68"/>
        <v>-1.0774518791443038E-8</v>
      </c>
      <c r="N462" s="5">
        <f t="shared" si="69"/>
        <v>3.1148461382639564E-8</v>
      </c>
      <c r="O462" s="5">
        <f t="shared" si="70"/>
        <v>9.6307136795770811E-7</v>
      </c>
      <c r="P462" s="5">
        <f t="shared" si="71"/>
        <v>8.0578017065965299E-7</v>
      </c>
      <c r="Q462" s="1">
        <f t="shared" si="67"/>
        <v>1.8000000000000008E-6</v>
      </c>
    </row>
    <row r="463" spans="1:17" x14ac:dyDescent="0.25">
      <c r="A463" s="1">
        <v>23.05</v>
      </c>
      <c r="B463" s="1">
        <v>3.7322000000000001E-2</v>
      </c>
      <c r="C463" s="1">
        <v>4.6841000000000001E-3</v>
      </c>
      <c r="D463" s="1">
        <v>1.4005999999999999E-2</v>
      </c>
      <c r="E463" s="1">
        <v>4.3039000000000001E-2</v>
      </c>
      <c r="F463" s="1">
        <v>1.7215E-6</v>
      </c>
      <c r="G463" s="1">
        <v>6.9207000000000001</v>
      </c>
      <c r="H463" s="1">
        <v>1.2741E-7</v>
      </c>
      <c r="I463" s="1">
        <f t="shared" si="63"/>
        <v>1.2741E-7</v>
      </c>
      <c r="J463" s="4">
        <f t="shared" si="64"/>
        <v>-9.2042488595707295E-9</v>
      </c>
      <c r="K463" s="4">
        <f t="shared" si="65"/>
        <v>-1.8779891675175576E-8</v>
      </c>
      <c r="L463" s="4">
        <f t="shared" si="66"/>
        <v>-9.580072958074998E-9</v>
      </c>
      <c r="M463" s="4">
        <f t="shared" si="68"/>
        <v>-1.0768768512764022E-8</v>
      </c>
      <c r="N463" s="5">
        <f t="shared" si="69"/>
        <v>3.1144031240169413E-8</v>
      </c>
      <c r="O463" s="5">
        <f t="shared" si="70"/>
        <v>9.642644936548673E-7</v>
      </c>
      <c r="P463" s="5">
        <f t="shared" si="71"/>
        <v>8.0459147510496388E-7</v>
      </c>
      <c r="Q463" s="1">
        <f t="shared" si="67"/>
        <v>1.8000000000000006E-6</v>
      </c>
    </row>
    <row r="464" spans="1:17" x14ac:dyDescent="0.25">
      <c r="A464" s="1">
        <v>23.1</v>
      </c>
      <c r="B464" s="1">
        <v>3.7255999999999997E-2</v>
      </c>
      <c r="C464" s="1">
        <v>4.6858000000000004E-3</v>
      </c>
      <c r="D464" s="1">
        <v>1.4038E-2</v>
      </c>
      <c r="E464" s="1">
        <v>4.2965000000000003E-2</v>
      </c>
      <c r="F464" s="1">
        <v>1.7240999999999999E-6</v>
      </c>
      <c r="G464" s="1">
        <v>6.9202000000000004</v>
      </c>
      <c r="H464" s="1">
        <v>1.2753999999999999E-7</v>
      </c>
      <c r="I464" s="1">
        <f t="shared" si="63"/>
        <v>1.2753999999999999E-7</v>
      </c>
      <c r="J464" s="4">
        <f t="shared" si="64"/>
        <v>-9.2297275296188063E-9</v>
      </c>
      <c r="K464" s="4">
        <f t="shared" si="65"/>
        <v>-1.8803157626270181E-8</v>
      </c>
      <c r="L464" s="4">
        <f t="shared" si="66"/>
        <v>-9.5761760619293919E-9</v>
      </c>
      <c r="M464" s="4">
        <f t="shared" si="68"/>
        <v>-1.0763864983528114E-8</v>
      </c>
      <c r="N464" s="5">
        <f t="shared" si="69"/>
        <v>3.1141285274891396E-8</v>
      </c>
      <c r="O464" s="5">
        <f t="shared" si="70"/>
        <v>9.6545492854174394E-7</v>
      </c>
      <c r="P464" s="5">
        <f t="shared" si="71"/>
        <v>8.0340378618336514E-7</v>
      </c>
      <c r="Q464" s="1">
        <f t="shared" si="67"/>
        <v>1.8000000000000006E-6</v>
      </c>
    </row>
    <row r="465" spans="1:17" x14ac:dyDescent="0.25">
      <c r="A465" s="1">
        <v>23.15</v>
      </c>
      <c r="B465" s="1">
        <v>3.7189E-2</v>
      </c>
      <c r="C465" s="1">
        <v>4.6874000000000004E-3</v>
      </c>
      <c r="D465" s="1">
        <v>1.4071E-2</v>
      </c>
      <c r="E465" s="1">
        <v>4.2889999999999998E-2</v>
      </c>
      <c r="F465" s="1">
        <v>1.7265999999999999E-6</v>
      </c>
      <c r="G465" s="1">
        <v>6.9196999999999997</v>
      </c>
      <c r="H465" s="1">
        <v>1.2767E-7</v>
      </c>
      <c r="I465" s="1">
        <f t="shared" si="63"/>
        <v>1.2767E-7</v>
      </c>
      <c r="J465" s="4">
        <f t="shared" si="64"/>
        <v>-9.2568118529755971E-9</v>
      </c>
      <c r="K465" s="4">
        <f t="shared" si="65"/>
        <v>-1.8826371106562937E-8</v>
      </c>
      <c r="L465" s="4">
        <f t="shared" si="66"/>
        <v>-9.5733050475137808E-9</v>
      </c>
      <c r="M465" s="4">
        <f t="shared" si="68"/>
        <v>-1.0758942483431159E-8</v>
      </c>
      <c r="N465" s="5">
        <f t="shared" si="69"/>
        <v>3.1137539480964954E-8</v>
      </c>
      <c r="O465" s="5">
        <f t="shared" si="70"/>
        <v>9.6664431177158783E-7</v>
      </c>
      <c r="P465" s="5">
        <f t="shared" si="71"/>
        <v>8.0221814874744781E-7</v>
      </c>
      <c r="Q465" s="1">
        <f t="shared" si="67"/>
        <v>1.8000000000000006E-6</v>
      </c>
    </row>
    <row r="466" spans="1:17" x14ac:dyDescent="0.25">
      <c r="A466" s="1">
        <v>23.2</v>
      </c>
      <c r="B466" s="1">
        <v>3.7123000000000003E-2</v>
      </c>
      <c r="C466" s="1">
        <v>4.6889999999999996E-3</v>
      </c>
      <c r="D466" s="1">
        <v>1.4102999999999999E-2</v>
      </c>
      <c r="E466" s="1">
        <v>4.2816E-2</v>
      </c>
      <c r="F466" s="1">
        <v>1.7292000000000001E-6</v>
      </c>
      <c r="G466" s="1">
        <v>6.9192</v>
      </c>
      <c r="H466" s="1">
        <v>1.2779999999999999E-7</v>
      </c>
      <c r="I466" s="1">
        <f t="shared" si="63"/>
        <v>1.2779999999999999E-7</v>
      </c>
      <c r="J466" s="4">
        <f t="shared" si="64"/>
        <v>-9.2825599848083647E-9</v>
      </c>
      <c r="K466" s="4">
        <f t="shared" si="65"/>
        <v>-1.8849564079546231E-8</v>
      </c>
      <c r="L466" s="4">
        <f t="shared" si="66"/>
        <v>-9.5693000153827611E-9</v>
      </c>
      <c r="M466" s="4">
        <f t="shared" si="68"/>
        <v>-1.0754015060311753E-8</v>
      </c>
      <c r="N466" s="5">
        <f t="shared" si="69"/>
        <v>3.1135243560320059E-8</v>
      </c>
      <c r="O466" s="5">
        <f t="shared" si="70"/>
        <v>9.6783132273716175E-7</v>
      </c>
      <c r="P466" s="5">
        <f t="shared" si="71"/>
        <v>8.0103343370251884E-7</v>
      </c>
      <c r="Q466" s="1">
        <f t="shared" si="67"/>
        <v>1.8000000000000006E-6</v>
      </c>
    </row>
    <row r="467" spans="1:17" x14ac:dyDescent="0.25">
      <c r="A467" s="1">
        <v>23.25</v>
      </c>
      <c r="B467" s="1">
        <v>3.7057E-2</v>
      </c>
      <c r="C467" s="1">
        <v>4.6905999999999996E-3</v>
      </c>
      <c r="D467" s="1">
        <v>1.4135E-2</v>
      </c>
      <c r="E467" s="1">
        <v>4.2742000000000002E-2</v>
      </c>
      <c r="F467" s="1">
        <v>1.7317000000000001E-6</v>
      </c>
      <c r="G467" s="1">
        <v>6.9187000000000003</v>
      </c>
      <c r="H467" s="1">
        <v>1.2793000000000001E-7</v>
      </c>
      <c r="I467" s="1">
        <f t="shared" si="63"/>
        <v>1.2793000000000001E-7</v>
      </c>
      <c r="J467" s="4">
        <f t="shared" si="64"/>
        <v>-9.3098508024064164E-9</v>
      </c>
      <c r="K467" s="4">
        <f t="shared" si="65"/>
        <v>-1.8872710793374922E-8</v>
      </c>
      <c r="L467" s="4">
        <f t="shared" si="66"/>
        <v>-9.5664693130737171E-9</v>
      </c>
      <c r="M467" s="4">
        <f t="shared" si="68"/>
        <v>-1.0749067646854252E-8</v>
      </c>
      <c r="N467" s="5">
        <f t="shared" si="69"/>
        <v>3.1131634238214847E-8</v>
      </c>
      <c r="O467" s="5">
        <f t="shared" si="70"/>
        <v>9.6901753039304745E-7</v>
      </c>
      <c r="P467" s="5">
        <f t="shared" si="71"/>
        <v>7.9985083536873834E-7</v>
      </c>
      <c r="Q467" s="1">
        <f t="shared" si="67"/>
        <v>1.8000000000000006E-6</v>
      </c>
    </row>
    <row r="468" spans="1:17" x14ac:dyDescent="0.25">
      <c r="A468" s="1">
        <v>23.3</v>
      </c>
      <c r="B468" s="1">
        <v>3.6991000000000003E-2</v>
      </c>
      <c r="C468" s="1">
        <v>4.6921000000000003E-3</v>
      </c>
      <c r="D468" s="1">
        <v>1.4167000000000001E-2</v>
      </c>
      <c r="E468" s="1">
        <v>4.2667999999999998E-2</v>
      </c>
      <c r="F468" s="1">
        <v>1.7342000000000001E-6</v>
      </c>
      <c r="G468" s="1">
        <v>6.9181999999999997</v>
      </c>
      <c r="H468" s="1">
        <v>1.2806E-7</v>
      </c>
      <c r="I468" s="1">
        <f t="shared" si="63"/>
        <v>1.2806E-7</v>
      </c>
      <c r="J468" s="4">
        <f t="shared" si="64"/>
        <v>-9.3357074354566662E-9</v>
      </c>
      <c r="K468" s="4">
        <f t="shared" si="65"/>
        <v>-1.8895841842664694E-8</v>
      </c>
      <c r="L468" s="4">
        <f t="shared" si="66"/>
        <v>-9.5626335387543977E-9</v>
      </c>
      <c r="M468" s="4">
        <f t="shared" si="68"/>
        <v>-1.0744116323716037E-8</v>
      </c>
      <c r="N468" s="5">
        <f t="shared" si="69"/>
        <v>3.1129135106668481E-8</v>
      </c>
      <c r="O468" s="5">
        <f t="shared" si="70"/>
        <v>9.702015123095552E-7</v>
      </c>
      <c r="P468" s="5">
        <f t="shared" si="71"/>
        <v>7.9866935258377677E-7</v>
      </c>
      <c r="Q468" s="1">
        <f t="shared" si="67"/>
        <v>1.8000000000000006E-6</v>
      </c>
    </row>
    <row r="469" spans="1:17" x14ac:dyDescent="0.25">
      <c r="A469" s="1">
        <v>23.35</v>
      </c>
      <c r="B469" s="1">
        <v>3.6924999999999999E-2</v>
      </c>
      <c r="C469" s="1">
        <v>4.6936E-3</v>
      </c>
      <c r="D469" s="1">
        <v>1.4200000000000001E-2</v>
      </c>
      <c r="E469" s="1">
        <v>4.2594E-2</v>
      </c>
      <c r="F469" s="1">
        <v>1.7367E-6</v>
      </c>
      <c r="G469" s="1">
        <v>6.9177</v>
      </c>
      <c r="H469" s="1">
        <v>1.2818E-7</v>
      </c>
      <c r="I469" s="1">
        <f t="shared" si="63"/>
        <v>1.2818E-7</v>
      </c>
      <c r="J469" s="4">
        <f t="shared" si="64"/>
        <v>-9.3619306170062816E-9</v>
      </c>
      <c r="K469" s="4">
        <f t="shared" si="65"/>
        <v>-1.8918929490036598E-8</v>
      </c>
      <c r="L469" s="4">
        <f t="shared" si="66"/>
        <v>-9.5590915153999515E-9</v>
      </c>
      <c r="M469" s="4">
        <f t="shared" si="68"/>
        <v>-1.073914771564739E-8</v>
      </c>
      <c r="N469" s="5">
        <f t="shared" si="69"/>
        <v>3.1127042464298845E-8</v>
      </c>
      <c r="O469" s="5">
        <f t="shared" si="70"/>
        <v>9.7138366115217227E-7</v>
      </c>
      <c r="P469" s="5">
        <f t="shared" si="71"/>
        <v>7.9748929638352934E-7</v>
      </c>
      <c r="Q469" s="1">
        <f t="shared" si="67"/>
        <v>1.8000000000000006E-6</v>
      </c>
    </row>
    <row r="470" spans="1:17" x14ac:dyDescent="0.25">
      <c r="A470" s="1">
        <v>23.4</v>
      </c>
      <c r="B470" s="1">
        <v>3.6859999999999997E-2</v>
      </c>
      <c r="C470" s="1">
        <v>4.6950999999999998E-3</v>
      </c>
      <c r="D470" s="1">
        <v>1.4232E-2</v>
      </c>
      <c r="E470" s="1">
        <v>4.2520000000000002E-2</v>
      </c>
      <c r="F470" s="1">
        <v>1.7392E-6</v>
      </c>
      <c r="G470" s="1">
        <v>6.9172000000000002</v>
      </c>
      <c r="H470" s="1">
        <v>1.2830999999999999E-7</v>
      </c>
      <c r="I470" s="1">
        <f t="shared" si="63"/>
        <v>1.2830999999999999E-7</v>
      </c>
      <c r="J470" s="4">
        <f t="shared" si="64"/>
        <v>-9.3883109782738275E-9</v>
      </c>
      <c r="K470" s="4">
        <f t="shared" si="65"/>
        <v>-1.8941981392466283E-8</v>
      </c>
      <c r="L470" s="4">
        <f t="shared" si="66"/>
        <v>-9.5556269298420608E-9</v>
      </c>
      <c r="M470" s="4">
        <f t="shared" si="68"/>
        <v>-1.0733328691095673E-8</v>
      </c>
      <c r="N470" s="5">
        <f t="shared" si="69"/>
        <v>3.112508594864924E-8</v>
      </c>
      <c r="O470" s="5">
        <f t="shared" si="70"/>
        <v>9.7256331942907538E-7</v>
      </c>
      <c r="P470" s="5">
        <f t="shared" si="71"/>
        <v>7.9631159462227564E-7</v>
      </c>
      <c r="Q470" s="1">
        <f t="shared" si="67"/>
        <v>1.8000000000000001E-6</v>
      </c>
    </row>
    <row r="471" spans="1:17" x14ac:dyDescent="0.25">
      <c r="A471" s="1">
        <v>23.45</v>
      </c>
      <c r="B471" s="1">
        <v>3.6794E-2</v>
      </c>
      <c r="C471" s="1">
        <v>4.6965000000000002E-3</v>
      </c>
      <c r="D471" s="1">
        <v>1.4264000000000001E-2</v>
      </c>
      <c r="E471" s="1">
        <v>4.2446999999999999E-2</v>
      </c>
      <c r="F471" s="1">
        <v>1.7416E-6</v>
      </c>
      <c r="G471" s="1">
        <v>6.9168000000000003</v>
      </c>
      <c r="H471" s="1">
        <v>1.2844E-7</v>
      </c>
      <c r="I471" s="1">
        <f t="shared" si="63"/>
        <v>1.2844E-7</v>
      </c>
      <c r="J471" s="4">
        <f t="shared" si="64"/>
        <v>-9.4147677898905748E-9</v>
      </c>
      <c r="K471" s="4">
        <f t="shared" si="65"/>
        <v>-1.8964984728867242E-8</v>
      </c>
      <c r="L471" s="4">
        <f t="shared" si="66"/>
        <v>-9.5521567080756159E-9</v>
      </c>
      <c r="M471" s="4">
        <f t="shared" si="68"/>
        <v>-1.0728347774128492E-8</v>
      </c>
      <c r="N471" s="5">
        <f t="shared" si="69"/>
        <v>3.1123146179550292E-8</v>
      </c>
      <c r="O471" s="5">
        <f t="shared" si="70"/>
        <v>9.7374145026422738E-7</v>
      </c>
      <c r="P471" s="5">
        <f t="shared" si="71"/>
        <v>7.9513540355622273E-7</v>
      </c>
      <c r="Q471" s="1">
        <f t="shared" si="67"/>
        <v>1.8000000000000006E-6</v>
      </c>
    </row>
    <row r="472" spans="1:17" x14ac:dyDescent="0.25">
      <c r="A472" s="1">
        <v>23.5</v>
      </c>
      <c r="B472" s="1">
        <v>3.6727999999999997E-2</v>
      </c>
      <c r="C472" s="1">
        <v>4.6978999999999996E-3</v>
      </c>
      <c r="D472" s="1">
        <v>1.4296E-2</v>
      </c>
      <c r="E472" s="1">
        <v>4.2373000000000001E-2</v>
      </c>
      <c r="F472" s="1">
        <v>1.7441E-6</v>
      </c>
      <c r="G472" s="1">
        <v>6.9162999999999997</v>
      </c>
      <c r="H472" s="1">
        <v>1.2856999999999999E-7</v>
      </c>
      <c r="I472" s="1">
        <f t="shared" si="63"/>
        <v>1.2856999999999999E-7</v>
      </c>
      <c r="J472" s="4">
        <f t="shared" si="64"/>
        <v>-9.4401810726389766E-9</v>
      </c>
      <c r="K472" s="4">
        <f t="shared" si="65"/>
        <v>-1.8987958280152704E-8</v>
      </c>
      <c r="L472" s="4">
        <f t="shared" si="66"/>
        <v>-9.5483209052582253E-9</v>
      </c>
      <c r="M472" s="4">
        <f t="shared" si="68"/>
        <v>-1.0723355079440084E-8</v>
      </c>
      <c r="N472" s="5">
        <f t="shared" si="69"/>
        <v>3.1122602481805793E-8</v>
      </c>
      <c r="O472" s="5">
        <f t="shared" si="70"/>
        <v>9.7491702813615389E-7</v>
      </c>
      <c r="P472" s="5">
        <f t="shared" si="71"/>
        <v>7.9396036938204083E-7</v>
      </c>
      <c r="Q472" s="1">
        <f t="shared" si="67"/>
        <v>1.8000000000000006E-6</v>
      </c>
    </row>
    <row r="473" spans="1:17" x14ac:dyDescent="0.25">
      <c r="A473" s="1">
        <v>23.55</v>
      </c>
      <c r="B473" s="1">
        <v>3.6663000000000001E-2</v>
      </c>
      <c r="C473" s="1">
        <v>4.6991999999999997E-3</v>
      </c>
      <c r="D473" s="1">
        <v>1.4328E-2</v>
      </c>
      <c r="E473" s="1">
        <v>4.2299000000000003E-2</v>
      </c>
      <c r="F473" s="1">
        <v>1.7464999999999999E-6</v>
      </c>
      <c r="G473" s="1">
        <v>6.9157999999999999</v>
      </c>
      <c r="H473" s="1">
        <v>1.2870000000000001E-7</v>
      </c>
      <c r="I473" s="1">
        <f t="shared" si="63"/>
        <v>1.2870000000000001E-7</v>
      </c>
      <c r="J473" s="4">
        <f t="shared" si="64"/>
        <v>-9.4671371737074691E-9</v>
      </c>
      <c r="K473" s="4">
        <f t="shared" si="65"/>
        <v>-1.9010882048655273E-8</v>
      </c>
      <c r="L473" s="4">
        <f t="shared" si="66"/>
        <v>-9.5451904384224087E-9</v>
      </c>
      <c r="M473" s="4">
        <f t="shared" si="68"/>
        <v>-1.0718345892602295E-8</v>
      </c>
      <c r="N473" s="5">
        <f t="shared" si="69"/>
        <v>3.1121156918331193E-8</v>
      </c>
      <c r="O473" s="5">
        <f t="shared" si="70"/>
        <v>9.7609162915380835E-7</v>
      </c>
      <c r="P473" s="5">
        <f t="shared" si="71"/>
        <v>7.9278721392786101E-7</v>
      </c>
      <c r="Q473" s="1">
        <f t="shared" si="67"/>
        <v>1.8000000000000006E-6</v>
      </c>
    </row>
    <row r="474" spans="1:17" x14ac:dyDescent="0.25">
      <c r="A474" s="1">
        <v>23.6</v>
      </c>
      <c r="B474" s="1">
        <v>3.6596999999999998E-2</v>
      </c>
      <c r="C474" s="1">
        <v>4.7004999999999998E-3</v>
      </c>
      <c r="D474" s="1">
        <v>1.436E-2</v>
      </c>
      <c r="E474" s="1">
        <v>4.2226E-2</v>
      </c>
      <c r="F474" s="1">
        <v>1.7489999999999999E-6</v>
      </c>
      <c r="G474" s="1">
        <v>6.9153000000000002</v>
      </c>
      <c r="H474" s="1">
        <v>1.2882000000000001E-7</v>
      </c>
      <c r="I474" s="1">
        <f t="shared" si="63"/>
        <v>1.2882000000000001E-7</v>
      </c>
      <c r="J474" s="4">
        <f t="shared" si="64"/>
        <v>-9.4927690124313303E-9</v>
      </c>
      <c r="K474" s="4">
        <f t="shared" si="65"/>
        <v>-1.9033786768499535E-8</v>
      </c>
      <c r="L474" s="4">
        <f t="shared" si="66"/>
        <v>-9.5411894720633066E-9</v>
      </c>
      <c r="M474" s="4">
        <f t="shared" si="68"/>
        <v>-1.0713330015414303E-8</v>
      </c>
      <c r="N474" s="5">
        <f t="shared" si="69"/>
        <v>3.1120985202336084E-8</v>
      </c>
      <c r="O474" s="5">
        <f t="shared" si="70"/>
        <v>9.7726394141315441E-7</v>
      </c>
      <c r="P474" s="5">
        <f t="shared" si="71"/>
        <v>7.9161507338450998E-7</v>
      </c>
      <c r="Q474" s="1">
        <f t="shared" si="67"/>
        <v>1.8000000000000006E-6</v>
      </c>
    </row>
    <row r="475" spans="1:17" x14ac:dyDescent="0.25">
      <c r="A475" s="1">
        <v>23.65</v>
      </c>
      <c r="B475" s="1">
        <v>3.6532000000000002E-2</v>
      </c>
      <c r="C475" s="1">
        <v>4.7017999999999999E-3</v>
      </c>
      <c r="D475" s="1">
        <v>1.4392E-2</v>
      </c>
      <c r="E475" s="1">
        <v>4.2152000000000002E-2</v>
      </c>
      <c r="F475" s="1">
        <v>1.7514000000000001E-6</v>
      </c>
      <c r="G475" s="1">
        <v>6.9147999999999996</v>
      </c>
      <c r="H475" s="1">
        <v>1.2895E-7</v>
      </c>
      <c r="I475" s="1">
        <f t="shared" si="63"/>
        <v>1.2895E-7</v>
      </c>
      <c r="J475" s="4">
        <f t="shared" si="64"/>
        <v>-9.5199124854925859E-9</v>
      </c>
      <c r="K475" s="4">
        <f t="shared" si="65"/>
        <v>-1.9056646857555429E-8</v>
      </c>
      <c r="L475" s="4">
        <f t="shared" si="66"/>
        <v>-9.5383045862864574E-9</v>
      </c>
      <c r="M475" s="4">
        <f t="shared" si="68"/>
        <v>-1.0707464644105613E-8</v>
      </c>
      <c r="N475" s="5">
        <f t="shared" si="69"/>
        <v>3.1119414988112474E-8</v>
      </c>
      <c r="O475" s="5">
        <f t="shared" si="70"/>
        <v>9.7843467168519704E-7</v>
      </c>
      <c r="P475" s="5">
        <f t="shared" si="71"/>
        <v>7.9044591332669085E-7</v>
      </c>
      <c r="Q475" s="1">
        <f t="shared" si="67"/>
        <v>1.8000000000000006E-6</v>
      </c>
    </row>
    <row r="476" spans="1:17" x14ac:dyDescent="0.25">
      <c r="A476" s="1">
        <v>23.7</v>
      </c>
      <c r="B476" s="1">
        <v>3.6465999999999998E-2</v>
      </c>
      <c r="C476" s="1">
        <v>4.7031E-3</v>
      </c>
      <c r="D476" s="1">
        <v>1.4423999999999999E-2</v>
      </c>
      <c r="E476" s="1">
        <v>4.2078999999999998E-2</v>
      </c>
      <c r="F476" s="1">
        <v>1.7538E-6</v>
      </c>
      <c r="G476" s="1">
        <v>6.9142999999999999</v>
      </c>
      <c r="H476" s="1">
        <v>1.2907999999999999E-7</v>
      </c>
      <c r="I476" s="1">
        <f t="shared" si="63"/>
        <v>1.2907999999999999E-7</v>
      </c>
      <c r="J476" s="4">
        <f t="shared" si="64"/>
        <v>-9.5455754528590963E-9</v>
      </c>
      <c r="K476" s="4">
        <f t="shared" si="65"/>
        <v>-1.9079476097861615E-8</v>
      </c>
      <c r="L476" s="4">
        <f t="shared" si="66"/>
        <v>-9.5341735207776854E-9</v>
      </c>
      <c r="M476" s="4">
        <f t="shared" si="68"/>
        <v>-1.0702440054965215E-8</v>
      </c>
      <c r="N476" s="5">
        <f t="shared" si="69"/>
        <v>3.1119142112337309E-8</v>
      </c>
      <c r="O476" s="5">
        <f t="shared" si="70"/>
        <v>9.7960321109515972E-7</v>
      </c>
      <c r="P476" s="5">
        <f t="shared" si="71"/>
        <v>7.8927764679250332E-7</v>
      </c>
      <c r="Q476" s="1">
        <f t="shared" si="67"/>
        <v>1.8000000000000003E-6</v>
      </c>
    </row>
    <row r="477" spans="1:17" x14ac:dyDescent="0.25">
      <c r="A477" s="1">
        <v>23.75</v>
      </c>
      <c r="B477" s="1">
        <v>3.6401000000000003E-2</v>
      </c>
      <c r="C477" s="1">
        <v>4.7042999999999998E-3</v>
      </c>
      <c r="D477" s="1">
        <v>1.4456999999999999E-2</v>
      </c>
      <c r="E477" s="1">
        <v>4.2006000000000002E-2</v>
      </c>
      <c r="F477" s="1">
        <v>1.7562E-6</v>
      </c>
      <c r="G477" s="1">
        <v>6.9138999999999999</v>
      </c>
      <c r="H477" s="1">
        <v>1.2921E-7</v>
      </c>
      <c r="I477" s="1">
        <f t="shared" si="63"/>
        <v>1.2921E-7</v>
      </c>
      <c r="J477" s="4">
        <f t="shared" si="64"/>
        <v>-9.5716706669540573E-9</v>
      </c>
      <c r="K477" s="4">
        <f t="shared" si="65"/>
        <v>-1.9102262616355888E-8</v>
      </c>
      <c r="L477" s="4">
        <f t="shared" si="66"/>
        <v>-9.5306207633610036E-9</v>
      </c>
      <c r="M477" s="4">
        <f t="shared" si="68"/>
        <v>-1.0697395658037665E-8</v>
      </c>
      <c r="N477" s="5">
        <f t="shared" si="69"/>
        <v>3.1119113298378144E-8</v>
      </c>
      <c r="O477" s="5">
        <f t="shared" si="70"/>
        <v>9.8077001480379537E-7</v>
      </c>
      <c r="P477" s="5">
        <f t="shared" si="71"/>
        <v>7.8811087189782662E-7</v>
      </c>
      <c r="Q477" s="1">
        <f t="shared" si="67"/>
        <v>1.8000000000000001E-6</v>
      </c>
    </row>
    <row r="478" spans="1:17" x14ac:dyDescent="0.25">
      <c r="A478" s="1">
        <v>23.8</v>
      </c>
      <c r="B478" s="1">
        <v>3.6336E-2</v>
      </c>
      <c r="C478" s="1">
        <v>4.7054000000000002E-3</v>
      </c>
      <c r="D478" s="1">
        <v>1.4489E-2</v>
      </c>
      <c r="E478" s="1">
        <v>4.1931999999999997E-2</v>
      </c>
      <c r="F478" s="1">
        <v>1.7585E-6</v>
      </c>
      <c r="G478" s="1">
        <v>6.9134000000000002</v>
      </c>
      <c r="H478" s="1">
        <v>1.2933000000000001E-7</v>
      </c>
      <c r="I478" s="1">
        <f t="shared" si="63"/>
        <v>1.2933000000000001E-7</v>
      </c>
      <c r="J478" s="4">
        <f t="shared" si="64"/>
        <v>-9.5978765453574427E-9</v>
      </c>
      <c r="K478" s="4">
        <f t="shared" si="65"/>
        <v>-1.912501528867428E-8</v>
      </c>
      <c r="L478" s="4">
        <f t="shared" si="66"/>
        <v>-9.527097534345642E-9</v>
      </c>
      <c r="M478" s="4">
        <f t="shared" si="68"/>
        <v>-1.069233960458156E-8</v>
      </c>
      <c r="N478" s="5">
        <f t="shared" si="69"/>
        <v>3.1119154507349335E-8</v>
      </c>
      <c r="O478" s="5">
        <f t="shared" si="70"/>
        <v>9.8193521566506022E-7</v>
      </c>
      <c r="P478" s="5">
        <f t="shared" si="71"/>
        <v>7.8694562982759075E-7</v>
      </c>
      <c r="Q478" s="1">
        <f t="shared" si="67"/>
        <v>1.8000000000000001E-6</v>
      </c>
    </row>
    <row r="479" spans="1:17" x14ac:dyDescent="0.25">
      <c r="A479" s="1">
        <v>23.85</v>
      </c>
      <c r="B479" s="1">
        <v>3.6270999999999998E-2</v>
      </c>
      <c r="C479" s="1">
        <v>4.7066E-3</v>
      </c>
      <c r="D479" s="1">
        <v>1.4520999999999999E-2</v>
      </c>
      <c r="E479" s="1">
        <v>4.1859E-2</v>
      </c>
      <c r="F479" s="1">
        <v>1.7608999999999999E-6</v>
      </c>
      <c r="G479" s="1">
        <v>6.9128999999999996</v>
      </c>
      <c r="H479" s="1">
        <v>1.2946E-7</v>
      </c>
      <c r="I479" s="1">
        <f t="shared" si="63"/>
        <v>1.2946E-7</v>
      </c>
      <c r="J479" s="4">
        <f t="shared" si="64"/>
        <v>-9.6230453884265496E-9</v>
      </c>
      <c r="K479" s="4">
        <f t="shared" si="65"/>
        <v>-1.9147736705468945E-8</v>
      </c>
      <c r="L479" s="4">
        <f t="shared" si="66"/>
        <v>-9.5227818469953585E-9</v>
      </c>
      <c r="M479" s="4">
        <f t="shared" si="68"/>
        <v>-1.0686446222088396E-8</v>
      </c>
      <c r="N479" s="5">
        <f t="shared" si="69"/>
        <v>3.1121063977396368E-8</v>
      </c>
      <c r="O479" s="5">
        <f t="shared" si="70"/>
        <v>9.830969705701063E-7</v>
      </c>
      <c r="P479" s="5">
        <f t="shared" si="71"/>
        <v>7.8578196545249778E-7</v>
      </c>
      <c r="Q479" s="1">
        <f t="shared" si="67"/>
        <v>1.8000000000000003E-6</v>
      </c>
    </row>
    <row r="480" spans="1:17" x14ac:dyDescent="0.25">
      <c r="A480" s="1">
        <v>23.9</v>
      </c>
      <c r="B480" s="1">
        <v>3.6206000000000002E-2</v>
      </c>
      <c r="C480" s="1">
        <v>4.7077000000000004E-3</v>
      </c>
      <c r="D480" s="1">
        <v>1.4552000000000001E-2</v>
      </c>
      <c r="E480" s="1">
        <v>4.1785999999999997E-2</v>
      </c>
      <c r="F480" s="1">
        <v>1.7631999999999999E-6</v>
      </c>
      <c r="G480" s="1">
        <v>6.9123999999999999</v>
      </c>
      <c r="H480" s="1">
        <v>1.2959000000000001E-7</v>
      </c>
      <c r="I480" s="1">
        <f t="shared" si="63"/>
        <v>1.2959000000000001E-7</v>
      </c>
      <c r="J480" s="4">
        <f t="shared" si="64"/>
        <v>-9.6499224515119717E-9</v>
      </c>
      <c r="K480" s="4">
        <f t="shared" si="65"/>
        <v>-1.9170390926115984E-8</v>
      </c>
      <c r="L480" s="4">
        <f t="shared" si="66"/>
        <v>-9.5197616626499767E-9</v>
      </c>
      <c r="M480" s="4">
        <f t="shared" si="68"/>
        <v>-1.068136999098483E-8</v>
      </c>
      <c r="N480" s="5">
        <f t="shared" si="69"/>
        <v>3.1121770789350406E-8</v>
      </c>
      <c r="O480" s="5">
        <f t="shared" si="70"/>
        <v>9.8425787208648684E-7</v>
      </c>
      <c r="P480" s="5">
        <f t="shared" si="71"/>
        <v>7.8462035712416287E-7</v>
      </c>
      <c r="Q480" s="1">
        <f t="shared" si="67"/>
        <v>1.8000000000000001E-6</v>
      </c>
    </row>
    <row r="481" spans="1:17" x14ac:dyDescent="0.25">
      <c r="A481" s="1">
        <v>23.95</v>
      </c>
      <c r="B481" s="1">
        <v>3.6141E-2</v>
      </c>
      <c r="C481" s="1">
        <v>4.7088E-3</v>
      </c>
      <c r="D481" s="1">
        <v>1.4584E-2</v>
      </c>
      <c r="E481" s="1">
        <v>4.1713E-2</v>
      </c>
      <c r="F481" s="1">
        <v>1.7656000000000001E-6</v>
      </c>
      <c r="G481" s="1">
        <v>6.9119999999999999</v>
      </c>
      <c r="H481" s="1">
        <v>1.2970999999999999E-7</v>
      </c>
      <c r="I481" s="1">
        <f t="shared" si="63"/>
        <v>1.2970999999999999E-7</v>
      </c>
      <c r="J481" s="4">
        <f t="shared" si="64"/>
        <v>-9.6753671510197311E-9</v>
      </c>
      <c r="K481" s="4">
        <f t="shared" si="65"/>
        <v>-1.9193028505686767E-8</v>
      </c>
      <c r="L481" s="4">
        <f t="shared" si="66"/>
        <v>-9.515788344237286E-9</v>
      </c>
      <c r="M481" s="4">
        <f t="shared" si="68"/>
        <v>-1.0676289968370781E-8</v>
      </c>
      <c r="N481" s="5">
        <f t="shared" si="69"/>
        <v>3.1123643799780152E-8</v>
      </c>
      <c r="O481" s="5">
        <f t="shared" si="70"/>
        <v>9.8541650070019073E-7</v>
      </c>
      <c r="P481" s="5">
        <f t="shared" si="71"/>
        <v>7.8345985550002944E-7</v>
      </c>
      <c r="Q481" s="1">
        <f t="shared" si="67"/>
        <v>1.8000000000000001E-6</v>
      </c>
    </row>
    <row r="482" spans="1:17" x14ac:dyDescent="0.25">
      <c r="A482" s="1">
        <v>24</v>
      </c>
      <c r="B482" s="1">
        <v>3.6075999999999997E-2</v>
      </c>
      <c r="C482" s="1">
        <v>4.7098000000000001E-3</v>
      </c>
      <c r="D482" s="1">
        <v>1.4616000000000001E-2</v>
      </c>
      <c r="E482" s="1">
        <v>4.1640000000000003E-2</v>
      </c>
      <c r="F482" s="1">
        <v>1.7679E-6</v>
      </c>
      <c r="G482" s="1">
        <v>6.9115000000000002</v>
      </c>
      <c r="H482" s="1">
        <v>1.2984E-7</v>
      </c>
      <c r="I482" s="1">
        <f t="shared" si="63"/>
        <v>1.2984E-7</v>
      </c>
      <c r="J482" s="4">
        <f t="shared" si="64"/>
        <v>-9.7023084338251214E-9</v>
      </c>
      <c r="K482" s="4">
        <f t="shared" si="65"/>
        <v>-1.9215621763653992E-8</v>
      </c>
      <c r="L482" s="4">
        <f t="shared" si="66"/>
        <v>-9.5126666603738749E-9</v>
      </c>
      <c r="M482" s="4">
        <f t="shared" si="68"/>
        <v>-1.0670370674975576E-8</v>
      </c>
      <c r="N482" s="5">
        <f t="shared" si="69"/>
        <v>3.1124290469235144E-8</v>
      </c>
      <c r="O482" s="5">
        <f t="shared" si="70"/>
        <v>9.8657355804533745E-7</v>
      </c>
      <c r="P482" s="5">
        <f t="shared" si="71"/>
        <v>7.8230215148542768E-7</v>
      </c>
      <c r="Q482" s="1">
        <f t="shared" si="67"/>
        <v>1.8000000000000001E-6</v>
      </c>
    </row>
    <row r="483" spans="1:17" x14ac:dyDescent="0.25">
      <c r="A483" s="1">
        <v>24.05</v>
      </c>
      <c r="B483" s="1">
        <v>3.6012000000000002E-2</v>
      </c>
      <c r="C483" s="1">
        <v>4.7108000000000002E-3</v>
      </c>
      <c r="D483" s="1">
        <v>1.4648E-2</v>
      </c>
      <c r="E483" s="1">
        <v>4.1567E-2</v>
      </c>
      <c r="F483" s="1">
        <v>1.7702E-6</v>
      </c>
      <c r="G483" s="1">
        <v>6.9109999999999996</v>
      </c>
      <c r="H483" s="1">
        <v>1.2996999999999999E-7</v>
      </c>
      <c r="I483" s="1">
        <f t="shared" si="63"/>
        <v>1.2996999999999999E-7</v>
      </c>
      <c r="J483" s="4">
        <f t="shared" si="64"/>
        <v>-9.727804889384085E-9</v>
      </c>
      <c r="K483" s="4">
        <f t="shared" si="65"/>
        <v>-1.9238184381884353E-8</v>
      </c>
      <c r="L483" s="4">
        <f t="shared" si="66"/>
        <v>-9.508586751031768E-9</v>
      </c>
      <c r="M483" s="4">
        <f t="shared" si="68"/>
        <v>-1.0665281691631285E-8</v>
      </c>
      <c r="N483" s="5">
        <f t="shared" si="69"/>
        <v>3.1126083210703648E-8</v>
      </c>
      <c r="O483" s="5">
        <f t="shared" si="70"/>
        <v>9.8772846024446852E-7</v>
      </c>
      <c r="P483" s="5">
        <f t="shared" si="71"/>
        <v>7.8114545654482817E-7</v>
      </c>
      <c r="Q483" s="1">
        <f t="shared" si="67"/>
        <v>1.8000000000000006E-6</v>
      </c>
    </row>
    <row r="484" spans="1:17" x14ac:dyDescent="0.25">
      <c r="A484" s="1">
        <v>24.1</v>
      </c>
      <c r="B484" s="1">
        <v>3.5947E-2</v>
      </c>
      <c r="C484" s="1">
        <v>4.7118000000000004E-3</v>
      </c>
      <c r="D484" s="1">
        <v>1.468E-2</v>
      </c>
      <c r="E484" s="1">
        <v>4.1494000000000003E-2</v>
      </c>
      <c r="F484" s="1">
        <v>1.7725E-6</v>
      </c>
      <c r="G484" s="1">
        <v>6.9104999999999999</v>
      </c>
      <c r="H484" s="1">
        <v>1.3009E-7</v>
      </c>
      <c r="I484" s="1">
        <f t="shared" si="63"/>
        <v>1.3009E-7</v>
      </c>
      <c r="J484" s="4">
        <f t="shared" si="64"/>
        <v>-9.7536944602771337E-9</v>
      </c>
      <c r="K484" s="4">
        <f t="shared" si="65"/>
        <v>-1.9260704974767409E-8</v>
      </c>
      <c r="L484" s="4">
        <f t="shared" si="66"/>
        <v>-9.5048132593261196E-9</v>
      </c>
      <c r="M484" s="4">
        <f t="shared" si="68"/>
        <v>-1.0660174873648939E-8</v>
      </c>
      <c r="N484" s="5">
        <f t="shared" si="69"/>
        <v>3.1128280465867806E-8</v>
      </c>
      <c r="O484" s="5">
        <f t="shared" si="70"/>
        <v>9.8888162460362724E-7</v>
      </c>
      <c r="P484" s="5">
        <f t="shared" si="71"/>
        <v>7.799900949305053E-7</v>
      </c>
      <c r="Q484" s="1">
        <f t="shared" si="67"/>
        <v>1.8000000000000003E-6</v>
      </c>
    </row>
    <row r="485" spans="1:17" x14ac:dyDescent="0.25">
      <c r="A485" s="1">
        <v>24.15</v>
      </c>
      <c r="B485" s="1">
        <v>3.5881999999999997E-2</v>
      </c>
      <c r="C485" s="1">
        <v>4.7127000000000002E-3</v>
      </c>
      <c r="D485" s="1">
        <v>1.4711999999999999E-2</v>
      </c>
      <c r="E485" s="1">
        <v>4.1420999999999999E-2</v>
      </c>
      <c r="F485" s="1">
        <v>1.7746999999999999E-6</v>
      </c>
      <c r="G485" s="1">
        <v>6.9100999999999999</v>
      </c>
      <c r="H485" s="1">
        <v>1.3022000000000001E-7</v>
      </c>
      <c r="I485" s="1">
        <f t="shared" si="63"/>
        <v>1.3022000000000001E-7</v>
      </c>
      <c r="J485" s="4">
        <f t="shared" si="64"/>
        <v>-9.7797469705387525E-9</v>
      </c>
      <c r="K485" s="4">
        <f t="shared" si="65"/>
        <v>-1.9283191679769635E-8</v>
      </c>
      <c r="L485" s="4">
        <f t="shared" si="66"/>
        <v>-9.5011193585414399E-9</v>
      </c>
      <c r="M485" s="4">
        <f t="shared" si="68"/>
        <v>-1.0654235702197885E-8</v>
      </c>
      <c r="N485" s="5">
        <f t="shared" si="69"/>
        <v>3.113060581655725E-8</v>
      </c>
      <c r="O485" s="5">
        <f t="shared" si="70"/>
        <v>9.9003241559659411E-7</v>
      </c>
      <c r="P485" s="5">
        <f t="shared" si="71"/>
        <v>7.7883697858684883E-7</v>
      </c>
      <c r="Q485" s="1">
        <f t="shared" si="67"/>
        <v>1.8000000000000001E-6</v>
      </c>
    </row>
    <row r="486" spans="1:17" x14ac:dyDescent="0.25">
      <c r="A486" s="1">
        <v>24.2</v>
      </c>
      <c r="B486" s="1">
        <v>3.5818000000000003E-2</v>
      </c>
      <c r="C486" s="1">
        <v>4.7136000000000001E-3</v>
      </c>
      <c r="D486" s="1">
        <v>1.4744E-2</v>
      </c>
      <c r="E486" s="1">
        <v>4.1348000000000003E-2</v>
      </c>
      <c r="F486" s="1">
        <v>1.7770000000000001E-6</v>
      </c>
      <c r="G486" s="1">
        <v>6.9096000000000002</v>
      </c>
      <c r="H486" s="1">
        <v>1.3035E-7</v>
      </c>
      <c r="I486" s="1">
        <f t="shared" si="63"/>
        <v>1.3035E-7</v>
      </c>
      <c r="J486" s="4">
        <f t="shared" si="64"/>
        <v>-9.8047713657351969E-9</v>
      </c>
      <c r="K486" s="4">
        <f t="shared" si="65"/>
        <v>-1.9305632104133859E-8</v>
      </c>
      <c r="L486" s="4">
        <f t="shared" si="66"/>
        <v>-9.4968854125851564E-9</v>
      </c>
      <c r="M486" s="4">
        <f t="shared" si="68"/>
        <v>-1.0649115891915994E-8</v>
      </c>
      <c r="N486" s="5">
        <f t="shared" si="69"/>
        <v>3.113458114237075E-8</v>
      </c>
      <c r="O486" s="5">
        <f t="shared" si="70"/>
        <v>9.9118067075011153E-7</v>
      </c>
      <c r="P486" s="5">
        <f t="shared" si="71"/>
        <v>7.7768474810751805E-7</v>
      </c>
      <c r="Q486" s="1">
        <f t="shared" si="67"/>
        <v>1.8000000000000003E-6</v>
      </c>
    </row>
    <row r="487" spans="1:17" x14ac:dyDescent="0.25">
      <c r="A487" s="1">
        <v>24.25</v>
      </c>
      <c r="B487" s="1">
        <v>3.5753E-2</v>
      </c>
      <c r="C487" s="1">
        <v>4.7144999999999999E-3</v>
      </c>
      <c r="D487" s="1">
        <v>1.4775999999999999E-2</v>
      </c>
      <c r="E487" s="1">
        <v>4.1276E-2</v>
      </c>
      <c r="F487" s="1">
        <v>1.7793000000000001E-6</v>
      </c>
      <c r="G487" s="1">
        <v>6.9090999999999996</v>
      </c>
      <c r="H487" s="1">
        <v>1.3047E-7</v>
      </c>
      <c r="I487" s="1">
        <f t="shared" si="63"/>
        <v>1.3047E-7</v>
      </c>
      <c r="J487" s="4">
        <f t="shared" si="64"/>
        <v>-9.8314569776118643E-9</v>
      </c>
      <c r="K487" s="4">
        <f t="shared" si="65"/>
        <v>-1.932802307962745E-8</v>
      </c>
      <c r="L487" s="4">
        <f t="shared" si="66"/>
        <v>-9.4936465667289019E-9</v>
      </c>
      <c r="M487" s="4">
        <f t="shared" si="68"/>
        <v>-1.0643976726160723E-8</v>
      </c>
      <c r="N487" s="5">
        <f t="shared" si="69"/>
        <v>3.113750067765743E-8</v>
      </c>
      <c r="O487" s="5">
        <f t="shared" si="70"/>
        <v>9.9232808137425655E-7</v>
      </c>
      <c r="P487" s="5">
        <f t="shared" si="71"/>
        <v>7.7653441794808622E-7</v>
      </c>
      <c r="Q487" s="1">
        <f t="shared" si="67"/>
        <v>1.8000000000000001E-6</v>
      </c>
    </row>
    <row r="488" spans="1:17" x14ac:dyDescent="0.25">
      <c r="A488" s="1">
        <v>24.3</v>
      </c>
      <c r="B488" s="1">
        <v>3.5688999999999999E-2</v>
      </c>
      <c r="C488" s="1">
        <v>4.7153000000000004E-3</v>
      </c>
      <c r="D488" s="1">
        <v>1.4807000000000001E-2</v>
      </c>
      <c r="E488" s="1">
        <v>4.1202999999999997E-2</v>
      </c>
      <c r="F488" s="1">
        <v>1.7815E-6</v>
      </c>
      <c r="G488" s="1">
        <v>6.9086999999999996</v>
      </c>
      <c r="H488" s="1">
        <v>1.3059999999999999E-7</v>
      </c>
      <c r="I488" s="1">
        <f t="shared" si="63"/>
        <v>1.3059999999999999E-7</v>
      </c>
      <c r="J488" s="4">
        <f t="shared" si="64"/>
        <v>-9.8578477752777808E-9</v>
      </c>
      <c r="K488" s="4">
        <f t="shared" si="65"/>
        <v>-1.9350397586798279E-8</v>
      </c>
      <c r="L488" s="4">
        <f t="shared" si="66"/>
        <v>-9.4902713303283188E-9</v>
      </c>
      <c r="M488" s="4">
        <f t="shared" si="68"/>
        <v>-1.0638016778517267E-8</v>
      </c>
      <c r="N488" s="5">
        <f t="shared" si="69"/>
        <v>3.1139779158849613E-8</v>
      </c>
      <c r="O488" s="5">
        <f t="shared" si="70"/>
        <v>9.9347354834125334E-7</v>
      </c>
      <c r="P488" s="5">
        <f t="shared" si="71"/>
        <v>7.753866724998972E-7</v>
      </c>
      <c r="Q488" s="1">
        <f t="shared" si="67"/>
        <v>1.8000000000000001E-6</v>
      </c>
    </row>
    <row r="489" spans="1:17" x14ac:dyDescent="0.25">
      <c r="A489" s="1">
        <v>24.35</v>
      </c>
      <c r="B489" s="1">
        <v>3.5624999999999997E-2</v>
      </c>
      <c r="C489" s="1">
        <v>4.7161E-3</v>
      </c>
      <c r="D489" s="1">
        <v>1.4839E-2</v>
      </c>
      <c r="E489" s="1">
        <v>4.113E-2</v>
      </c>
      <c r="F489" s="1">
        <v>1.7837E-6</v>
      </c>
      <c r="G489" s="1">
        <v>6.9081999999999999</v>
      </c>
      <c r="H489" s="1">
        <v>1.3072E-7</v>
      </c>
      <c r="I489" s="1">
        <f t="shared" si="63"/>
        <v>1.3072E-7</v>
      </c>
      <c r="J489" s="4">
        <f t="shared" si="64"/>
        <v>-9.8829632772111871E-9</v>
      </c>
      <c r="K489" s="4">
        <f t="shared" si="65"/>
        <v>-1.9372734192654714E-8</v>
      </c>
      <c r="L489" s="4">
        <f t="shared" si="66"/>
        <v>-9.4858944935749102E-9</v>
      </c>
      <c r="M489" s="4">
        <f t="shared" si="68"/>
        <v>-1.063287743999124E-8</v>
      </c>
      <c r="N489" s="5">
        <f t="shared" si="69"/>
        <v>3.1143655580718228E-8</v>
      </c>
      <c r="O489" s="5">
        <f t="shared" si="70"/>
        <v>9.9461665486580111E-7</v>
      </c>
      <c r="P489" s="5">
        <f t="shared" si="71"/>
        <v>7.7423968955348088E-7</v>
      </c>
      <c r="Q489" s="1">
        <f t="shared" si="67"/>
        <v>1.8000000000000001E-6</v>
      </c>
    </row>
    <row r="490" spans="1:17" x14ac:dyDescent="0.25">
      <c r="A490" s="1">
        <v>24.4</v>
      </c>
      <c r="B490" s="1">
        <v>3.5561000000000002E-2</v>
      </c>
      <c r="C490" s="1">
        <v>4.7169000000000004E-3</v>
      </c>
      <c r="D490" s="1">
        <v>1.4871000000000001E-2</v>
      </c>
      <c r="E490" s="1">
        <v>4.1057999999999997E-2</v>
      </c>
      <c r="F490" s="1">
        <v>1.7858999999999999E-6</v>
      </c>
      <c r="G490" s="1">
        <v>6.9077000000000002</v>
      </c>
      <c r="H490" s="1">
        <v>1.3085000000000001E-7</v>
      </c>
      <c r="I490" s="1">
        <f t="shared" si="63"/>
        <v>1.3085000000000001E-7</v>
      </c>
      <c r="J490" s="4">
        <f t="shared" si="64"/>
        <v>-9.9086208929896124E-9</v>
      </c>
      <c r="K490" s="4">
        <f t="shared" si="65"/>
        <v>-1.939502476988202E-8</v>
      </c>
      <c r="L490" s="4">
        <f t="shared" si="66"/>
        <v>-9.4819619101527747E-9</v>
      </c>
      <c r="M490" s="4">
        <f t="shared" si="68"/>
        <v>-1.0626904282934654E-8</v>
      </c>
      <c r="N490" s="5">
        <f t="shared" si="69"/>
        <v>3.1148097547457865E-8</v>
      </c>
      <c r="O490" s="5">
        <f t="shared" si="70"/>
        <v>9.9575715527184333E-7</v>
      </c>
      <c r="P490" s="5">
        <f t="shared" si="71"/>
        <v>7.7309474718069898E-7</v>
      </c>
      <c r="Q490" s="1">
        <f t="shared" si="67"/>
        <v>1.8000000000000001E-6</v>
      </c>
    </row>
    <row r="491" spans="1:17" x14ac:dyDescent="0.25">
      <c r="A491" s="1">
        <v>24.45</v>
      </c>
      <c r="B491" s="1">
        <v>3.5496E-2</v>
      </c>
      <c r="C491" s="1">
        <v>4.7175999999999997E-3</v>
      </c>
      <c r="D491" s="1">
        <v>1.4903E-2</v>
      </c>
      <c r="E491" s="1">
        <v>4.0986000000000002E-2</v>
      </c>
      <c r="F491" s="1">
        <v>1.7881000000000001E-6</v>
      </c>
      <c r="G491" s="1">
        <v>6.9073000000000002</v>
      </c>
      <c r="H491" s="1">
        <v>1.3096999999999999E-7</v>
      </c>
      <c r="I491" s="1">
        <f t="shared" si="63"/>
        <v>1.3096999999999999E-7</v>
      </c>
      <c r="J491" s="4">
        <f t="shared" si="64"/>
        <v>-9.9344951175529319E-9</v>
      </c>
      <c r="K491" s="4">
        <f t="shared" si="65"/>
        <v>-1.941726452780122E-8</v>
      </c>
      <c r="L491" s="4">
        <f t="shared" si="66"/>
        <v>-9.4783894799620714E-9</v>
      </c>
      <c r="M491" s="4">
        <f t="shared" si="68"/>
        <v>-1.062174200520257E-8</v>
      </c>
      <c r="N491" s="5">
        <f t="shared" si="69"/>
        <v>3.1152477477744089E-8</v>
      </c>
      <c r="O491" s="5">
        <f t="shared" si="70"/>
        <v>9.9689612786679758E-7</v>
      </c>
      <c r="P491" s="5">
        <f t="shared" si="71"/>
        <v>7.719513946554585E-7</v>
      </c>
      <c r="Q491" s="1">
        <f t="shared" si="67"/>
        <v>1.8000000000000001E-6</v>
      </c>
    </row>
    <row r="492" spans="1:17" x14ac:dyDescent="0.25">
      <c r="A492" s="1">
        <v>24.5</v>
      </c>
      <c r="B492" s="1">
        <v>3.5431999999999998E-2</v>
      </c>
      <c r="C492" s="1">
        <v>4.7182999999999999E-3</v>
      </c>
      <c r="D492" s="1">
        <v>1.4933999999999999E-2</v>
      </c>
      <c r="E492" s="1">
        <v>4.0912999999999998E-2</v>
      </c>
      <c r="F492" s="1">
        <v>1.7903E-6</v>
      </c>
      <c r="G492" s="1">
        <v>6.9067999999999996</v>
      </c>
      <c r="H492" s="1">
        <v>1.311E-7</v>
      </c>
      <c r="I492" s="1">
        <f t="shared" si="63"/>
        <v>1.311E-7</v>
      </c>
      <c r="J492" s="4">
        <f t="shared" si="64"/>
        <v>-9.9603866395081333E-9</v>
      </c>
      <c r="K492" s="4">
        <f t="shared" si="65"/>
        <v>-1.9439474493402831E-8</v>
      </c>
      <c r="L492" s="4">
        <f t="shared" si="66"/>
        <v>-9.4747558204158238E-9</v>
      </c>
      <c r="M492" s="4">
        <f t="shared" si="68"/>
        <v>-1.0615759786592817E-8</v>
      </c>
      <c r="N492" s="5">
        <f t="shared" si="69"/>
        <v>3.1156809511222958E-8</v>
      </c>
      <c r="O492" s="5">
        <f t="shared" si="70"/>
        <v>9.9803279979949564E-7</v>
      </c>
      <c r="P492" s="5">
        <f t="shared" si="71"/>
        <v>7.7081039068928152E-7</v>
      </c>
      <c r="Q492" s="1">
        <f t="shared" si="67"/>
        <v>1.8000000000000001E-6</v>
      </c>
    </row>
    <row r="493" spans="1:17" x14ac:dyDescent="0.25">
      <c r="A493" s="1">
        <v>24.55</v>
      </c>
      <c r="B493" s="1">
        <v>3.5368999999999998E-2</v>
      </c>
      <c r="C493" s="1">
        <v>4.7188999999999998E-3</v>
      </c>
      <c r="D493" s="1">
        <v>1.4966E-2</v>
      </c>
      <c r="E493" s="1">
        <v>4.0841000000000002E-2</v>
      </c>
      <c r="F493" s="1">
        <v>1.7924E-6</v>
      </c>
      <c r="G493" s="1">
        <v>6.9062999999999999</v>
      </c>
      <c r="H493" s="1">
        <v>1.3122999999999999E-7</v>
      </c>
      <c r="I493" s="1">
        <f t="shared" si="63"/>
        <v>1.3122999999999999E-7</v>
      </c>
      <c r="J493" s="4">
        <f t="shared" si="64"/>
        <v>-9.98629985724388E-9</v>
      </c>
      <c r="K493" s="4">
        <f t="shared" si="65"/>
        <v>-1.9461639596090443E-8</v>
      </c>
      <c r="L493" s="4">
        <f t="shared" si="66"/>
        <v>-9.4708337549382137E-9</v>
      </c>
      <c r="M493" s="4">
        <f t="shared" si="68"/>
        <v>-1.0610590433033456E-8</v>
      </c>
      <c r="N493" s="5">
        <f t="shared" si="69"/>
        <v>3.1161315495131311E-8</v>
      </c>
      <c r="O493" s="5">
        <f t="shared" si="70"/>
        <v>9.9916805049368261E-7</v>
      </c>
      <c r="P493" s="5">
        <f t="shared" si="71"/>
        <v>7.6967063401118624E-7</v>
      </c>
      <c r="Q493" s="1">
        <f t="shared" si="67"/>
        <v>1.8000000000000001E-6</v>
      </c>
    </row>
    <row r="494" spans="1:17" x14ac:dyDescent="0.25">
      <c r="A494" s="1">
        <v>24.6</v>
      </c>
      <c r="B494" s="1">
        <v>3.5305000000000003E-2</v>
      </c>
      <c r="C494" s="1">
        <v>4.7196E-3</v>
      </c>
      <c r="D494" s="1">
        <v>1.4997999999999999E-2</v>
      </c>
      <c r="E494" s="1">
        <v>4.0769E-2</v>
      </c>
      <c r="F494" s="1">
        <v>1.7945999999999999E-6</v>
      </c>
      <c r="G494" s="1">
        <v>6.9058999999999999</v>
      </c>
      <c r="H494" s="1">
        <v>1.3134999999999999E-7</v>
      </c>
      <c r="I494" s="1">
        <f t="shared" si="63"/>
        <v>1.3134999999999999E-7</v>
      </c>
      <c r="J494" s="4">
        <f t="shared" si="64"/>
        <v>-1.0011188848986308E-8</v>
      </c>
      <c r="K494" s="4">
        <f t="shared" si="65"/>
        <v>-1.9483776984627089E-8</v>
      </c>
      <c r="L494" s="4">
        <f t="shared" si="66"/>
        <v>-9.4666251935562193E-9</v>
      </c>
      <c r="M494" s="4">
        <f t="shared" si="68"/>
        <v>-1.0605407116635388E-8</v>
      </c>
      <c r="N494" s="5">
        <f t="shared" si="69"/>
        <v>3.1167278437215875E-8</v>
      </c>
      <c r="O494" s="5">
        <f t="shared" si="70"/>
        <v>1.0003008694746771E-6</v>
      </c>
      <c r="P494" s="5">
        <f t="shared" si="71"/>
        <v>7.6853185208810716E-7</v>
      </c>
      <c r="Q494" s="1">
        <f t="shared" si="67"/>
        <v>1.8000000000000001E-6</v>
      </c>
    </row>
    <row r="495" spans="1:17" x14ac:dyDescent="0.25">
      <c r="A495" s="1">
        <v>24.65</v>
      </c>
      <c r="B495" s="1">
        <v>3.5241000000000001E-2</v>
      </c>
      <c r="C495" s="1">
        <v>4.7201999999999999E-3</v>
      </c>
      <c r="D495" s="1">
        <v>1.5029000000000001E-2</v>
      </c>
      <c r="E495" s="1">
        <v>4.0696999999999997E-2</v>
      </c>
      <c r="F495" s="1">
        <v>1.7967000000000001E-6</v>
      </c>
      <c r="G495" s="1">
        <v>6.9054000000000002</v>
      </c>
      <c r="H495" s="1">
        <v>1.3148000000000001E-7</v>
      </c>
      <c r="I495" s="1">
        <f t="shared" si="63"/>
        <v>1.3148000000000001E-7</v>
      </c>
      <c r="J495" s="4">
        <f t="shared" si="64"/>
        <v>-1.0037699908159348E-8</v>
      </c>
      <c r="K495" s="4">
        <f t="shared" si="65"/>
        <v>-1.9505866954755093E-8</v>
      </c>
      <c r="L495" s="4">
        <f t="shared" si="66"/>
        <v>-9.4633455831737214E-9</v>
      </c>
      <c r="M495" s="4">
        <f t="shared" si="68"/>
        <v>-1.0599399171035549E-8</v>
      </c>
      <c r="N495" s="5">
        <f t="shared" si="69"/>
        <v>3.1172099900637902E-8</v>
      </c>
      <c r="O495" s="5">
        <f t="shared" si="70"/>
        <v>1.0014321015991169E-6</v>
      </c>
      <c r="P495" s="5">
        <f t="shared" si="71"/>
        <v>7.6739579850024533E-7</v>
      </c>
      <c r="Q495" s="1">
        <f t="shared" si="67"/>
        <v>1.8000000000000001E-6</v>
      </c>
    </row>
    <row r="496" spans="1:17" x14ac:dyDescent="0.25">
      <c r="A496" s="1">
        <v>24.7</v>
      </c>
      <c r="B496" s="1">
        <v>3.5177E-2</v>
      </c>
      <c r="C496" s="1">
        <v>4.7207000000000004E-3</v>
      </c>
      <c r="D496" s="1">
        <v>1.5061E-2</v>
      </c>
      <c r="E496" s="1">
        <v>4.0624E-2</v>
      </c>
      <c r="F496" s="1">
        <v>1.7988E-6</v>
      </c>
      <c r="G496" s="1">
        <v>6.9050000000000002</v>
      </c>
      <c r="H496" s="1">
        <v>1.3159999999999999E-7</v>
      </c>
      <c r="I496" s="1">
        <f t="shared" si="63"/>
        <v>1.3159999999999999E-7</v>
      </c>
      <c r="J496" s="4">
        <f t="shared" si="64"/>
        <v>-1.0062761859541659E-8</v>
      </c>
      <c r="K496" s="4">
        <f t="shared" si="65"/>
        <v>-1.9527925981183058E-8</v>
      </c>
      <c r="L496" s="4">
        <f t="shared" si="66"/>
        <v>-9.4591501669768576E-9</v>
      </c>
      <c r="M496" s="4">
        <f t="shared" si="68"/>
        <v>-1.0594205956615439E-8</v>
      </c>
      <c r="N496" s="5">
        <f t="shared" si="69"/>
        <v>3.117811385530244E-8</v>
      </c>
      <c r="O496" s="5">
        <f t="shared" si="70"/>
        <v>1.0025611434340912E-6</v>
      </c>
      <c r="P496" s="5">
        <f t="shared" si="71"/>
        <v>7.6626074271060683E-7</v>
      </c>
      <c r="Q496" s="1">
        <f t="shared" si="67"/>
        <v>1.8000000000000006E-6</v>
      </c>
    </row>
    <row r="497" spans="1:17" x14ac:dyDescent="0.25">
      <c r="A497" s="1">
        <v>24.75</v>
      </c>
      <c r="B497" s="1">
        <v>3.5113999999999999E-2</v>
      </c>
      <c r="C497" s="1">
        <v>4.7212E-3</v>
      </c>
      <c r="D497" s="1">
        <v>1.5092E-2</v>
      </c>
      <c r="E497" s="1">
        <v>4.0551999999999998E-2</v>
      </c>
      <c r="F497" s="1">
        <v>1.8009E-6</v>
      </c>
      <c r="G497" s="1">
        <v>6.9044999999999996</v>
      </c>
      <c r="H497" s="1">
        <v>1.3173E-7</v>
      </c>
      <c r="I497" s="1">
        <f t="shared" si="63"/>
        <v>1.3173E-7</v>
      </c>
      <c r="J497" s="4">
        <f t="shared" si="64"/>
        <v>-1.0088244433581039E-8</v>
      </c>
      <c r="K497" s="4">
        <f t="shared" si="65"/>
        <v>-1.9549942296965057E-8</v>
      </c>
      <c r="L497" s="4">
        <f t="shared" si="66"/>
        <v>-9.4550427716236019E-9</v>
      </c>
      <c r="M497" s="4">
        <f t="shared" si="68"/>
        <v>-1.0588190942775316E-8</v>
      </c>
      <c r="N497" s="5">
        <f t="shared" si="69"/>
        <v>3.118476894706285E-8</v>
      </c>
      <c r="O497" s="5">
        <f t="shared" si="70"/>
        <v>1.0036876365134824E-6</v>
      </c>
      <c r="P497" s="5">
        <f t="shared" si="71"/>
        <v>7.6512759453945509E-7</v>
      </c>
      <c r="Q497" s="1">
        <f t="shared" si="67"/>
        <v>1.8000000000000006E-6</v>
      </c>
    </row>
    <row r="498" spans="1:17" x14ac:dyDescent="0.25">
      <c r="A498" s="1">
        <v>24.8</v>
      </c>
      <c r="B498" s="1">
        <v>3.5049999999999998E-2</v>
      </c>
      <c r="C498" s="1">
        <v>4.7216999999999997E-3</v>
      </c>
      <c r="D498" s="1">
        <v>1.5124E-2</v>
      </c>
      <c r="E498" s="1">
        <v>4.0481000000000003E-2</v>
      </c>
      <c r="F498" s="1">
        <v>1.8029999999999999E-6</v>
      </c>
      <c r="G498" s="1">
        <v>6.9039999999999999</v>
      </c>
      <c r="H498" s="1">
        <v>1.3185000000000001E-7</v>
      </c>
      <c r="I498" s="1">
        <f t="shared" si="63"/>
        <v>1.3185000000000001E-7</v>
      </c>
      <c r="J498" s="4">
        <f t="shared" si="64"/>
        <v>-1.0113971529953641E-8</v>
      </c>
      <c r="K498" s="4">
        <f t="shared" si="65"/>
        <v>-1.9571908912013188E-8</v>
      </c>
      <c r="L498" s="4">
        <f t="shared" si="66"/>
        <v>-9.4513207837921166E-9</v>
      </c>
      <c r="M498" s="4">
        <f t="shared" si="68"/>
        <v>-1.0582977093011805E-8</v>
      </c>
      <c r="N498" s="5">
        <f t="shared" si="69"/>
        <v>3.1191385545330278E-8</v>
      </c>
      <c r="O498" s="5">
        <f t="shared" si="70"/>
        <v>1.0048126762244346E-6</v>
      </c>
      <c r="P498" s="5">
        <f t="shared" si="71"/>
        <v>7.6399593823023541E-7</v>
      </c>
      <c r="Q498" s="1">
        <f t="shared" si="67"/>
        <v>1.8000000000000001E-6</v>
      </c>
    </row>
    <row r="499" spans="1:17" x14ac:dyDescent="0.25">
      <c r="A499" s="1">
        <v>24.85</v>
      </c>
      <c r="B499" s="1">
        <v>3.4986999999999997E-2</v>
      </c>
      <c r="C499" s="1">
        <v>4.7222000000000002E-3</v>
      </c>
      <c r="D499" s="1">
        <v>1.5155E-2</v>
      </c>
      <c r="E499" s="1">
        <v>4.0409E-2</v>
      </c>
      <c r="F499" s="1">
        <v>1.8051000000000001E-6</v>
      </c>
      <c r="G499" s="1">
        <v>6.9036</v>
      </c>
      <c r="H499" s="1">
        <v>1.3197999999999999E-7</v>
      </c>
      <c r="I499" s="1">
        <f t="shared" si="63"/>
        <v>1.3197999999999999E-7</v>
      </c>
      <c r="J499" s="4">
        <f t="shared" si="64"/>
        <v>-1.0139723685323101E-8</v>
      </c>
      <c r="K499" s="4">
        <f t="shared" si="65"/>
        <v>-1.9593847186376756E-8</v>
      </c>
      <c r="L499" s="4">
        <f t="shared" si="66"/>
        <v>-9.447778930660525E-9</v>
      </c>
      <c r="M499" s="4">
        <f t="shared" si="68"/>
        <v>-1.0576950767844087E-8</v>
      </c>
      <c r="N499" s="5">
        <f t="shared" si="69"/>
        <v>3.1197730115723407E-8</v>
      </c>
      <c r="O499" s="5">
        <f t="shared" si="70"/>
        <v>1.005935503491225E-6</v>
      </c>
      <c r="P499" s="5">
        <f t="shared" si="71"/>
        <v>7.6286676639305184E-7</v>
      </c>
      <c r="Q499" s="1">
        <f t="shared" si="67"/>
        <v>1.8000000000000001E-6</v>
      </c>
    </row>
    <row r="500" spans="1:17" x14ac:dyDescent="0.25">
      <c r="A500" s="1">
        <v>24.9</v>
      </c>
      <c r="B500" s="1">
        <v>3.4923000000000003E-2</v>
      </c>
      <c r="C500" s="1">
        <v>4.7226000000000004E-3</v>
      </c>
      <c r="D500" s="1">
        <v>1.5187000000000001E-2</v>
      </c>
      <c r="E500" s="1">
        <v>4.0336999999999998E-2</v>
      </c>
      <c r="F500" s="1">
        <v>1.8072E-6</v>
      </c>
      <c r="G500" s="1">
        <v>6.9031000000000002</v>
      </c>
      <c r="H500" s="1">
        <v>1.321E-7</v>
      </c>
      <c r="I500" s="1">
        <f t="shared" si="63"/>
        <v>1.321E-7</v>
      </c>
      <c r="J500" s="4">
        <f t="shared" si="64"/>
        <v>-1.0165424735282307E-8</v>
      </c>
      <c r="K500" s="4">
        <f t="shared" si="65"/>
        <v>-1.9615742318077775E-8</v>
      </c>
      <c r="L500" s="4">
        <f t="shared" si="66"/>
        <v>-9.4438800605578329E-9</v>
      </c>
      <c r="M500" s="4">
        <f t="shared" si="68"/>
        <v>-1.0571731361997672E-8</v>
      </c>
      <c r="N500" s="5">
        <f t="shared" si="69"/>
        <v>3.1204167637961039E-8</v>
      </c>
      <c r="O500" s="5">
        <f t="shared" si="70"/>
        <v>1.0070569172704273E-6</v>
      </c>
      <c r="P500" s="5">
        <f t="shared" si="71"/>
        <v>7.6173891509161209E-7</v>
      </c>
      <c r="Q500" s="1">
        <f t="shared" si="67"/>
        <v>1.8000000000000006E-6</v>
      </c>
    </row>
    <row r="501" spans="1:17" x14ac:dyDescent="0.25">
      <c r="A501" s="1">
        <v>24.95</v>
      </c>
      <c r="B501" s="1">
        <v>3.4860000000000002E-2</v>
      </c>
      <c r="C501" s="1">
        <v>4.7229999999999998E-3</v>
      </c>
      <c r="D501" s="1">
        <v>1.5218000000000001E-2</v>
      </c>
      <c r="E501" s="1">
        <v>4.0265000000000002E-2</v>
      </c>
      <c r="F501" s="1">
        <v>1.8092E-6</v>
      </c>
      <c r="G501" s="1">
        <v>6.9027000000000003</v>
      </c>
      <c r="H501" s="1">
        <v>1.3222E-7</v>
      </c>
      <c r="I501" s="1">
        <f t="shared" si="63"/>
        <v>1.3222E-7</v>
      </c>
      <c r="J501" s="4">
        <f t="shared" si="64"/>
        <v>-1.0191193279622153E-8</v>
      </c>
      <c r="K501" s="4">
        <f t="shared" si="65"/>
        <v>-1.963760988677361E-8</v>
      </c>
      <c r="L501" s="4">
        <f t="shared" si="66"/>
        <v>-9.4399677831921914E-9</v>
      </c>
      <c r="M501" s="4">
        <f t="shared" si="68"/>
        <v>-1.0565699621778356E-8</v>
      </c>
      <c r="N501" s="5">
        <f t="shared" si="69"/>
        <v>3.121061646192031E-8</v>
      </c>
      <c r="O501" s="5">
        <f t="shared" si="70"/>
        <v>1.0081762002850543E-6</v>
      </c>
      <c r="P501" s="5">
        <f t="shared" si="71"/>
        <v>7.6061318325302593E-7</v>
      </c>
      <c r="Q501" s="1">
        <f t="shared" si="67"/>
        <v>1.8000000000000006E-6</v>
      </c>
    </row>
    <row r="502" spans="1:17" x14ac:dyDescent="0.25">
      <c r="A502" s="1">
        <v>25</v>
      </c>
      <c r="B502" s="1">
        <v>3.4797000000000002E-2</v>
      </c>
      <c r="C502" s="1">
        <v>4.7234E-3</v>
      </c>
      <c r="D502" s="1">
        <v>1.525E-2</v>
      </c>
      <c r="E502" s="1">
        <v>4.0193E-2</v>
      </c>
      <c r="F502" s="1">
        <v>1.8112999999999999E-6</v>
      </c>
      <c r="G502" s="1">
        <v>6.9021999999999997</v>
      </c>
      <c r="H502" s="1">
        <v>1.3234999999999999E-7</v>
      </c>
      <c r="I502" s="1">
        <f t="shared" si="63"/>
        <v>1.3234999999999999E-7</v>
      </c>
      <c r="J502" s="4">
        <f t="shared" si="64"/>
        <v>-1.0215873462041939E-8</v>
      </c>
      <c r="K502" s="4">
        <f t="shared" si="65"/>
        <v>-1.9659435905558842E-8</v>
      </c>
      <c r="L502" s="4">
        <f t="shared" si="66"/>
        <v>-9.4354958077539388E-9</v>
      </c>
      <c r="M502" s="4">
        <f t="shared" si="68"/>
        <v>-1.0559668884420235E-8</v>
      </c>
      <c r="N502" s="5">
        <f t="shared" si="69"/>
        <v>3.1218683097683272E-8</v>
      </c>
      <c r="O502" s="5">
        <f t="shared" si="70"/>
        <v>1.0092923067259577E-6</v>
      </c>
      <c r="P502" s="5">
        <f t="shared" si="71"/>
        <v>7.5948901017635961E-7</v>
      </c>
      <c r="Q502" s="1">
        <f t="shared" si="67"/>
        <v>1.8000000000000006E-6</v>
      </c>
    </row>
    <row r="503" spans="1:17" x14ac:dyDescent="0.25">
      <c r="A503" s="1">
        <v>25.05</v>
      </c>
      <c r="B503" s="1">
        <v>3.4734000000000001E-2</v>
      </c>
      <c r="C503" s="1">
        <v>4.7236999999999999E-3</v>
      </c>
      <c r="D503" s="1">
        <v>1.5280999999999999E-2</v>
      </c>
      <c r="E503" s="1">
        <v>4.0121999999999998E-2</v>
      </c>
      <c r="F503" s="1">
        <v>1.8133000000000001E-6</v>
      </c>
      <c r="G503" s="1">
        <v>6.9017999999999997</v>
      </c>
      <c r="H503" s="1">
        <v>1.3246999999999999E-7</v>
      </c>
      <c r="I503" s="1">
        <f t="shared" si="63"/>
        <v>1.3246999999999999E-7</v>
      </c>
      <c r="J503" s="4">
        <f t="shared" si="64"/>
        <v>-1.0242249557855375E-8</v>
      </c>
      <c r="K503" s="4">
        <f t="shared" si="65"/>
        <v>-1.9681199981156455E-8</v>
      </c>
      <c r="L503" s="4">
        <f t="shared" si="66"/>
        <v>-9.4319933549790566E-9</v>
      </c>
      <c r="M503" s="4">
        <f t="shared" si="68"/>
        <v>-1.0554428902168475E-8</v>
      </c>
      <c r="N503" s="5">
        <f t="shared" si="69"/>
        <v>3.1225640166005298E-8</v>
      </c>
      <c r="O503" s="5">
        <f t="shared" si="70"/>
        <v>1.0104077852048251E-6</v>
      </c>
      <c r="P503" s="5">
        <f t="shared" si="71"/>
        <v>7.5836657462917024E-7</v>
      </c>
      <c r="Q503" s="1">
        <f t="shared" si="67"/>
        <v>1.8000000000000008E-6</v>
      </c>
    </row>
    <row r="504" spans="1:17" x14ac:dyDescent="0.25">
      <c r="A504" s="1">
        <v>25.1</v>
      </c>
      <c r="B504" s="1">
        <v>3.4669999999999999E-2</v>
      </c>
      <c r="C504" s="1">
        <v>4.7239999999999999E-3</v>
      </c>
      <c r="D504" s="1">
        <v>1.5313E-2</v>
      </c>
      <c r="E504" s="1">
        <v>4.0050000000000002E-2</v>
      </c>
      <c r="F504" s="1">
        <v>1.8153E-6</v>
      </c>
      <c r="G504" s="1">
        <v>6.9013</v>
      </c>
      <c r="H504" s="1">
        <v>1.3260000000000001E-7</v>
      </c>
      <c r="I504" s="1">
        <f t="shared" si="63"/>
        <v>1.3260000000000001E-7</v>
      </c>
      <c r="J504" s="4">
        <f t="shared" si="64"/>
        <v>-1.0267168129249592E-8</v>
      </c>
      <c r="K504" s="4">
        <f t="shared" si="65"/>
        <v>-1.9702951811494368E-8</v>
      </c>
      <c r="L504" s="4">
        <f t="shared" si="66"/>
        <v>-9.4278286917734044E-9</v>
      </c>
      <c r="M504" s="4">
        <f t="shared" si="68"/>
        <v>-1.0548386114818398E-8</v>
      </c>
      <c r="N504" s="5">
        <f t="shared" si="69"/>
        <v>3.1233595156476671E-8</v>
      </c>
      <c r="O504" s="5">
        <f t="shared" si="70"/>
        <v>1.0115203876373988E-6</v>
      </c>
      <c r="P504" s="5">
        <f t="shared" si="71"/>
        <v>7.5724601720612524E-7</v>
      </c>
      <c r="Q504" s="1">
        <f t="shared" si="67"/>
        <v>1.8000000000000006E-6</v>
      </c>
    </row>
    <row r="505" spans="1:17" x14ac:dyDescent="0.25">
      <c r="A505" s="1">
        <v>25.15</v>
      </c>
      <c r="B505" s="1">
        <v>3.4606999999999999E-2</v>
      </c>
      <c r="C505" s="1">
        <v>4.7241999999999996E-3</v>
      </c>
      <c r="D505" s="1">
        <v>1.5344E-2</v>
      </c>
      <c r="E505" s="1">
        <v>3.9979000000000001E-2</v>
      </c>
      <c r="F505" s="1">
        <v>1.8172999999999999E-6</v>
      </c>
      <c r="G505" s="1">
        <v>6.9009</v>
      </c>
      <c r="H505" s="1">
        <v>1.3272000000000001E-7</v>
      </c>
      <c r="I505" s="1">
        <f t="shared" si="63"/>
        <v>1.3272000000000001E-7</v>
      </c>
      <c r="J505" s="4">
        <f t="shared" si="64"/>
        <v>-1.0292450620048747E-8</v>
      </c>
      <c r="K505" s="4">
        <f t="shared" si="65"/>
        <v>-1.9724647558928156E-8</v>
      </c>
      <c r="L505" s="4">
        <f t="shared" si="66"/>
        <v>-9.4236902243802811E-9</v>
      </c>
      <c r="M505" s="4">
        <f t="shared" si="68"/>
        <v>-1.0543136297560283E-8</v>
      </c>
      <c r="N505" s="5">
        <f t="shared" si="69"/>
        <v>3.1242101870975808E-8</v>
      </c>
      <c r="O505" s="5">
        <f t="shared" si="70"/>
        <v>1.0126313269960796E-6</v>
      </c>
      <c r="P505" s="5">
        <f t="shared" si="71"/>
        <v>7.561265711329453E-7</v>
      </c>
      <c r="Q505" s="1">
        <f t="shared" si="67"/>
        <v>1.8000000000000006E-6</v>
      </c>
    </row>
    <row r="506" spans="1:17" x14ac:dyDescent="0.25">
      <c r="A506" s="1">
        <v>25.2</v>
      </c>
      <c r="B506" s="1">
        <v>3.4544999999999999E-2</v>
      </c>
      <c r="C506" s="1">
        <v>4.7245000000000004E-3</v>
      </c>
      <c r="D506" s="1">
        <v>1.5375E-2</v>
      </c>
      <c r="E506" s="1">
        <v>3.9907999999999999E-2</v>
      </c>
      <c r="F506" s="1">
        <v>1.8193000000000001E-6</v>
      </c>
      <c r="G506" s="1">
        <v>6.9004000000000003</v>
      </c>
      <c r="H506" s="1">
        <v>1.3285E-7</v>
      </c>
      <c r="I506" s="1">
        <f t="shared" si="63"/>
        <v>1.3285E-7</v>
      </c>
      <c r="J506" s="4">
        <f t="shared" si="64"/>
        <v>-1.0317951861515642E-8</v>
      </c>
      <c r="K506" s="4">
        <f t="shared" si="65"/>
        <v>-1.9746310876423832E-8</v>
      </c>
      <c r="L506" s="4">
        <f t="shared" si="66"/>
        <v>-9.4199130551194942E-9</v>
      </c>
      <c r="M506" s="4">
        <f t="shared" si="68"/>
        <v>-1.0537077444680422E-8</v>
      </c>
      <c r="N506" s="5">
        <f t="shared" si="69"/>
        <v>3.1250547830764506E-8</v>
      </c>
      <c r="O506" s="5">
        <f t="shared" si="70"/>
        <v>1.013740045425852E-6</v>
      </c>
      <c r="P506" s="5">
        <f t="shared" si="71"/>
        <v>7.5500940674338438E-7</v>
      </c>
      <c r="Q506" s="1">
        <f t="shared" si="67"/>
        <v>1.800000000000001E-6</v>
      </c>
    </row>
    <row r="507" spans="1:17" x14ac:dyDescent="0.25">
      <c r="A507" s="1">
        <v>25.25</v>
      </c>
      <c r="B507" s="1">
        <v>3.4481999999999999E-2</v>
      </c>
      <c r="C507" s="1">
        <v>4.7247000000000001E-3</v>
      </c>
      <c r="D507" s="1">
        <v>1.5407000000000001E-2</v>
      </c>
      <c r="E507" s="1">
        <v>3.9836000000000003E-2</v>
      </c>
      <c r="F507" s="1">
        <v>1.8212E-6</v>
      </c>
      <c r="G507" s="1">
        <v>6.9</v>
      </c>
      <c r="H507" s="1">
        <v>1.3297000000000001E-7</v>
      </c>
      <c r="I507" s="1">
        <f t="shared" si="63"/>
        <v>1.3297000000000001E-7</v>
      </c>
      <c r="J507" s="4">
        <f t="shared" si="64"/>
        <v>-1.0343470355152148E-8</v>
      </c>
      <c r="K507" s="4">
        <f t="shared" si="65"/>
        <v>-1.9767930885804394E-8</v>
      </c>
      <c r="L507" s="4">
        <f t="shared" si="66"/>
        <v>-9.4160772933197353E-9</v>
      </c>
      <c r="M507" s="4">
        <f t="shared" si="68"/>
        <v>-1.0531814967015305E-8</v>
      </c>
      <c r="N507" s="5">
        <f t="shared" si="69"/>
        <v>3.1258931068097019E-8</v>
      </c>
      <c r="O507" s="5">
        <f t="shared" si="70"/>
        <v>1.0148473998622151E-6</v>
      </c>
      <c r="P507" s="5">
        <f t="shared" si="71"/>
        <v>7.5389366906968879E-7</v>
      </c>
      <c r="Q507" s="1">
        <f t="shared" si="67"/>
        <v>1.800000000000001E-6</v>
      </c>
    </row>
    <row r="508" spans="1:17" x14ac:dyDescent="0.25">
      <c r="A508" s="1">
        <v>25.3</v>
      </c>
      <c r="B508" s="1">
        <v>3.4418999999999998E-2</v>
      </c>
      <c r="C508" s="1">
        <v>4.7248000000000004E-3</v>
      </c>
      <c r="D508" s="1">
        <v>1.5438E-2</v>
      </c>
      <c r="E508" s="1">
        <v>3.9765000000000002E-2</v>
      </c>
      <c r="F508" s="1">
        <v>1.8232E-6</v>
      </c>
      <c r="G508" s="1">
        <v>6.8994999999999997</v>
      </c>
      <c r="H508" s="1">
        <v>1.3309000000000001E-7</v>
      </c>
      <c r="I508" s="1">
        <f t="shared" si="63"/>
        <v>1.3309000000000001E-7</v>
      </c>
      <c r="J508" s="4">
        <f t="shared" si="64"/>
        <v>-1.0367866729373223E-8</v>
      </c>
      <c r="K508" s="4">
        <f t="shared" si="65"/>
        <v>-1.9789524297313476E-8</v>
      </c>
      <c r="L508" s="4">
        <f t="shared" si="66"/>
        <v>-9.4114293157255871E-9</v>
      </c>
      <c r="M508" s="4">
        <f t="shared" si="68"/>
        <v>-1.0525750323500784E-8</v>
      </c>
      <c r="N508" s="5">
        <f t="shared" si="69"/>
        <v>3.1269159320311684E-8</v>
      </c>
      <c r="O508" s="5">
        <f t="shared" si="70"/>
        <v>1.0159514926177753E-6</v>
      </c>
      <c r="P508" s="5">
        <f t="shared" si="71"/>
        <v>7.5277934806191362E-7</v>
      </c>
      <c r="Q508" s="1">
        <f t="shared" si="67"/>
        <v>1.8000000000000006E-6</v>
      </c>
    </row>
    <row r="509" spans="1:17" x14ac:dyDescent="0.25">
      <c r="A509" s="1">
        <v>25.35</v>
      </c>
      <c r="B509" s="1">
        <v>3.4355999999999998E-2</v>
      </c>
      <c r="C509" s="1">
        <v>4.725E-3</v>
      </c>
      <c r="D509" s="1">
        <v>1.5469E-2</v>
      </c>
      <c r="E509" s="1">
        <v>3.9694E-2</v>
      </c>
      <c r="F509" s="1">
        <v>1.8250999999999999E-6</v>
      </c>
      <c r="G509" s="1">
        <v>6.8990999999999998</v>
      </c>
      <c r="H509" s="1">
        <v>1.3322E-7</v>
      </c>
      <c r="I509" s="1">
        <f t="shared" si="63"/>
        <v>1.3322E-7</v>
      </c>
      <c r="J509" s="4">
        <f t="shared" si="64"/>
        <v>-1.0394050669655632E-8</v>
      </c>
      <c r="K509" s="4">
        <f t="shared" si="65"/>
        <v>-1.9811054106046899E-8</v>
      </c>
      <c r="L509" s="4">
        <f t="shared" si="66"/>
        <v>-9.4080496558098593E-9</v>
      </c>
      <c r="M509" s="4">
        <f t="shared" si="68"/>
        <v>-1.0519677360523959E-8</v>
      </c>
      <c r="N509" s="5">
        <f t="shared" si="69"/>
        <v>3.1278113100893089E-8</v>
      </c>
      <c r="O509" s="5">
        <f t="shared" si="70"/>
        <v>1.0170541665419081E-6</v>
      </c>
      <c r="P509" s="5">
        <f t="shared" si="71"/>
        <v>7.5166772035719956E-7</v>
      </c>
      <c r="Q509" s="1">
        <f t="shared" si="67"/>
        <v>1.8000000000000006E-6</v>
      </c>
    </row>
    <row r="510" spans="1:17" x14ac:dyDescent="0.25">
      <c r="A510" s="1">
        <v>25.4</v>
      </c>
      <c r="B510" s="1">
        <v>3.4293999999999998E-2</v>
      </c>
      <c r="C510" s="1">
        <v>4.7251000000000003E-3</v>
      </c>
      <c r="D510" s="1">
        <v>1.55E-2</v>
      </c>
      <c r="E510" s="1">
        <v>3.9622999999999998E-2</v>
      </c>
      <c r="F510" s="1">
        <v>1.827E-6</v>
      </c>
      <c r="G510" s="1">
        <v>6.8986000000000001</v>
      </c>
      <c r="H510" s="1">
        <v>1.3334E-7</v>
      </c>
      <c r="I510" s="1">
        <f t="shared" si="63"/>
        <v>1.3334E-7</v>
      </c>
      <c r="J510" s="4">
        <f t="shared" si="64"/>
        <v>-1.0418708227071908E-8</v>
      </c>
      <c r="K510" s="4">
        <f t="shared" si="65"/>
        <v>-1.9832556247566079E-8</v>
      </c>
      <c r="L510" s="4">
        <f t="shared" si="66"/>
        <v>-9.4037304702009652E-9</v>
      </c>
      <c r="M510" s="4">
        <f t="shared" si="68"/>
        <v>-1.0514403239127946E-8</v>
      </c>
      <c r="N510" s="5">
        <f t="shared" si="69"/>
        <v>3.12882306511863E-8</v>
      </c>
      <c r="O510" s="5">
        <f t="shared" si="70"/>
        <v>1.018154721760542E-6</v>
      </c>
      <c r="P510" s="5">
        <f t="shared" si="71"/>
        <v>7.5055704758827254E-7</v>
      </c>
      <c r="Q510" s="1">
        <f t="shared" si="67"/>
        <v>1.800000000000001E-6</v>
      </c>
    </row>
    <row r="511" spans="1:17" x14ac:dyDescent="0.25">
      <c r="A511" s="1">
        <v>25.45</v>
      </c>
      <c r="B511" s="1">
        <v>3.4230999999999998E-2</v>
      </c>
      <c r="C511" s="1">
        <v>4.7251000000000003E-3</v>
      </c>
      <c r="D511" s="1">
        <v>1.5532000000000001E-2</v>
      </c>
      <c r="E511" s="1">
        <v>3.9551999999999997E-2</v>
      </c>
      <c r="F511" s="1">
        <v>1.8289E-6</v>
      </c>
      <c r="G511" s="1">
        <v>6.8982000000000001</v>
      </c>
      <c r="H511" s="1">
        <v>1.3346000000000001E-7</v>
      </c>
      <c r="I511" s="1">
        <f t="shared" si="63"/>
        <v>1.3346000000000001E-7</v>
      </c>
      <c r="J511" s="4">
        <f t="shared" si="64"/>
        <v>-1.0443789244928513E-8</v>
      </c>
      <c r="K511" s="4">
        <f t="shared" si="65"/>
        <v>-1.9854017074330853E-8</v>
      </c>
      <c r="L511" s="4">
        <f t="shared" si="66"/>
        <v>-9.3997218620414878E-9</v>
      </c>
      <c r="M511" s="4">
        <f t="shared" si="68"/>
        <v>-1.0508324056169277E-8</v>
      </c>
      <c r="N511" s="5">
        <f t="shared" si="69"/>
        <v>3.129873661854715E-8</v>
      </c>
      <c r="O511" s="5">
        <f t="shared" si="70"/>
        <v>1.019252817987309E-6</v>
      </c>
      <c r="P511" s="5">
        <f t="shared" si="71"/>
        <v>7.4944844539414481E-7</v>
      </c>
      <c r="Q511" s="1">
        <f t="shared" si="67"/>
        <v>1.800000000000001E-6</v>
      </c>
    </row>
    <row r="512" spans="1:17" x14ac:dyDescent="0.25">
      <c r="A512" s="1">
        <v>25.5</v>
      </c>
      <c r="B512" s="1">
        <v>3.4168999999999998E-2</v>
      </c>
      <c r="C512" s="1">
        <v>4.7251000000000003E-3</v>
      </c>
      <c r="D512" s="1">
        <v>1.5563E-2</v>
      </c>
      <c r="E512" s="1">
        <v>3.9481000000000002E-2</v>
      </c>
      <c r="F512" s="1">
        <v>1.8307999999999999E-6</v>
      </c>
      <c r="G512" s="1">
        <v>6.8977000000000004</v>
      </c>
      <c r="H512" s="1">
        <v>1.3358999999999999E-7</v>
      </c>
      <c r="I512" s="1">
        <f t="shared" si="63"/>
        <v>1.3358999999999999E-7</v>
      </c>
      <c r="J512" s="4">
        <f t="shared" si="64"/>
        <v>-1.0469036821969908E-8</v>
      </c>
      <c r="K512" s="4">
        <f t="shared" si="65"/>
        <v>-1.9875429950752809E-8</v>
      </c>
      <c r="L512" s="4">
        <f t="shared" si="66"/>
        <v>-9.3957902519962717E-9</v>
      </c>
      <c r="M512" s="4">
        <f t="shared" si="68"/>
        <v>-1.0502245899841918E-8</v>
      </c>
      <c r="N512" s="5">
        <f t="shared" si="69"/>
        <v>3.1309339495333775E-8</v>
      </c>
      <c r="O512" s="5">
        <f t="shared" si="70"/>
        <v>1.020348670758368E-6</v>
      </c>
      <c r="P512" s="5">
        <f t="shared" si="71"/>
        <v>7.4834198974629919E-7</v>
      </c>
      <c r="Q512" s="1">
        <f t="shared" si="67"/>
        <v>1.800000000000001E-6</v>
      </c>
    </row>
    <row r="513" spans="1:17" x14ac:dyDescent="0.25">
      <c r="A513" s="1">
        <v>25.55</v>
      </c>
      <c r="B513" s="1">
        <v>3.4106999999999998E-2</v>
      </c>
      <c r="C513" s="1">
        <v>4.7251000000000003E-3</v>
      </c>
      <c r="D513" s="1">
        <v>1.5594E-2</v>
      </c>
      <c r="E513" s="1">
        <v>3.9410000000000001E-2</v>
      </c>
      <c r="F513" s="1">
        <v>1.8327E-6</v>
      </c>
      <c r="G513" s="1">
        <v>6.8973000000000004</v>
      </c>
      <c r="H513" s="1">
        <v>1.3371E-7</v>
      </c>
      <c r="I513" s="1">
        <f t="shared" si="63"/>
        <v>1.3371E-7</v>
      </c>
      <c r="J513" s="4">
        <f t="shared" si="64"/>
        <v>-1.0494354081994439E-8</v>
      </c>
      <c r="K513" s="4">
        <f t="shared" si="65"/>
        <v>-1.989679907978846E-8</v>
      </c>
      <c r="L513" s="4">
        <f t="shared" si="66"/>
        <v>-9.3918478974851047E-9</v>
      </c>
      <c r="M513" s="4">
        <f t="shared" si="68"/>
        <v>-1.0496955673072001E-8</v>
      </c>
      <c r="N513" s="5">
        <f t="shared" si="69"/>
        <v>3.1319936595642692E-8</v>
      </c>
      <c r="O513" s="5">
        <f t="shared" si="70"/>
        <v>1.0214431814336461E-6</v>
      </c>
      <c r="P513" s="5">
        <f t="shared" si="71"/>
        <v>7.4723688197071233E-7</v>
      </c>
      <c r="Q513" s="1">
        <f t="shared" si="67"/>
        <v>1.800000000000001E-6</v>
      </c>
    </row>
    <row r="514" spans="1:17" x14ac:dyDescent="0.25">
      <c r="A514" s="1">
        <v>25.6</v>
      </c>
      <c r="B514" s="1">
        <v>3.4043999999999998E-2</v>
      </c>
      <c r="C514" s="1">
        <v>4.7251000000000003E-3</v>
      </c>
      <c r="D514" s="1">
        <v>1.5625E-2</v>
      </c>
      <c r="E514" s="1">
        <v>3.9338999999999999E-2</v>
      </c>
      <c r="F514" s="1">
        <v>1.8346E-6</v>
      </c>
      <c r="G514" s="1">
        <v>6.8967999999999998</v>
      </c>
      <c r="H514" s="1">
        <v>1.3383E-7</v>
      </c>
      <c r="I514" s="1">
        <f t="shared" si="63"/>
        <v>1.3383E-7</v>
      </c>
      <c r="J514" s="4">
        <f t="shared" si="64"/>
        <v>-1.0519706760092523E-8</v>
      </c>
      <c r="K514" s="4">
        <f t="shared" si="65"/>
        <v>-1.9918142037956382E-8</v>
      </c>
      <c r="L514" s="4">
        <f t="shared" si="66"/>
        <v>-9.387863917571193E-9</v>
      </c>
      <c r="M514" s="4">
        <f t="shared" si="68"/>
        <v>-1.0490869566272064E-8</v>
      </c>
      <c r="N514" s="5">
        <f t="shared" si="69"/>
        <v>3.1330507955935361E-8</v>
      </c>
      <c r="O514" s="5">
        <f t="shared" si="70"/>
        <v>1.0225356157220542E-6</v>
      </c>
      <c r="P514" s="5">
        <f t="shared" si="71"/>
        <v>7.4613387632201144E-7</v>
      </c>
      <c r="Q514" s="1">
        <f t="shared" si="67"/>
        <v>1.800000000000001E-6</v>
      </c>
    </row>
    <row r="515" spans="1:17" x14ac:dyDescent="0.25">
      <c r="A515" s="1">
        <v>25.65</v>
      </c>
      <c r="B515" s="1">
        <v>3.3981999999999998E-2</v>
      </c>
      <c r="C515" s="1">
        <v>4.725E-3</v>
      </c>
      <c r="D515" s="1">
        <v>1.5656E-2</v>
      </c>
      <c r="E515" s="1">
        <v>3.9267999999999997E-2</v>
      </c>
      <c r="F515" s="1">
        <v>1.8363999999999999E-6</v>
      </c>
      <c r="G515" s="1">
        <v>6.8963999999999999</v>
      </c>
      <c r="H515" s="1">
        <v>1.3395999999999999E-7</v>
      </c>
      <c r="I515" s="1">
        <f t="shared" ref="I515:I578" si="72">H515</f>
        <v>1.3395999999999999E-7</v>
      </c>
      <c r="J515" s="4">
        <f t="shared" ref="J515:J578" si="73">(-$T$4*F514^2*N514)*(A515-A514)</f>
        <v>-1.0545088147912041E-8</v>
      </c>
      <c r="K515" s="4">
        <f t="shared" ref="K515:K578" si="74">-O514*$T$7*(A515-A514)</f>
        <v>-1.9939444506578923E-8</v>
      </c>
      <c r="L515" s="4">
        <f t="shared" ref="L515:L578" si="75">-$T$5*F514*E514*(A515-A514)*N514</f>
        <v>-9.3838323013215626E-9</v>
      </c>
      <c r="M515" s="4">
        <f t="shared" si="68"/>
        <v>-1.0484785150157758E-8</v>
      </c>
      <c r="N515" s="5">
        <f t="shared" si="69"/>
        <v>3.1341032013280682E-8</v>
      </c>
      <c r="O515" s="5">
        <f t="shared" si="70"/>
        <v>1.0236260445135449E-6</v>
      </c>
      <c r="P515" s="5">
        <f t="shared" si="71"/>
        <v>7.4503292347317522E-7</v>
      </c>
      <c r="Q515" s="1">
        <f t="shared" ref="Q515:Q578" si="76">N515+O515+P515</f>
        <v>1.8000000000000008E-6</v>
      </c>
    </row>
    <row r="516" spans="1:17" x14ac:dyDescent="0.25">
      <c r="A516" s="1">
        <v>25.7</v>
      </c>
      <c r="B516" s="1">
        <v>3.3919999999999999E-2</v>
      </c>
      <c r="C516" s="1">
        <v>4.7248999999999998E-3</v>
      </c>
      <c r="D516" s="1">
        <v>1.5688000000000001E-2</v>
      </c>
      <c r="E516" s="1">
        <v>3.9197000000000003E-2</v>
      </c>
      <c r="F516" s="1">
        <v>1.8382E-6</v>
      </c>
      <c r="G516" s="1">
        <v>6.8959000000000001</v>
      </c>
      <c r="H516" s="1">
        <v>1.3407999999999999E-7</v>
      </c>
      <c r="I516" s="1">
        <f t="shared" si="72"/>
        <v>1.3407999999999999E-7</v>
      </c>
      <c r="J516" s="4">
        <f t="shared" si="73"/>
        <v>-1.0569339817182751E-8</v>
      </c>
      <c r="K516" s="4">
        <f t="shared" si="74"/>
        <v>-1.9960707868014412E-8</v>
      </c>
      <c r="L516" s="4">
        <f t="shared" si="75"/>
        <v>-9.37923583726693E-9</v>
      </c>
      <c r="M516" s="4">
        <f t="shared" ref="M516:M579" si="77">-P515*$T$8*I515*(A516-A515)</f>
        <v>-1.0479484094989136E-8</v>
      </c>
      <c r="N516" s="5">
        <f t="shared" ref="N516:N579" si="78">N515+J516-K516+L516</f>
        <v>3.1353164226845411E-8</v>
      </c>
      <c r="O516" s="5">
        <f t="shared" ref="O516:O579" si="79">-J516+O515+K516-M516</f>
        <v>1.0247141605577022E-6</v>
      </c>
      <c r="P516" s="5">
        <f t="shared" ref="P516:P579" si="80">P515-L516+M516</f>
        <v>7.4393267521545303E-7</v>
      </c>
      <c r="Q516" s="1">
        <f t="shared" si="76"/>
        <v>1.8000000000000006E-6</v>
      </c>
    </row>
    <row r="517" spans="1:17" x14ac:dyDescent="0.25">
      <c r="A517" s="1">
        <v>25.75</v>
      </c>
      <c r="B517" s="1">
        <v>3.3857999999999999E-2</v>
      </c>
      <c r="C517" s="1">
        <v>4.7248000000000004E-3</v>
      </c>
      <c r="D517" s="1">
        <v>1.5719E-2</v>
      </c>
      <c r="E517" s="1">
        <v>3.9127000000000002E-2</v>
      </c>
      <c r="F517" s="1">
        <v>1.8401E-6</v>
      </c>
      <c r="G517" s="1">
        <v>6.8955000000000002</v>
      </c>
      <c r="H517" s="1">
        <v>1.342E-7</v>
      </c>
      <c r="I517" s="1">
        <f t="shared" si="72"/>
        <v>1.342E-7</v>
      </c>
      <c r="J517" s="4">
        <f t="shared" si="73"/>
        <v>-1.059416910308228E-8</v>
      </c>
      <c r="K517" s="4">
        <f t="shared" si="74"/>
        <v>-1.9981926130875477E-8</v>
      </c>
      <c r="L517" s="4">
        <f t="shared" si="75"/>
        <v>-9.3750817771955843E-9</v>
      </c>
      <c r="M517" s="4">
        <f t="shared" si="77"/>
        <v>-1.0473381774753382E-8</v>
      </c>
      <c r="N517" s="5">
        <f t="shared" si="78"/>
        <v>3.1365839477443021E-8</v>
      </c>
      <c r="O517" s="5">
        <f t="shared" si="79"/>
        <v>1.0257997853046625E-6</v>
      </c>
      <c r="P517" s="5">
        <f t="shared" si="80"/>
        <v>7.4283437521789529E-7</v>
      </c>
      <c r="Q517" s="1">
        <f t="shared" si="76"/>
        <v>1.8000000000000006E-6</v>
      </c>
    </row>
    <row r="518" spans="1:17" x14ac:dyDescent="0.25">
      <c r="A518" s="1">
        <v>25.8</v>
      </c>
      <c r="B518" s="1">
        <v>3.3796E-2</v>
      </c>
      <c r="C518" s="1">
        <v>4.7245999999999998E-3</v>
      </c>
      <c r="D518" s="1">
        <v>1.575E-2</v>
      </c>
      <c r="E518" s="1">
        <v>3.9056E-2</v>
      </c>
      <c r="F518" s="1">
        <v>1.8419000000000001E-6</v>
      </c>
      <c r="G518" s="1">
        <v>6.8951000000000002</v>
      </c>
      <c r="H518" s="1">
        <v>1.3432E-7</v>
      </c>
      <c r="I518" s="1">
        <f t="shared" si="72"/>
        <v>1.3432E-7</v>
      </c>
      <c r="J518" s="4">
        <f t="shared" si="73"/>
        <v>-1.0620372907741868E-8</v>
      </c>
      <c r="K518" s="4">
        <f t="shared" si="74"/>
        <v>-2.0003095813441203E-8</v>
      </c>
      <c r="L518" s="4">
        <f t="shared" si="75"/>
        <v>-9.371799481870805E-9</v>
      </c>
      <c r="M518" s="4">
        <f t="shared" si="77"/>
        <v>-1.0467279181195511E-8</v>
      </c>
      <c r="N518" s="5">
        <f t="shared" si="78"/>
        <v>3.1376762901271551E-8</v>
      </c>
      <c r="O518" s="5">
        <f t="shared" si="79"/>
        <v>1.0268843415801586E-6</v>
      </c>
      <c r="P518" s="5">
        <f t="shared" si="80"/>
        <v>7.417388955185706E-7</v>
      </c>
      <c r="Q518" s="1">
        <f t="shared" si="76"/>
        <v>1.800000000000001E-6</v>
      </c>
    </row>
    <row r="519" spans="1:17" x14ac:dyDescent="0.25">
      <c r="A519" s="1">
        <v>25.85</v>
      </c>
      <c r="B519" s="1">
        <v>3.3734E-2</v>
      </c>
      <c r="C519" s="1">
        <v>4.7245000000000004E-3</v>
      </c>
      <c r="D519" s="1">
        <v>1.5781E-2</v>
      </c>
      <c r="E519" s="1">
        <v>3.8986E-2</v>
      </c>
      <c r="F519" s="1">
        <v>1.8437E-6</v>
      </c>
      <c r="G519" s="1">
        <v>6.8945999999999996</v>
      </c>
      <c r="H519" s="1">
        <v>1.3444999999999999E-7</v>
      </c>
      <c r="I519" s="1">
        <f t="shared" si="72"/>
        <v>1.3444999999999999E-7</v>
      </c>
      <c r="J519" s="4">
        <f t="shared" si="73"/>
        <v>-1.0644866807486624E-8</v>
      </c>
      <c r="K519" s="4">
        <f t="shared" si="74"/>
        <v>-2.0024244660813379E-8</v>
      </c>
      <c r="L519" s="4">
        <f t="shared" si="75"/>
        <v>-9.3672053848622074E-9</v>
      </c>
      <c r="M519" s="4">
        <f t="shared" si="77"/>
        <v>-1.046118868683586E-8</v>
      </c>
      <c r="N519" s="5">
        <f t="shared" si="78"/>
        <v>3.1388935369736102E-8</v>
      </c>
      <c r="O519" s="5">
        <f t="shared" si="79"/>
        <v>1.0279661524136676E-6</v>
      </c>
      <c r="P519" s="5">
        <f t="shared" si="80"/>
        <v>7.4064491221659694E-7</v>
      </c>
      <c r="Q519" s="1">
        <f t="shared" si="76"/>
        <v>1.8000000000000006E-6</v>
      </c>
    </row>
    <row r="520" spans="1:17" x14ac:dyDescent="0.25">
      <c r="A520" s="1">
        <v>25.9</v>
      </c>
      <c r="B520" s="1">
        <v>3.3673000000000002E-2</v>
      </c>
      <c r="C520" s="1">
        <v>4.7241999999999996E-3</v>
      </c>
      <c r="D520" s="1">
        <v>1.5812E-2</v>
      </c>
      <c r="E520" s="1">
        <v>3.8914999999999998E-2</v>
      </c>
      <c r="F520" s="1">
        <v>1.8453999999999999E-6</v>
      </c>
      <c r="G520" s="1">
        <v>6.8941999999999997</v>
      </c>
      <c r="H520" s="1">
        <v>1.3456999999999999E-7</v>
      </c>
      <c r="I520" s="1">
        <f t="shared" si="72"/>
        <v>1.3456999999999999E-7</v>
      </c>
      <c r="J520" s="4">
        <f t="shared" si="73"/>
        <v>-1.0669820104629202E-8</v>
      </c>
      <c r="K520" s="4">
        <f t="shared" si="74"/>
        <v>-2.0045339972065377E-8</v>
      </c>
      <c r="L520" s="4">
        <f t="shared" si="75"/>
        <v>-9.363185265423644E-9</v>
      </c>
      <c r="M520" s="4">
        <f t="shared" si="77"/>
        <v>-1.0455869386989158E-8</v>
      </c>
      <c r="N520" s="5">
        <f t="shared" si="78"/>
        <v>3.1401269971748637E-8</v>
      </c>
      <c r="O520" s="5">
        <f t="shared" si="79"/>
        <v>1.0290465019332205E-6</v>
      </c>
      <c r="P520" s="5">
        <f t="shared" si="80"/>
        <v>7.3955222809503139E-7</v>
      </c>
      <c r="Q520" s="1">
        <f t="shared" si="76"/>
        <v>1.8000000000000006E-6</v>
      </c>
    </row>
    <row r="521" spans="1:17" x14ac:dyDescent="0.25">
      <c r="A521" s="1">
        <v>25.95</v>
      </c>
      <c r="B521" s="1">
        <v>3.3611000000000002E-2</v>
      </c>
      <c r="C521" s="1">
        <v>4.7239999999999999E-3</v>
      </c>
      <c r="D521" s="1">
        <v>1.5842999999999999E-2</v>
      </c>
      <c r="E521" s="1">
        <v>3.8844999999999998E-2</v>
      </c>
      <c r="F521" s="1">
        <v>1.8472000000000001E-6</v>
      </c>
      <c r="G521" s="1">
        <v>6.8936999999999999</v>
      </c>
      <c r="H521" s="1">
        <v>1.3469E-7</v>
      </c>
      <c r="I521" s="1">
        <f t="shared" si="72"/>
        <v>1.3469E-7</v>
      </c>
      <c r="J521" s="4">
        <f t="shared" si="73"/>
        <v>-1.0693706131426468E-8</v>
      </c>
      <c r="K521" s="4">
        <f t="shared" si="74"/>
        <v>-2.0066406787698087E-8</v>
      </c>
      <c r="L521" s="4">
        <f t="shared" si="75"/>
        <v>-9.3584270756124017E-9</v>
      </c>
      <c r="M521" s="4">
        <f t="shared" si="77"/>
        <v>-1.0449762050148727E-8</v>
      </c>
      <c r="N521" s="5">
        <f t="shared" si="78"/>
        <v>3.1415543552407854E-8</v>
      </c>
      <c r="O521" s="5">
        <f t="shared" si="79"/>
        <v>1.0301235633270978E-6</v>
      </c>
      <c r="P521" s="5">
        <f t="shared" si="80"/>
        <v>7.3846089312049512E-7</v>
      </c>
      <c r="Q521" s="1">
        <f t="shared" si="76"/>
        <v>1.8000000000000006E-6</v>
      </c>
    </row>
    <row r="522" spans="1:17" x14ac:dyDescent="0.25">
      <c r="A522" s="1">
        <v>26</v>
      </c>
      <c r="B522" s="1">
        <v>3.3549000000000002E-2</v>
      </c>
      <c r="C522" s="1">
        <v>4.7236999999999999E-3</v>
      </c>
      <c r="D522" s="1">
        <v>1.5873999999999999E-2</v>
      </c>
      <c r="E522" s="1">
        <v>3.8774999999999997E-2</v>
      </c>
      <c r="F522" s="1">
        <v>1.8489E-6</v>
      </c>
      <c r="G522" s="1">
        <v>6.8933</v>
      </c>
      <c r="H522" s="1">
        <v>1.3481E-7</v>
      </c>
      <c r="I522" s="1">
        <f t="shared" si="72"/>
        <v>1.3481E-7</v>
      </c>
      <c r="J522" s="4">
        <f t="shared" si="73"/>
        <v>-1.0719447907477591E-8</v>
      </c>
      <c r="K522" s="4">
        <f t="shared" si="74"/>
        <v>-2.0087409484878695E-8</v>
      </c>
      <c r="L522" s="4">
        <f t="shared" si="75"/>
        <v>-9.3549553863077264E-9</v>
      </c>
      <c r="M522" s="4">
        <f t="shared" si="77"/>
        <v>-1.0443646257912093E-8</v>
      </c>
      <c r="N522" s="5">
        <f t="shared" si="78"/>
        <v>3.142854974350123E-8</v>
      </c>
      <c r="O522" s="5">
        <f t="shared" si="79"/>
        <v>1.0311992480076087E-6</v>
      </c>
      <c r="P522" s="5">
        <f t="shared" si="80"/>
        <v>7.3737220224889077E-7</v>
      </c>
      <c r="Q522" s="1">
        <f t="shared" si="76"/>
        <v>1.8000000000000008E-6</v>
      </c>
    </row>
    <row r="523" spans="1:17" x14ac:dyDescent="0.25">
      <c r="A523" s="1">
        <v>26.05</v>
      </c>
      <c r="B523" s="1">
        <v>3.3487999999999997E-2</v>
      </c>
      <c r="C523" s="1">
        <v>4.7234E-3</v>
      </c>
      <c r="D523" s="1">
        <v>1.5904999999999999E-2</v>
      </c>
      <c r="E523" s="1">
        <v>3.8705000000000003E-2</v>
      </c>
      <c r="F523" s="1">
        <v>1.8506999999999999E-6</v>
      </c>
      <c r="G523" s="1">
        <v>6.8929</v>
      </c>
      <c r="H523" s="1">
        <v>1.3493E-7</v>
      </c>
      <c r="I523" s="1">
        <f t="shared" si="72"/>
        <v>1.3493E-7</v>
      </c>
      <c r="J523" s="4">
        <f t="shared" si="73"/>
        <v>-1.0743633532822362E-8</v>
      </c>
      <c r="K523" s="4">
        <f t="shared" si="74"/>
        <v>-2.0108385336148656E-8</v>
      </c>
      <c r="L523" s="4">
        <f t="shared" si="75"/>
        <v>-9.3505609793716602E-9</v>
      </c>
      <c r="M523" s="4">
        <f t="shared" si="77"/>
        <v>-1.0437540391443311E-8</v>
      </c>
      <c r="N523" s="5">
        <f t="shared" si="78"/>
        <v>3.1442740567455862E-8</v>
      </c>
      <c r="O523" s="5">
        <f t="shared" si="79"/>
        <v>1.0322720365957257E-6</v>
      </c>
      <c r="P523" s="5">
        <f t="shared" si="80"/>
        <v>7.3628522283681912E-7</v>
      </c>
      <c r="Q523" s="1">
        <f t="shared" si="76"/>
        <v>1.8000000000000006E-6</v>
      </c>
    </row>
    <row r="524" spans="1:17" x14ac:dyDescent="0.25">
      <c r="A524" s="1">
        <v>26.1</v>
      </c>
      <c r="B524" s="1">
        <v>3.3425999999999997E-2</v>
      </c>
      <c r="C524" s="1">
        <v>4.7229999999999998E-3</v>
      </c>
      <c r="D524" s="1">
        <v>1.5935999999999999E-2</v>
      </c>
      <c r="E524" s="1">
        <v>3.8634000000000002E-2</v>
      </c>
      <c r="F524" s="1">
        <v>1.8524E-6</v>
      </c>
      <c r="G524" s="1">
        <v>6.8924000000000003</v>
      </c>
      <c r="H524" s="1">
        <v>1.3505999999999999E-7</v>
      </c>
      <c r="I524" s="1">
        <f t="shared" si="72"/>
        <v>1.3505999999999999E-7</v>
      </c>
      <c r="J524" s="4">
        <f t="shared" si="73"/>
        <v>-1.0769423169713179E-8</v>
      </c>
      <c r="K524" s="4">
        <f t="shared" si="74"/>
        <v>-2.0129304713616939E-8</v>
      </c>
      <c r="L524" s="4">
        <f t="shared" si="75"/>
        <v>-9.3469858632007179E-9</v>
      </c>
      <c r="M524" s="4">
        <f t="shared" si="77"/>
        <v>-1.0431431337324208E-8</v>
      </c>
      <c r="N524" s="5">
        <f t="shared" si="78"/>
        <v>3.1455636248158906E-8</v>
      </c>
      <c r="O524" s="5">
        <f t="shared" si="79"/>
        <v>1.033343586389146E-6</v>
      </c>
      <c r="P524" s="5">
        <f t="shared" si="80"/>
        <v>7.3520077736269562E-7</v>
      </c>
      <c r="Q524" s="1">
        <f t="shared" si="76"/>
        <v>1.8000000000000006E-6</v>
      </c>
    </row>
    <row r="525" spans="1:17" x14ac:dyDescent="0.25">
      <c r="A525" s="1">
        <v>26.15</v>
      </c>
      <c r="B525" s="1">
        <v>3.3364999999999999E-2</v>
      </c>
      <c r="C525" s="1">
        <v>4.7226000000000004E-3</v>
      </c>
      <c r="D525" s="1">
        <v>1.5966000000000001E-2</v>
      </c>
      <c r="E525" s="1">
        <v>3.8564000000000001E-2</v>
      </c>
      <c r="F525" s="1">
        <v>1.8541E-6</v>
      </c>
      <c r="G525" s="1">
        <v>6.8920000000000003</v>
      </c>
      <c r="H525" s="1">
        <v>1.3518E-7</v>
      </c>
      <c r="I525" s="1">
        <f t="shared" si="72"/>
        <v>1.3518E-7</v>
      </c>
      <c r="J525" s="4">
        <f t="shared" si="73"/>
        <v>-1.0793642229366616E-8</v>
      </c>
      <c r="K525" s="4">
        <f t="shared" si="74"/>
        <v>-2.0150199934587205E-8</v>
      </c>
      <c r="L525" s="4">
        <f t="shared" si="75"/>
        <v>-9.3422399678298514E-9</v>
      </c>
      <c r="M525" s="4">
        <f t="shared" si="77"/>
        <v>-1.0426102784013002E-8</v>
      </c>
      <c r="N525" s="5">
        <f t="shared" si="78"/>
        <v>3.146995398554964E-8</v>
      </c>
      <c r="O525" s="5">
        <f t="shared" si="79"/>
        <v>1.0344131314679384E-6</v>
      </c>
      <c r="P525" s="5">
        <f t="shared" si="80"/>
        <v>7.3411691454651247E-7</v>
      </c>
      <c r="Q525" s="1">
        <f t="shared" si="76"/>
        <v>1.8000000000000006E-6</v>
      </c>
    </row>
    <row r="526" spans="1:17" x14ac:dyDescent="0.25">
      <c r="A526" s="1">
        <v>26.2</v>
      </c>
      <c r="B526" s="1">
        <v>3.3304E-2</v>
      </c>
      <c r="C526" s="1">
        <v>4.7222000000000002E-3</v>
      </c>
      <c r="D526" s="1">
        <v>1.5997000000000001E-2</v>
      </c>
      <c r="E526" s="1">
        <v>3.8494E-2</v>
      </c>
      <c r="F526" s="1">
        <v>1.8558000000000001E-6</v>
      </c>
      <c r="G526" s="1">
        <v>6.8916000000000004</v>
      </c>
      <c r="H526" s="1">
        <v>1.353E-7</v>
      </c>
      <c r="I526" s="1">
        <f t="shared" si="72"/>
        <v>1.353E-7</v>
      </c>
      <c r="J526" s="4">
        <f t="shared" si="73"/>
        <v>-1.0818384572743246E-8</v>
      </c>
      <c r="K526" s="4">
        <f t="shared" si="74"/>
        <v>-2.0171056063625085E-8</v>
      </c>
      <c r="L526" s="4">
        <f t="shared" si="75"/>
        <v>-9.3381196162697401E-9</v>
      </c>
      <c r="M526" s="4">
        <f t="shared" si="77"/>
        <v>-1.0419982073381893E-8</v>
      </c>
      <c r="N526" s="5">
        <f t="shared" si="78"/>
        <v>3.1484505860161738E-8</v>
      </c>
      <c r="O526" s="5">
        <f t="shared" si="79"/>
        <v>1.0354804420504383E-6</v>
      </c>
      <c r="P526" s="5">
        <f t="shared" si="80"/>
        <v>7.3303505208940041E-7</v>
      </c>
      <c r="Q526" s="1">
        <f t="shared" si="76"/>
        <v>1.8000000000000006E-6</v>
      </c>
    </row>
    <row r="527" spans="1:17" x14ac:dyDescent="0.25">
      <c r="A527" s="1">
        <v>26.25</v>
      </c>
      <c r="B527" s="1">
        <v>3.3242000000000001E-2</v>
      </c>
      <c r="C527" s="1">
        <v>4.7218E-3</v>
      </c>
      <c r="D527" s="1">
        <v>1.6028000000000001E-2</v>
      </c>
      <c r="E527" s="1">
        <v>3.8425000000000001E-2</v>
      </c>
      <c r="F527" s="1">
        <v>1.8575E-6</v>
      </c>
      <c r="G527" s="1">
        <v>6.8910999999999998</v>
      </c>
      <c r="H527" s="1">
        <v>1.3542E-7</v>
      </c>
      <c r="I527" s="1">
        <f t="shared" si="72"/>
        <v>1.3542E-7</v>
      </c>
      <c r="J527" s="4">
        <f t="shared" si="73"/>
        <v>-1.084324379409413E-8</v>
      </c>
      <c r="K527" s="4">
        <f t="shared" si="74"/>
        <v>-2.0191868619983834E-8</v>
      </c>
      <c r="L527" s="4">
        <f t="shared" si="75"/>
        <v>-9.334029962447015E-9</v>
      </c>
      <c r="M527" s="4">
        <f t="shared" si="77"/>
        <v>-1.0413862467508215E-8</v>
      </c>
      <c r="N527" s="5">
        <f t="shared" si="78"/>
        <v>3.149910072360442E-8</v>
      </c>
      <c r="O527" s="5">
        <f t="shared" si="79"/>
        <v>1.0365456796920568E-6</v>
      </c>
      <c r="P527" s="5">
        <f t="shared" si="80"/>
        <v>7.3195521958433925E-7</v>
      </c>
      <c r="Q527" s="1">
        <f t="shared" si="76"/>
        <v>1.8000000000000003E-6</v>
      </c>
    </row>
    <row r="528" spans="1:17" x14ac:dyDescent="0.25">
      <c r="A528" s="1">
        <v>26.3</v>
      </c>
      <c r="B528" s="1">
        <v>3.3181000000000002E-2</v>
      </c>
      <c r="C528" s="1">
        <v>4.7213000000000003E-3</v>
      </c>
      <c r="D528" s="1">
        <v>1.6059E-2</v>
      </c>
      <c r="E528" s="1">
        <v>3.8355E-2</v>
      </c>
      <c r="F528" s="1">
        <v>1.8590999999999999E-6</v>
      </c>
      <c r="G528" s="1">
        <v>6.8906999999999998</v>
      </c>
      <c r="H528" s="1">
        <v>1.3554000000000001E-7</v>
      </c>
      <c r="I528" s="1">
        <f t="shared" si="72"/>
        <v>1.3554000000000001E-7</v>
      </c>
      <c r="J528" s="4">
        <f t="shared" si="73"/>
        <v>-1.086815440960334E-8</v>
      </c>
      <c r="K528" s="4">
        <f t="shared" si="74"/>
        <v>-2.0212640753995396E-8</v>
      </c>
      <c r="L528" s="4">
        <f t="shared" si="75"/>
        <v>-9.3301569729980341E-9</v>
      </c>
      <c r="M528" s="4">
        <f t="shared" si="77"/>
        <v>-1.0407744462791827E-8</v>
      </c>
      <c r="N528" s="5">
        <f t="shared" si="78"/>
        <v>3.1513430094998435E-8</v>
      </c>
      <c r="O528" s="5">
        <f t="shared" si="79"/>
        <v>1.0376089378104565E-6</v>
      </c>
      <c r="P528" s="5">
        <f t="shared" si="80"/>
        <v>7.3087763209454542E-7</v>
      </c>
      <c r="Q528" s="1">
        <f t="shared" si="76"/>
        <v>1.8000000000000003E-6</v>
      </c>
    </row>
    <row r="529" spans="1:17" x14ac:dyDescent="0.25">
      <c r="A529" s="1">
        <v>26.35</v>
      </c>
      <c r="B529" s="1">
        <v>3.3119999999999997E-2</v>
      </c>
      <c r="C529" s="1">
        <v>4.7207999999999998E-3</v>
      </c>
      <c r="D529" s="1">
        <v>1.609E-2</v>
      </c>
      <c r="E529" s="1">
        <v>3.8285E-2</v>
      </c>
      <c r="F529" s="1">
        <v>1.8608E-6</v>
      </c>
      <c r="G529" s="1">
        <v>6.8902999999999999</v>
      </c>
      <c r="H529" s="1">
        <v>1.3566000000000001E-7</v>
      </c>
      <c r="I529" s="1">
        <f t="shared" si="72"/>
        <v>1.3566000000000001E-7</v>
      </c>
      <c r="J529" s="4">
        <f t="shared" si="73"/>
        <v>-1.0891838131857844E-8</v>
      </c>
      <c r="K529" s="4">
        <f t="shared" si="74"/>
        <v>-2.0233374287304192E-8</v>
      </c>
      <c r="L529" s="4">
        <f t="shared" si="75"/>
        <v>-9.3254223759977496E-9</v>
      </c>
      <c r="M529" s="4">
        <f t="shared" si="77"/>
        <v>-1.040163119668009E-8</v>
      </c>
      <c r="N529" s="5">
        <f t="shared" si="78"/>
        <v>3.1529543874447038E-8</v>
      </c>
      <c r="O529" s="5">
        <f t="shared" si="79"/>
        <v>1.0386690328516902E-6</v>
      </c>
      <c r="P529" s="5">
        <f t="shared" si="80"/>
        <v>7.2980142327386307E-7</v>
      </c>
      <c r="Q529" s="1">
        <f t="shared" si="76"/>
        <v>1.8000000000000003E-6</v>
      </c>
    </row>
    <row r="530" spans="1:17" x14ac:dyDescent="0.25">
      <c r="A530" s="1">
        <v>26.4</v>
      </c>
      <c r="B530" s="1">
        <v>3.3058999999999998E-2</v>
      </c>
      <c r="C530" s="1">
        <v>4.7201999999999999E-3</v>
      </c>
      <c r="D530" s="1">
        <v>1.6121E-2</v>
      </c>
      <c r="E530" s="1">
        <v>3.8214999999999999E-2</v>
      </c>
      <c r="F530" s="1">
        <v>1.8623999999999999E-6</v>
      </c>
      <c r="G530" s="1">
        <v>6.8898000000000001</v>
      </c>
      <c r="H530" s="1">
        <v>1.3577999999999999E-7</v>
      </c>
      <c r="I530" s="1">
        <f t="shared" si="72"/>
        <v>1.3577999999999999E-7</v>
      </c>
      <c r="J530" s="4">
        <f t="shared" si="73"/>
        <v>-1.091734620895092E-8</v>
      </c>
      <c r="K530" s="4">
        <f t="shared" si="74"/>
        <v>-2.0254046140606806E-8</v>
      </c>
      <c r="L530" s="4">
        <f t="shared" si="75"/>
        <v>-9.3216787853621929E-9</v>
      </c>
      <c r="M530" s="4">
        <f t="shared" si="77"/>
        <v>-1.0395510413539298E-8</v>
      </c>
      <c r="N530" s="5">
        <f t="shared" si="78"/>
        <v>3.1544565020740733E-8</v>
      </c>
      <c r="O530" s="5">
        <f t="shared" si="79"/>
        <v>1.0397278433335735E-6</v>
      </c>
      <c r="P530" s="5">
        <f t="shared" si="80"/>
        <v>7.2872759164568595E-7</v>
      </c>
      <c r="Q530" s="1">
        <f t="shared" si="76"/>
        <v>1.8000000000000001E-6</v>
      </c>
    </row>
    <row r="531" spans="1:17" x14ac:dyDescent="0.25">
      <c r="A531" s="1">
        <v>26.45</v>
      </c>
      <c r="B531" s="1">
        <v>3.2998E-2</v>
      </c>
      <c r="C531" s="1">
        <v>4.7196E-3</v>
      </c>
      <c r="D531" s="1">
        <v>1.6150999999999999E-2</v>
      </c>
      <c r="E531" s="1">
        <v>3.8145999999999999E-2</v>
      </c>
      <c r="F531" s="1">
        <v>1.8640000000000001E-6</v>
      </c>
      <c r="G531" s="1">
        <v>6.8894000000000002</v>
      </c>
      <c r="H531" s="1">
        <v>1.3591E-7</v>
      </c>
      <c r="I531" s="1">
        <f t="shared" si="72"/>
        <v>1.3591E-7</v>
      </c>
      <c r="J531" s="4">
        <f t="shared" si="73"/>
        <v>-1.0941338871895588E-8</v>
      </c>
      <c r="K531" s="4">
        <f t="shared" si="74"/>
        <v>-2.0274692945004972E-8</v>
      </c>
      <c r="L531" s="4">
        <f t="shared" si="75"/>
        <v>-9.3170723244543754E-9</v>
      </c>
      <c r="M531" s="4">
        <f t="shared" si="77"/>
        <v>-1.0389396401333526E-8</v>
      </c>
      <c r="N531" s="5">
        <f t="shared" si="78"/>
        <v>3.1560846769395738E-8</v>
      </c>
      <c r="O531" s="5">
        <f t="shared" si="79"/>
        <v>1.0407838856617978E-6</v>
      </c>
      <c r="P531" s="5">
        <f t="shared" si="80"/>
        <v>7.2765526756880674E-7</v>
      </c>
      <c r="Q531" s="1">
        <f t="shared" si="76"/>
        <v>1.8000000000000001E-6</v>
      </c>
    </row>
    <row r="532" spans="1:17" x14ac:dyDescent="0.25">
      <c r="A532" s="1">
        <v>26.5</v>
      </c>
      <c r="B532" s="1">
        <v>3.2938000000000002E-2</v>
      </c>
      <c r="C532" s="1">
        <v>4.7190000000000001E-3</v>
      </c>
      <c r="D532" s="1">
        <v>1.6181999999999998E-2</v>
      </c>
      <c r="E532" s="1">
        <v>3.8075999999999999E-2</v>
      </c>
      <c r="F532" s="1">
        <v>1.8656E-6</v>
      </c>
      <c r="G532" s="1">
        <v>6.8890000000000002</v>
      </c>
      <c r="H532" s="1">
        <v>1.3603000000000001E-7</v>
      </c>
      <c r="I532" s="1">
        <f t="shared" si="72"/>
        <v>1.3603000000000001E-7</v>
      </c>
      <c r="J532" s="4">
        <f t="shared" si="73"/>
        <v>-1.0965803585687998E-8</v>
      </c>
      <c r="K532" s="4">
        <f t="shared" si="74"/>
        <v>-2.0295285770405346E-8</v>
      </c>
      <c r="L532" s="4">
        <f t="shared" si="75"/>
        <v>-9.313044022830287E-9</v>
      </c>
      <c r="M532" s="4">
        <f t="shared" si="77"/>
        <v>-1.0384040878604183E-8</v>
      </c>
      <c r="N532" s="5">
        <f t="shared" si="78"/>
        <v>3.1577284931282791E-8</v>
      </c>
      <c r="O532" s="5">
        <f t="shared" si="79"/>
        <v>1.0418384443556848E-6</v>
      </c>
      <c r="P532" s="5">
        <f t="shared" si="80"/>
        <v>7.2658427071303283E-7</v>
      </c>
      <c r="Q532" s="1">
        <f t="shared" si="76"/>
        <v>1.8000000000000006E-6</v>
      </c>
    </row>
    <row r="533" spans="1:17" x14ac:dyDescent="0.25">
      <c r="A533" s="1">
        <v>26.55</v>
      </c>
      <c r="B533" s="1">
        <v>3.2877000000000003E-2</v>
      </c>
      <c r="C533" s="1">
        <v>4.7184000000000002E-3</v>
      </c>
      <c r="D533" s="1">
        <v>1.6213000000000002E-2</v>
      </c>
      <c r="E533" s="1">
        <v>3.8005999999999998E-2</v>
      </c>
      <c r="F533" s="1">
        <v>1.8672000000000001E-6</v>
      </c>
      <c r="G533" s="1">
        <v>6.8884999999999996</v>
      </c>
      <c r="H533" s="1">
        <v>1.3615000000000001E-7</v>
      </c>
      <c r="I533" s="1">
        <f t="shared" si="72"/>
        <v>1.3615000000000001E-7</v>
      </c>
      <c r="J533" s="4">
        <f t="shared" si="73"/>
        <v>-1.0990358321161144E-8</v>
      </c>
      <c r="K533" s="4">
        <f t="shared" si="74"/>
        <v>-2.0315849664936146E-8</v>
      </c>
      <c r="L533" s="4">
        <f t="shared" si="75"/>
        <v>-9.308779300287341E-9</v>
      </c>
      <c r="M533" s="4">
        <f t="shared" si="77"/>
        <v>-1.0377912126235001E-8</v>
      </c>
      <c r="N533" s="5">
        <f t="shared" si="78"/>
        <v>3.1593996974770449E-8</v>
      </c>
      <c r="O533" s="5">
        <f t="shared" si="79"/>
        <v>1.0428908651381449E-6</v>
      </c>
      <c r="P533" s="5">
        <f t="shared" si="80"/>
        <v>7.2551513788708515E-7</v>
      </c>
      <c r="Q533" s="1">
        <f t="shared" si="76"/>
        <v>1.8000000000000006E-6</v>
      </c>
    </row>
    <row r="534" spans="1:17" x14ac:dyDescent="0.25">
      <c r="A534" s="1">
        <v>26.6</v>
      </c>
      <c r="B534" s="1">
        <v>3.2815999999999998E-2</v>
      </c>
      <c r="C534" s="1">
        <v>4.7177E-3</v>
      </c>
      <c r="D534" s="1">
        <v>1.6243E-2</v>
      </c>
      <c r="E534" s="1">
        <v>3.7936999999999999E-2</v>
      </c>
      <c r="F534" s="1">
        <v>1.8688E-6</v>
      </c>
      <c r="G534" s="1">
        <v>6.8880999999999997</v>
      </c>
      <c r="H534" s="1">
        <v>1.3626999999999999E-7</v>
      </c>
      <c r="I534" s="1">
        <f t="shared" si="72"/>
        <v>1.3626999999999999E-7</v>
      </c>
      <c r="J534" s="4">
        <f t="shared" si="73"/>
        <v>-1.1015044338169284E-8</v>
      </c>
      <c r="K534" s="4">
        <f t="shared" si="74"/>
        <v>-2.0336371870194117E-8</v>
      </c>
      <c r="L534" s="4">
        <f t="shared" si="75"/>
        <v>-9.3045563771064502E-9</v>
      </c>
      <c r="M534" s="4">
        <f t="shared" si="77"/>
        <v>-1.0371783032449447E-8</v>
      </c>
      <c r="N534" s="5">
        <f t="shared" si="78"/>
        <v>3.1610768129688827E-8</v>
      </c>
      <c r="O534" s="5">
        <f t="shared" si="79"/>
        <v>1.0439413206385695E-6</v>
      </c>
      <c r="P534" s="5">
        <f t="shared" si="80"/>
        <v>7.2444791123174212E-7</v>
      </c>
      <c r="Q534" s="1">
        <f t="shared" si="76"/>
        <v>1.8000000000000003E-6</v>
      </c>
    </row>
    <row r="535" spans="1:17" x14ac:dyDescent="0.25">
      <c r="A535" s="1">
        <v>26.65</v>
      </c>
      <c r="B535" s="1">
        <v>3.2756E-2</v>
      </c>
      <c r="C535" s="1">
        <v>4.7169999999999998E-3</v>
      </c>
      <c r="D535" s="1">
        <v>1.6274E-2</v>
      </c>
      <c r="E535" s="1">
        <v>3.7867999999999999E-2</v>
      </c>
      <c r="F535" s="1">
        <v>1.8703999999999999E-6</v>
      </c>
      <c r="G535" s="1">
        <v>6.8876999999999997</v>
      </c>
      <c r="H535" s="1">
        <v>1.3638999999999999E-7</v>
      </c>
      <c r="I535" s="1">
        <f t="shared" si="72"/>
        <v>1.3638999999999999E-7</v>
      </c>
      <c r="J535" s="4">
        <f t="shared" si="73"/>
        <v>-1.1039787146484265E-8</v>
      </c>
      <c r="K535" s="4">
        <f t="shared" si="74"/>
        <v>-2.035685575245095E-8</v>
      </c>
      <c r="L535" s="4">
        <f t="shared" si="75"/>
        <v>-9.30055693841567E-9</v>
      </c>
      <c r="M535" s="4">
        <f t="shared" si="77"/>
        <v>-1.0365654270672109E-8</v>
      </c>
      <c r="N535" s="5">
        <f t="shared" si="78"/>
        <v>3.1627279797239846E-8</v>
      </c>
      <c r="O535" s="5">
        <f t="shared" si="79"/>
        <v>1.044989906303275E-6</v>
      </c>
      <c r="P535" s="5">
        <f t="shared" si="80"/>
        <v>7.2338281389948572E-7</v>
      </c>
      <c r="Q535" s="1">
        <f t="shared" si="76"/>
        <v>1.8000000000000006E-6</v>
      </c>
    </row>
    <row r="536" spans="1:17" x14ac:dyDescent="0.25">
      <c r="A536" s="1">
        <v>26.7</v>
      </c>
      <c r="B536" s="1">
        <v>3.2695000000000002E-2</v>
      </c>
      <c r="C536" s="1">
        <v>4.7162999999999997E-3</v>
      </c>
      <c r="D536" s="1">
        <v>1.6305E-2</v>
      </c>
      <c r="E536" s="1">
        <v>3.7797999999999998E-2</v>
      </c>
      <c r="F536" s="1">
        <v>1.8719E-6</v>
      </c>
      <c r="G536" s="1">
        <v>6.8872999999999998</v>
      </c>
      <c r="H536" s="1">
        <v>1.3651E-7</v>
      </c>
      <c r="I536" s="1">
        <f t="shared" si="72"/>
        <v>1.3651E-7</v>
      </c>
      <c r="J536" s="4">
        <f t="shared" si="73"/>
        <v>-1.1064475419391102E-8</v>
      </c>
      <c r="K536" s="4">
        <f t="shared" si="74"/>
        <v>-2.0377303172914151E-8</v>
      </c>
      <c r="L536" s="4">
        <f t="shared" si="75"/>
        <v>-9.2964427609240522E-9</v>
      </c>
      <c r="M536" s="4">
        <f t="shared" si="77"/>
        <v>-1.0359529108713987E-8</v>
      </c>
      <c r="N536" s="5">
        <f t="shared" si="78"/>
        <v>3.1643664789838848E-8</v>
      </c>
      <c r="O536" s="5">
        <f t="shared" si="79"/>
        <v>1.046036607658466E-6</v>
      </c>
      <c r="P536" s="5">
        <f t="shared" si="80"/>
        <v>7.2231972755169579E-7</v>
      </c>
      <c r="Q536" s="1">
        <f t="shared" si="76"/>
        <v>1.8000000000000006E-6</v>
      </c>
    </row>
    <row r="537" spans="1:17" x14ac:dyDescent="0.25">
      <c r="A537" s="1">
        <v>26.75</v>
      </c>
      <c r="B537" s="1">
        <v>3.2634999999999997E-2</v>
      </c>
      <c r="C537" s="1">
        <v>4.7156000000000003E-3</v>
      </c>
      <c r="D537" s="1">
        <v>1.6334999999999999E-2</v>
      </c>
      <c r="E537" s="1">
        <v>3.7728999999999999E-2</v>
      </c>
      <c r="F537" s="1">
        <v>1.8733999999999999E-6</v>
      </c>
      <c r="G537" s="1">
        <v>6.8868</v>
      </c>
      <c r="H537" s="1">
        <v>1.3663E-7</v>
      </c>
      <c r="I537" s="1">
        <f t="shared" si="72"/>
        <v>1.3663E-7</v>
      </c>
      <c r="J537" s="4">
        <f t="shared" si="73"/>
        <v>-1.1087970551921553E-8</v>
      </c>
      <c r="K537" s="4">
        <f t="shared" si="74"/>
        <v>-2.0397713849340377E-8</v>
      </c>
      <c r="L537" s="4">
        <f t="shared" si="75"/>
        <v>-9.2915108196183197E-9</v>
      </c>
      <c r="M537" s="4">
        <f t="shared" si="77"/>
        <v>-1.0353405930848755E-8</v>
      </c>
      <c r="N537" s="5">
        <f t="shared" si="78"/>
        <v>3.1661897267639356E-8</v>
      </c>
      <c r="O537" s="5">
        <f t="shared" si="79"/>
        <v>1.0470802702918959E-6</v>
      </c>
      <c r="P537" s="5">
        <f t="shared" si="80"/>
        <v>7.212578324404653E-7</v>
      </c>
      <c r="Q537" s="1">
        <f t="shared" si="76"/>
        <v>1.8000000000000006E-6</v>
      </c>
    </row>
    <row r="538" spans="1:17" x14ac:dyDescent="0.25">
      <c r="A538" s="1">
        <v>26.8</v>
      </c>
      <c r="B538" s="1">
        <v>3.2575E-2</v>
      </c>
      <c r="C538" s="1">
        <v>4.7147999999999999E-3</v>
      </c>
      <c r="D538" s="1">
        <v>1.6365999999999999E-2</v>
      </c>
      <c r="E538" s="1">
        <v>3.7659999999999999E-2</v>
      </c>
      <c r="F538" s="1">
        <v>1.875E-6</v>
      </c>
      <c r="G538" s="1">
        <v>6.8864000000000001</v>
      </c>
      <c r="H538" s="1">
        <v>1.3675E-7</v>
      </c>
      <c r="I538" s="1">
        <f t="shared" si="72"/>
        <v>1.3675E-7</v>
      </c>
      <c r="J538" s="4">
        <f t="shared" si="73"/>
        <v>-1.1112146725239735E-8</v>
      </c>
      <c r="K538" s="4">
        <f t="shared" si="74"/>
        <v>-2.0418065270692264E-8</v>
      </c>
      <c r="L538" s="4">
        <f t="shared" si="75"/>
        <v>-9.2873292556622455E-9</v>
      </c>
      <c r="M538" s="4">
        <f t="shared" si="77"/>
        <v>-1.0347273052865928E-8</v>
      </c>
      <c r="N538" s="5">
        <f t="shared" si="78"/>
        <v>3.1680486557429636E-8</v>
      </c>
      <c r="O538" s="5">
        <f t="shared" si="79"/>
        <v>1.0481216247993093E-6</v>
      </c>
      <c r="P538" s="5">
        <f t="shared" si="80"/>
        <v>7.2019788864326156E-7</v>
      </c>
      <c r="Q538" s="1">
        <f t="shared" si="76"/>
        <v>1.8000000000000006E-6</v>
      </c>
    </row>
    <row r="539" spans="1:17" x14ac:dyDescent="0.25">
      <c r="A539" s="1">
        <v>26.85</v>
      </c>
      <c r="B539" s="1">
        <v>3.2514000000000001E-2</v>
      </c>
      <c r="C539" s="1">
        <v>4.7140000000000003E-3</v>
      </c>
      <c r="D539" s="1">
        <v>1.6396000000000001E-2</v>
      </c>
      <c r="E539" s="1">
        <v>3.7590999999999999E-2</v>
      </c>
      <c r="F539" s="1">
        <v>1.8764999999999999E-6</v>
      </c>
      <c r="G539" s="1">
        <v>6.8860000000000001</v>
      </c>
      <c r="H539" s="1">
        <v>1.3687000000000001E-7</v>
      </c>
      <c r="I539" s="1">
        <f t="shared" si="72"/>
        <v>1.3687000000000001E-7</v>
      </c>
      <c r="J539" s="4">
        <f t="shared" si="73"/>
        <v>-1.1137671055346515E-8</v>
      </c>
      <c r="K539" s="4">
        <f t="shared" si="74"/>
        <v>-2.0438371683586823E-8</v>
      </c>
      <c r="L539" s="4">
        <f t="shared" si="75"/>
        <v>-9.2837091817016074E-9</v>
      </c>
      <c r="M539" s="4">
        <f t="shared" si="77"/>
        <v>-1.0341141433556579E-8</v>
      </c>
      <c r="N539" s="5">
        <f t="shared" si="78"/>
        <v>3.1697478003968339E-8</v>
      </c>
      <c r="O539" s="5">
        <f t="shared" si="79"/>
        <v>1.0491620656046256E-6</v>
      </c>
      <c r="P539" s="5">
        <f t="shared" si="80"/>
        <v>7.1914045639140665E-7</v>
      </c>
      <c r="Q539" s="1">
        <f t="shared" si="76"/>
        <v>1.8000000000000006E-6</v>
      </c>
    </row>
    <row r="540" spans="1:17" x14ac:dyDescent="0.25">
      <c r="A540" s="1">
        <v>26.9</v>
      </c>
      <c r="B540" s="1">
        <v>3.2453999999999997E-2</v>
      </c>
      <c r="C540" s="1">
        <v>4.7130999999999996E-3</v>
      </c>
      <c r="D540" s="1">
        <v>1.6427000000000001E-2</v>
      </c>
      <c r="E540" s="1">
        <v>3.7522E-2</v>
      </c>
      <c r="F540" s="1">
        <v>1.8779000000000001E-6</v>
      </c>
      <c r="G540" s="1">
        <v>6.8856000000000002</v>
      </c>
      <c r="H540" s="1">
        <v>1.3699000000000001E-7</v>
      </c>
      <c r="I540" s="1">
        <f t="shared" si="72"/>
        <v>1.3699000000000001E-7</v>
      </c>
      <c r="J540" s="4">
        <f t="shared" si="73"/>
        <v>-1.1161481574079268E-8</v>
      </c>
      <c r="K540" s="4">
        <f t="shared" si="74"/>
        <v>-2.0458660279289036E-8</v>
      </c>
      <c r="L540" s="4">
        <f t="shared" si="75"/>
        <v>-9.2790871488544462E-9</v>
      </c>
      <c r="M540" s="4">
        <f t="shared" si="77"/>
        <v>-1.0335019197960056E-8</v>
      </c>
      <c r="N540" s="5">
        <f t="shared" si="78"/>
        <v>3.1715569560323666E-8</v>
      </c>
      <c r="O540" s="5">
        <f t="shared" si="79"/>
        <v>1.050199906097376E-6</v>
      </c>
      <c r="P540" s="5">
        <f t="shared" si="80"/>
        <v>7.1808452434230098E-7</v>
      </c>
      <c r="Q540" s="1">
        <f t="shared" si="76"/>
        <v>1.8000000000000006E-6</v>
      </c>
    </row>
    <row r="541" spans="1:17" x14ac:dyDescent="0.25">
      <c r="A541" s="1">
        <v>26.95</v>
      </c>
      <c r="B541" s="1">
        <v>3.2393999999999999E-2</v>
      </c>
      <c r="C541" s="1">
        <v>4.7121999999999997E-3</v>
      </c>
      <c r="D541" s="1">
        <v>1.6456999999999999E-2</v>
      </c>
      <c r="E541" s="1">
        <v>3.7453E-2</v>
      </c>
      <c r="F541" s="1">
        <v>1.8794E-6</v>
      </c>
      <c r="G541" s="1">
        <v>6.8852000000000002</v>
      </c>
      <c r="H541" s="1">
        <v>1.3710999999999999E-7</v>
      </c>
      <c r="I541" s="1">
        <f t="shared" si="72"/>
        <v>1.3710999999999999E-7</v>
      </c>
      <c r="J541" s="4">
        <f t="shared" si="73"/>
        <v>-1.11845222782423E-8</v>
      </c>
      <c r="K541" s="4">
        <f t="shared" si="74"/>
        <v>-2.0478898168899126E-8</v>
      </c>
      <c r="L541" s="4">
        <f t="shared" si="75"/>
        <v>-9.2742554259303548E-9</v>
      </c>
      <c r="M541" s="4">
        <f t="shared" si="77"/>
        <v>-1.0328891893913588E-8</v>
      </c>
      <c r="N541" s="5">
        <f t="shared" si="78"/>
        <v>3.173569002505014E-8</v>
      </c>
      <c r="O541" s="5">
        <f t="shared" si="79"/>
        <v>1.0512344221006325E-6</v>
      </c>
      <c r="P541" s="5">
        <f t="shared" si="80"/>
        <v>7.1702988787431775E-7</v>
      </c>
      <c r="Q541" s="1">
        <f t="shared" si="76"/>
        <v>1.8000000000000003E-6</v>
      </c>
    </row>
    <row r="542" spans="1:17" x14ac:dyDescent="0.25">
      <c r="A542" s="1">
        <v>27</v>
      </c>
      <c r="B542" s="1">
        <v>3.2334000000000002E-2</v>
      </c>
      <c r="C542" s="1">
        <v>4.7112999999999999E-3</v>
      </c>
      <c r="D542" s="1">
        <v>1.6487999999999999E-2</v>
      </c>
      <c r="E542" s="1">
        <v>3.7384000000000001E-2</v>
      </c>
      <c r="F542" s="1">
        <v>1.8809000000000001E-6</v>
      </c>
      <c r="G542" s="1">
        <v>6.8846999999999996</v>
      </c>
      <c r="H542" s="1">
        <v>1.3722999999999999E-7</v>
      </c>
      <c r="I542" s="1">
        <f t="shared" si="72"/>
        <v>1.3722999999999999E-7</v>
      </c>
      <c r="J542" s="4">
        <f t="shared" si="73"/>
        <v>-1.120950385326907E-8</v>
      </c>
      <c r="K542" s="4">
        <f t="shared" si="74"/>
        <v>-2.0499071230962624E-8</v>
      </c>
      <c r="L542" s="4">
        <f t="shared" si="75"/>
        <v>-9.2704726159328433E-9</v>
      </c>
      <c r="M542" s="4">
        <f t="shared" si="77"/>
        <v>-1.0322756632277156E-8</v>
      </c>
      <c r="N542" s="5">
        <f t="shared" si="78"/>
        <v>3.1754784786810856E-8</v>
      </c>
      <c r="O542" s="5">
        <f t="shared" si="79"/>
        <v>1.0522676113552162E-6</v>
      </c>
      <c r="P542" s="5">
        <f t="shared" si="80"/>
        <v>7.1597760385797341E-7</v>
      </c>
      <c r="Q542" s="1">
        <f t="shared" si="76"/>
        <v>1.8000000000000006E-6</v>
      </c>
    </row>
    <row r="543" spans="1:17" x14ac:dyDescent="0.25">
      <c r="A543" s="1">
        <v>27.05</v>
      </c>
      <c r="B543" s="1">
        <v>3.2273999999999997E-2</v>
      </c>
      <c r="C543" s="1">
        <v>4.7104E-3</v>
      </c>
      <c r="D543" s="1">
        <v>1.6518000000000001E-2</v>
      </c>
      <c r="E543" s="1">
        <v>3.7315000000000001E-2</v>
      </c>
      <c r="F543" s="1">
        <v>1.8823E-6</v>
      </c>
      <c r="G543" s="1">
        <v>6.8842999999999996</v>
      </c>
      <c r="H543" s="1">
        <v>1.3735E-7</v>
      </c>
      <c r="I543" s="1">
        <f t="shared" si="72"/>
        <v>1.3735E-7</v>
      </c>
      <c r="J543" s="4">
        <f t="shared" si="73"/>
        <v>-1.1234159526360014E-8</v>
      </c>
      <c r="K543" s="4">
        <f t="shared" si="74"/>
        <v>-2.0519218421427009E-8</v>
      </c>
      <c r="L543" s="4">
        <f t="shared" si="75"/>
        <v>-9.2663509590822879E-9</v>
      </c>
      <c r="M543" s="4">
        <f t="shared" si="77"/>
        <v>-1.0316628690630264E-8</v>
      </c>
      <c r="N543" s="5">
        <f t="shared" si="78"/>
        <v>3.1773492722795568E-8</v>
      </c>
      <c r="O543" s="5">
        <f t="shared" si="79"/>
        <v>1.0532991811507795E-6</v>
      </c>
      <c r="P543" s="5">
        <f t="shared" si="80"/>
        <v>7.1492732612642544E-7</v>
      </c>
      <c r="Q543" s="1">
        <f t="shared" si="76"/>
        <v>1.8000000000000006E-6</v>
      </c>
    </row>
    <row r="544" spans="1:17" x14ac:dyDescent="0.25">
      <c r="A544" s="1">
        <v>27.1</v>
      </c>
      <c r="B544" s="1">
        <v>3.2214E-2</v>
      </c>
      <c r="C544" s="1">
        <v>4.7093999999999999E-3</v>
      </c>
      <c r="D544" s="1">
        <v>1.6549000000000001E-2</v>
      </c>
      <c r="E544" s="1">
        <v>3.7247000000000002E-2</v>
      </c>
      <c r="F544" s="1">
        <v>1.8837000000000001E-6</v>
      </c>
      <c r="G544" s="1">
        <v>6.8838999999999997</v>
      </c>
      <c r="H544" s="1">
        <v>1.3747E-7</v>
      </c>
      <c r="I544" s="1">
        <f t="shared" si="72"/>
        <v>1.3747E-7</v>
      </c>
      <c r="J544" s="4">
        <f t="shared" si="73"/>
        <v>-1.1257517792629348E-8</v>
      </c>
      <c r="K544" s="4">
        <f t="shared" si="74"/>
        <v>-2.0539334032440492E-8</v>
      </c>
      <c r="L544" s="4">
        <f t="shared" si="75"/>
        <v>-9.2615855453044231E-9</v>
      </c>
      <c r="M544" s="4">
        <f t="shared" si="77"/>
        <v>-1.0310503165563923E-8</v>
      </c>
      <c r="N544" s="5">
        <f t="shared" si="78"/>
        <v>3.179372341730229E-8</v>
      </c>
      <c r="O544" s="5">
        <f t="shared" si="79"/>
        <v>1.0543278680765323E-6</v>
      </c>
      <c r="P544" s="5">
        <f t="shared" si="80"/>
        <v>7.138784085061659E-7</v>
      </c>
      <c r="Q544" s="1">
        <f t="shared" si="76"/>
        <v>1.8000000000000006E-6</v>
      </c>
    </row>
    <row r="545" spans="1:17" x14ac:dyDescent="0.25">
      <c r="A545" s="1">
        <v>27.15</v>
      </c>
      <c r="B545" s="1">
        <v>3.2155000000000003E-2</v>
      </c>
      <c r="C545" s="1">
        <v>4.7083999999999997E-3</v>
      </c>
      <c r="D545" s="1">
        <v>1.6579E-2</v>
      </c>
      <c r="E545" s="1">
        <v>3.7178000000000003E-2</v>
      </c>
      <c r="F545" s="1">
        <v>1.8852E-6</v>
      </c>
      <c r="G545" s="1">
        <v>6.8834999999999997</v>
      </c>
      <c r="H545" s="1">
        <v>1.3759E-7</v>
      </c>
      <c r="I545" s="1">
        <f t="shared" si="72"/>
        <v>1.3759E-7</v>
      </c>
      <c r="J545" s="4">
        <f t="shared" si="73"/>
        <v>-1.1281448558236191E-8</v>
      </c>
      <c r="K545" s="4">
        <f t="shared" si="74"/>
        <v>-2.0559393427491211E-8</v>
      </c>
      <c r="L545" s="4">
        <f t="shared" si="75"/>
        <v>-9.2574745180325279E-9</v>
      </c>
      <c r="M545" s="4">
        <f t="shared" si="77"/>
        <v>-1.030437080582039E-8</v>
      </c>
      <c r="N545" s="5">
        <f t="shared" si="78"/>
        <v>3.181419376852478E-8</v>
      </c>
      <c r="O545" s="5">
        <f t="shared" si="79"/>
        <v>1.0553542940130978E-6</v>
      </c>
      <c r="P545" s="5">
        <f t="shared" si="80"/>
        <v>7.1283151221837805E-7</v>
      </c>
      <c r="Q545" s="1">
        <f t="shared" si="76"/>
        <v>1.8000000000000006E-6</v>
      </c>
    </row>
    <row r="546" spans="1:17" x14ac:dyDescent="0.25">
      <c r="A546" s="1">
        <v>27.2</v>
      </c>
      <c r="B546" s="1">
        <v>3.2094999999999999E-2</v>
      </c>
      <c r="C546" s="1">
        <v>4.7073999999999996E-3</v>
      </c>
      <c r="D546" s="1">
        <v>1.6608999999999999E-2</v>
      </c>
      <c r="E546" s="1">
        <v>3.7109000000000003E-2</v>
      </c>
      <c r="F546" s="1">
        <v>1.8866000000000001E-6</v>
      </c>
      <c r="G546" s="1">
        <v>6.8830999999999998</v>
      </c>
      <c r="H546" s="1">
        <v>1.3771000000000001E-7</v>
      </c>
      <c r="I546" s="1">
        <f t="shared" si="72"/>
        <v>1.3771000000000001E-7</v>
      </c>
      <c r="J546" s="4">
        <f t="shared" si="73"/>
        <v>-1.1306697782783727E-8</v>
      </c>
      <c r="K546" s="4">
        <f t="shared" si="74"/>
        <v>-2.0579408733255699E-8</v>
      </c>
      <c r="L546" s="4">
        <f t="shared" si="75"/>
        <v>-9.253637291526542E-9</v>
      </c>
      <c r="M546" s="4">
        <f t="shared" si="77"/>
        <v>-1.0298241215443444E-8</v>
      </c>
      <c r="N546" s="5">
        <f t="shared" si="78"/>
        <v>3.1833267427470212E-8</v>
      </c>
      <c r="O546" s="5">
        <f t="shared" si="79"/>
        <v>1.0563798242780691E-6</v>
      </c>
      <c r="P546" s="5">
        <f t="shared" si="80"/>
        <v>7.1178690829446111E-7</v>
      </c>
      <c r="Q546" s="1">
        <f t="shared" si="76"/>
        <v>1.8000000000000003E-6</v>
      </c>
    </row>
    <row r="547" spans="1:17" x14ac:dyDescent="0.25">
      <c r="A547" s="1">
        <v>27.25</v>
      </c>
      <c r="B547" s="1">
        <v>3.2035000000000001E-2</v>
      </c>
      <c r="C547" s="1">
        <v>4.7063000000000001E-3</v>
      </c>
      <c r="D547" s="1">
        <v>1.6639999999999999E-2</v>
      </c>
      <c r="E547" s="1">
        <v>3.7040999999999998E-2</v>
      </c>
      <c r="F547" s="1">
        <v>1.8879E-6</v>
      </c>
      <c r="G547" s="1">
        <v>6.8826000000000001</v>
      </c>
      <c r="H547" s="1">
        <v>1.3782E-7</v>
      </c>
      <c r="I547" s="1">
        <f t="shared" si="72"/>
        <v>1.3782E-7</v>
      </c>
      <c r="J547" s="4">
        <f t="shared" si="73"/>
        <v>-1.1330286141726158E-8</v>
      </c>
      <c r="K547" s="4">
        <f t="shared" si="74"/>
        <v>-2.0599406573422643E-8</v>
      </c>
      <c r="L547" s="4">
        <f t="shared" si="75"/>
        <v>-9.2488640517240623E-9</v>
      </c>
      <c r="M547" s="4">
        <f t="shared" si="77"/>
        <v>-1.0292118389829322E-8</v>
      </c>
      <c r="N547" s="5">
        <f t="shared" si="78"/>
        <v>3.1853523807442639E-8</v>
      </c>
      <c r="O547" s="5">
        <f t="shared" si="79"/>
        <v>1.0574028222362018E-6</v>
      </c>
      <c r="P547" s="5">
        <f t="shared" si="80"/>
        <v>7.1074365395635577E-7</v>
      </c>
      <c r="Q547" s="1">
        <f t="shared" si="76"/>
        <v>1.8000000000000001E-6</v>
      </c>
    </row>
    <row r="548" spans="1:17" x14ac:dyDescent="0.25">
      <c r="A548" s="1">
        <v>27.3</v>
      </c>
      <c r="B548" s="1">
        <v>3.1975999999999997E-2</v>
      </c>
      <c r="C548" s="1">
        <v>4.7051999999999997E-3</v>
      </c>
      <c r="D548" s="1">
        <v>1.6670000000000001E-2</v>
      </c>
      <c r="E548" s="1">
        <v>3.6971999999999998E-2</v>
      </c>
      <c r="F548" s="1">
        <v>1.8893000000000001E-6</v>
      </c>
      <c r="G548" s="1">
        <v>6.8822000000000001</v>
      </c>
      <c r="H548" s="1">
        <v>1.3794E-7</v>
      </c>
      <c r="I548" s="1">
        <f t="shared" si="72"/>
        <v>1.3794E-7</v>
      </c>
      <c r="J548" s="4">
        <f t="shared" si="73"/>
        <v>-1.1353125959462397E-8</v>
      </c>
      <c r="K548" s="4">
        <f t="shared" si="74"/>
        <v>-2.0619355033606229E-8</v>
      </c>
      <c r="L548" s="4">
        <f t="shared" si="75"/>
        <v>-9.2441560753082981E-9</v>
      </c>
      <c r="M548" s="4">
        <f t="shared" si="77"/>
        <v>-1.0285242490767965E-8</v>
      </c>
      <c r="N548" s="5">
        <f t="shared" si="78"/>
        <v>3.1875596806278173E-8</v>
      </c>
      <c r="O548" s="5">
        <f t="shared" si="79"/>
        <v>1.0584218356528259E-6</v>
      </c>
      <c r="P548" s="5">
        <f t="shared" si="80"/>
        <v>7.0970256754089603E-7</v>
      </c>
      <c r="Q548" s="1">
        <f t="shared" si="76"/>
        <v>1.8000000000000001E-6</v>
      </c>
    </row>
    <row r="549" spans="1:17" x14ac:dyDescent="0.25">
      <c r="A549" s="1">
        <v>27.35</v>
      </c>
      <c r="B549" s="1">
        <v>3.1916E-2</v>
      </c>
      <c r="C549" s="1">
        <v>4.7041000000000001E-3</v>
      </c>
      <c r="D549" s="1">
        <v>1.67E-2</v>
      </c>
      <c r="E549" s="1">
        <v>3.6903999999999999E-2</v>
      </c>
      <c r="F549" s="1">
        <v>1.8907E-6</v>
      </c>
      <c r="G549" s="1">
        <v>6.8818000000000001</v>
      </c>
      <c r="H549" s="1">
        <v>1.3806000000000001E-7</v>
      </c>
      <c r="I549" s="1">
        <f t="shared" si="72"/>
        <v>1.3806000000000001E-7</v>
      </c>
      <c r="J549" s="4">
        <f t="shared" si="73"/>
        <v>-1.1377849214160092E-8</v>
      </c>
      <c r="K549" s="4">
        <f t="shared" si="74"/>
        <v>-2.06392257952304E-8</v>
      </c>
      <c r="L549" s="4">
        <f t="shared" si="75"/>
        <v>-9.2401770007706351E-9</v>
      </c>
      <c r="M549" s="4">
        <f t="shared" si="77"/>
        <v>-1.0279119077492222E-8</v>
      </c>
      <c r="N549" s="5">
        <f t="shared" si="78"/>
        <v>3.1896796386577849E-8</v>
      </c>
      <c r="O549" s="5">
        <f t="shared" si="79"/>
        <v>1.0594395781492476E-6</v>
      </c>
      <c r="P549" s="5">
        <f t="shared" si="80"/>
        <v>7.0866362546417444E-7</v>
      </c>
      <c r="Q549" s="1">
        <f t="shared" si="76"/>
        <v>1.7999999999999999E-6</v>
      </c>
    </row>
    <row r="550" spans="1:17" x14ac:dyDescent="0.25">
      <c r="A550" s="1">
        <v>27.4</v>
      </c>
      <c r="B550" s="1">
        <v>3.1857000000000003E-2</v>
      </c>
      <c r="C550" s="1">
        <v>4.7029999999999997E-3</v>
      </c>
      <c r="D550" s="1">
        <v>1.6730999999999999E-2</v>
      </c>
      <c r="E550" s="1">
        <v>3.6836000000000001E-2</v>
      </c>
      <c r="F550" s="1">
        <v>1.8920000000000001E-6</v>
      </c>
      <c r="G550" s="1">
        <v>6.8814000000000002</v>
      </c>
      <c r="H550" s="1">
        <v>1.3818000000000001E-7</v>
      </c>
      <c r="I550" s="1">
        <f t="shared" si="72"/>
        <v>1.3818000000000001E-7</v>
      </c>
      <c r="J550" s="4">
        <f t="shared" si="73"/>
        <v>-1.1402296092515736E-8</v>
      </c>
      <c r="K550" s="4">
        <f t="shared" si="74"/>
        <v>-2.0659071773909155E-8</v>
      </c>
      <c r="L550" s="4">
        <f t="shared" si="75"/>
        <v>-9.236155340575094E-9</v>
      </c>
      <c r="M550" s="4">
        <f t="shared" si="77"/>
        <v>-1.0273000513815728E-8</v>
      </c>
      <c r="N550" s="5">
        <f t="shared" si="78"/>
        <v>3.1917416727396168E-8</v>
      </c>
      <c r="O550" s="5">
        <f t="shared" si="79"/>
        <v>1.0604558029816699E-6</v>
      </c>
      <c r="P550" s="5">
        <f t="shared" si="80"/>
        <v>7.0762678029093386E-7</v>
      </c>
      <c r="Q550" s="1">
        <f t="shared" si="76"/>
        <v>1.8000000000000001E-6</v>
      </c>
    </row>
    <row r="551" spans="1:17" x14ac:dyDescent="0.25">
      <c r="A551" s="1">
        <v>27.45</v>
      </c>
      <c r="B551" s="1">
        <v>3.1798E-2</v>
      </c>
      <c r="C551" s="1">
        <v>4.7017999999999999E-3</v>
      </c>
      <c r="D551" s="1">
        <v>1.6761000000000002E-2</v>
      </c>
      <c r="E551" s="1">
        <v>3.6768000000000002E-2</v>
      </c>
      <c r="F551" s="1">
        <v>1.8932999999999999E-6</v>
      </c>
      <c r="G551" s="1">
        <v>6.8810000000000002</v>
      </c>
      <c r="H551" s="1">
        <v>1.3829999999999999E-7</v>
      </c>
      <c r="I551" s="1">
        <f t="shared" si="72"/>
        <v>1.3829999999999999E-7</v>
      </c>
      <c r="J551" s="4">
        <f t="shared" si="73"/>
        <v>-1.1425362763205952E-8</v>
      </c>
      <c r="K551" s="4">
        <f t="shared" si="74"/>
        <v>-2.0678888158142858E-8</v>
      </c>
      <c r="L551" s="4">
        <f t="shared" si="75"/>
        <v>-9.2314394841101247E-9</v>
      </c>
      <c r="M551" s="4">
        <f t="shared" si="77"/>
        <v>-1.0266886192563276E-8</v>
      </c>
      <c r="N551" s="5">
        <f t="shared" si="78"/>
        <v>3.1939502638222948E-8</v>
      </c>
      <c r="O551" s="5">
        <f t="shared" si="79"/>
        <v>1.0614691637792963E-6</v>
      </c>
      <c r="P551" s="5">
        <f t="shared" si="80"/>
        <v>7.0659133358248068E-7</v>
      </c>
      <c r="Q551" s="1">
        <f t="shared" si="76"/>
        <v>1.8000000000000001E-6</v>
      </c>
    </row>
    <row r="552" spans="1:17" x14ac:dyDescent="0.25">
      <c r="A552" s="1">
        <v>27.5</v>
      </c>
      <c r="B552" s="1">
        <v>3.1739000000000003E-2</v>
      </c>
      <c r="C552" s="1">
        <v>4.7006000000000001E-3</v>
      </c>
      <c r="D552" s="1">
        <v>1.6791E-2</v>
      </c>
      <c r="E552" s="1">
        <v>3.6699000000000002E-2</v>
      </c>
      <c r="F552" s="1">
        <v>1.8947E-6</v>
      </c>
      <c r="G552" s="1">
        <v>6.8806000000000003</v>
      </c>
      <c r="H552" s="1">
        <v>1.3841999999999999E-7</v>
      </c>
      <c r="I552" s="1">
        <f t="shared" si="72"/>
        <v>1.3841999999999999E-7</v>
      </c>
      <c r="J552" s="4">
        <f t="shared" si="73"/>
        <v>-1.1448985855109075E-8</v>
      </c>
      <c r="K552" s="4">
        <f t="shared" si="74"/>
        <v>-2.0698648693696574E-8</v>
      </c>
      <c r="L552" s="4">
        <f t="shared" si="75"/>
        <v>-9.2271097790667064E-9</v>
      </c>
      <c r="M552" s="4">
        <f t="shared" si="77"/>
        <v>-1.0260766050618138E-8</v>
      </c>
      <c r="N552" s="5">
        <f t="shared" si="78"/>
        <v>3.1962055697743747E-8</v>
      </c>
      <c r="O552" s="5">
        <f t="shared" si="79"/>
        <v>1.0624802669913271E-6</v>
      </c>
      <c r="P552" s="5">
        <f t="shared" si="80"/>
        <v>7.0555767731092924E-7</v>
      </c>
      <c r="Q552" s="1">
        <f t="shared" si="76"/>
        <v>1.8000000000000001E-6</v>
      </c>
    </row>
    <row r="553" spans="1:17" x14ac:dyDescent="0.25">
      <c r="A553" s="1">
        <v>27.55</v>
      </c>
      <c r="B553" s="1">
        <v>3.1678999999999999E-2</v>
      </c>
      <c r="C553" s="1">
        <v>4.6994000000000003E-3</v>
      </c>
      <c r="D553" s="1">
        <v>1.6820999999999999E-2</v>
      </c>
      <c r="E553" s="1">
        <v>3.6630999999999997E-2</v>
      </c>
      <c r="F553" s="1">
        <v>1.8959999999999999E-6</v>
      </c>
      <c r="G553" s="1">
        <v>6.8802000000000003</v>
      </c>
      <c r="H553" s="1">
        <v>1.3854E-7</v>
      </c>
      <c r="I553" s="1">
        <f t="shared" si="72"/>
        <v>1.3854E-7</v>
      </c>
      <c r="J553" s="4">
        <f t="shared" si="73"/>
        <v>-1.1474020308124856E-8</v>
      </c>
      <c r="K553" s="4">
        <f t="shared" si="74"/>
        <v>-2.0718365206331175E-8</v>
      </c>
      <c r="L553" s="4">
        <f t="shared" si="75"/>
        <v>-9.2231120802484691E-9</v>
      </c>
      <c r="M553" s="4">
        <f t="shared" si="77"/>
        <v>-1.0254645837804921E-8</v>
      </c>
      <c r="N553" s="5">
        <f t="shared" si="78"/>
        <v>3.1983288515701599E-8</v>
      </c>
      <c r="O553" s="5">
        <f t="shared" si="79"/>
        <v>1.0634905679309257E-6</v>
      </c>
      <c r="P553" s="5">
        <f t="shared" si="80"/>
        <v>7.0452614355337283E-7</v>
      </c>
      <c r="Q553" s="1">
        <f t="shared" si="76"/>
        <v>1.8000000000000001E-6</v>
      </c>
    </row>
    <row r="554" spans="1:17" x14ac:dyDescent="0.25">
      <c r="A554" s="1">
        <v>27.6</v>
      </c>
      <c r="B554" s="1">
        <v>3.1620000000000002E-2</v>
      </c>
      <c r="C554" s="1">
        <v>4.6981000000000002E-3</v>
      </c>
      <c r="D554" s="1">
        <v>1.6851999999999999E-2</v>
      </c>
      <c r="E554" s="1">
        <v>3.6562999999999998E-2</v>
      </c>
      <c r="F554" s="1">
        <v>1.8972E-6</v>
      </c>
      <c r="G554" s="1">
        <v>6.8796999999999997</v>
      </c>
      <c r="H554" s="1">
        <v>1.3864999999999999E-7</v>
      </c>
      <c r="I554" s="1">
        <f t="shared" si="72"/>
        <v>1.3864999999999999E-7</v>
      </c>
      <c r="J554" s="4">
        <f t="shared" si="73"/>
        <v>-1.1497403728886197E-8</v>
      </c>
      <c r="K554" s="4">
        <f t="shared" si="74"/>
        <v>-2.0738066074653346E-8</v>
      </c>
      <c r="L554" s="4">
        <f t="shared" si="75"/>
        <v>-9.2184588257924354E-9</v>
      </c>
      <c r="M554" s="4">
        <f t="shared" si="77"/>
        <v>-1.0248530452427993E-8</v>
      </c>
      <c r="N554" s="5">
        <f t="shared" si="78"/>
        <v>3.2005492035676312E-8</v>
      </c>
      <c r="O554" s="5">
        <f t="shared" si="79"/>
        <v>1.0644984360375866E-6</v>
      </c>
      <c r="P554" s="5">
        <f t="shared" si="80"/>
        <v>7.0349607192673722E-7</v>
      </c>
      <c r="Q554" s="1">
        <f t="shared" si="76"/>
        <v>1.8000000000000001E-6</v>
      </c>
    </row>
    <row r="555" spans="1:17" x14ac:dyDescent="0.25">
      <c r="A555" s="1">
        <v>27.65</v>
      </c>
      <c r="B555" s="1">
        <v>3.1562E-2</v>
      </c>
      <c r="C555" s="1">
        <v>4.6968000000000001E-3</v>
      </c>
      <c r="D555" s="1">
        <v>1.6882000000000001E-2</v>
      </c>
      <c r="E555" s="1">
        <v>3.6495E-2</v>
      </c>
      <c r="F555" s="1">
        <v>1.8984999999999999E-6</v>
      </c>
      <c r="G555" s="1">
        <v>6.8792999999999997</v>
      </c>
      <c r="H555" s="1">
        <v>1.3876999999999999E-7</v>
      </c>
      <c r="I555" s="1">
        <f t="shared" si="72"/>
        <v>1.3876999999999999E-7</v>
      </c>
      <c r="J555" s="4">
        <f t="shared" si="73"/>
        <v>-1.1519953873658291E-8</v>
      </c>
      <c r="K555" s="4">
        <f t="shared" si="74"/>
        <v>-2.0757719502731762E-8</v>
      </c>
      <c r="L555" s="4">
        <f t="shared" si="75"/>
        <v>-9.2135615905157984E-9</v>
      </c>
      <c r="M555" s="4">
        <f t="shared" si="77"/>
        <v>-1.0241671689126839E-8</v>
      </c>
      <c r="N555" s="5">
        <f t="shared" si="78"/>
        <v>3.2029696074233986E-8</v>
      </c>
      <c r="O555" s="5">
        <f t="shared" si="79"/>
        <v>1.0655023420976401E-6</v>
      </c>
      <c r="P555" s="5">
        <f t="shared" si="80"/>
        <v>7.024679618281262E-7</v>
      </c>
      <c r="Q555" s="1">
        <f t="shared" si="76"/>
        <v>1.8000000000000001E-6</v>
      </c>
    </row>
    <row r="556" spans="1:17" x14ac:dyDescent="0.25">
      <c r="A556" s="1">
        <v>27.7</v>
      </c>
      <c r="B556" s="1">
        <v>3.1503000000000003E-2</v>
      </c>
      <c r="C556" s="1">
        <v>4.6955E-3</v>
      </c>
      <c r="D556" s="1">
        <v>1.6912E-2</v>
      </c>
      <c r="E556" s="1">
        <v>3.6428000000000002E-2</v>
      </c>
      <c r="F556" s="1">
        <v>1.8998E-6</v>
      </c>
      <c r="G556" s="1">
        <v>6.8788999999999998</v>
      </c>
      <c r="H556" s="1">
        <v>1.3888999999999999E-7</v>
      </c>
      <c r="I556" s="1">
        <f t="shared" si="72"/>
        <v>1.3888999999999999E-7</v>
      </c>
      <c r="J556" s="4">
        <f t="shared" si="73"/>
        <v>-1.1544470562717936E-8</v>
      </c>
      <c r="K556" s="4">
        <f t="shared" si="74"/>
        <v>-2.0777295670904277E-8</v>
      </c>
      <c r="L556" s="4">
        <f t="shared" si="75"/>
        <v>-9.2096872832421552E-9</v>
      </c>
      <c r="M556" s="4">
        <f t="shared" si="77"/>
        <v>-1.0235555301603497E-8</v>
      </c>
      <c r="N556" s="5">
        <f t="shared" si="78"/>
        <v>3.2052833899178167E-8</v>
      </c>
      <c r="O556" s="5">
        <f t="shared" si="79"/>
        <v>1.0665050722910571E-6</v>
      </c>
      <c r="P556" s="5">
        <f t="shared" si="80"/>
        <v>7.0144209380976486E-7</v>
      </c>
      <c r="Q556" s="1">
        <f t="shared" si="76"/>
        <v>1.8000000000000001E-6</v>
      </c>
    </row>
    <row r="557" spans="1:17" x14ac:dyDescent="0.25">
      <c r="A557" s="1">
        <v>27.75</v>
      </c>
      <c r="B557" s="1">
        <v>3.1444E-2</v>
      </c>
      <c r="C557" s="1">
        <v>4.6940999999999997E-3</v>
      </c>
      <c r="D557" s="1">
        <v>1.6941999999999999E-2</v>
      </c>
      <c r="E557" s="1">
        <v>3.6360000000000003E-2</v>
      </c>
      <c r="F557" s="1">
        <v>1.9010000000000001E-6</v>
      </c>
      <c r="G557" s="1">
        <v>6.8784999999999998</v>
      </c>
      <c r="H557" s="1">
        <v>1.3901E-7</v>
      </c>
      <c r="I557" s="1">
        <f t="shared" si="72"/>
        <v>1.3901E-7</v>
      </c>
      <c r="J557" s="4">
        <f t="shared" si="73"/>
        <v>-1.156863715043848E-8</v>
      </c>
      <c r="K557" s="4">
        <f t="shared" si="74"/>
        <v>-2.079684890967591E-8</v>
      </c>
      <c r="L557" s="4">
        <f t="shared" si="75"/>
        <v>-9.2057195682814929E-9</v>
      </c>
      <c r="M557" s="4">
        <f t="shared" si="77"/>
        <v>-1.0229445702970161E-8</v>
      </c>
      <c r="N557" s="5">
        <f t="shared" si="78"/>
        <v>3.2075326090134105E-8</v>
      </c>
      <c r="O557" s="5">
        <f t="shared" si="79"/>
        <v>1.0675063062347896E-6</v>
      </c>
      <c r="P557" s="5">
        <f t="shared" si="80"/>
        <v>7.0041836767507618E-7</v>
      </c>
      <c r="Q557" s="1">
        <f t="shared" si="76"/>
        <v>1.8000000000000001E-6</v>
      </c>
    </row>
    <row r="558" spans="1:17" x14ac:dyDescent="0.25">
      <c r="A558" s="1">
        <v>27.8</v>
      </c>
      <c r="B558" s="1">
        <v>3.1385000000000003E-2</v>
      </c>
      <c r="C558" s="1">
        <v>4.6927000000000002E-3</v>
      </c>
      <c r="D558" s="1">
        <v>1.6972000000000001E-2</v>
      </c>
      <c r="E558" s="1">
        <v>3.6291999999999998E-2</v>
      </c>
      <c r="F558" s="1">
        <v>1.9022E-6</v>
      </c>
      <c r="G558" s="1">
        <v>6.8780999999999999</v>
      </c>
      <c r="H558" s="1">
        <v>1.3913E-7</v>
      </c>
      <c r="I558" s="1">
        <f t="shared" si="72"/>
        <v>1.3913E-7</v>
      </c>
      <c r="J558" s="4">
        <f t="shared" si="73"/>
        <v>-1.1591384549985439E-8</v>
      </c>
      <c r="K558" s="4">
        <f t="shared" si="74"/>
        <v>-2.0816372971578695E-8</v>
      </c>
      <c r="L558" s="4">
        <f t="shared" si="75"/>
        <v>-9.2007910588400986E-9</v>
      </c>
      <c r="M558" s="4">
        <f t="shared" si="77"/>
        <v>-1.022334151550394E-8</v>
      </c>
      <c r="N558" s="5">
        <f t="shared" si="78"/>
        <v>3.2099523452887268E-8</v>
      </c>
      <c r="O558" s="5">
        <f t="shared" si="79"/>
        <v>1.0685046593287003E-6</v>
      </c>
      <c r="P558" s="5">
        <f t="shared" si="80"/>
        <v>6.9939581721841231E-7</v>
      </c>
      <c r="Q558" s="1">
        <f t="shared" si="76"/>
        <v>1.7999999999999999E-6</v>
      </c>
    </row>
    <row r="559" spans="1:17" x14ac:dyDescent="0.25">
      <c r="A559" s="1">
        <v>27.85</v>
      </c>
      <c r="B559" s="1">
        <v>3.1327000000000001E-2</v>
      </c>
      <c r="C559" s="1">
        <v>4.6912999999999998E-3</v>
      </c>
      <c r="D559" s="1">
        <v>1.7002E-2</v>
      </c>
      <c r="E559" s="1">
        <v>3.6223999999999999E-2</v>
      </c>
      <c r="F559" s="1">
        <v>1.9034000000000001E-6</v>
      </c>
      <c r="G559" s="1">
        <v>6.8776999999999999</v>
      </c>
      <c r="H559" s="1">
        <v>1.3923999999999999E-7</v>
      </c>
      <c r="I559" s="1">
        <f t="shared" si="72"/>
        <v>1.3923999999999999E-7</v>
      </c>
      <c r="J559" s="4">
        <f t="shared" si="73"/>
        <v>-1.1614778704268435E-8</v>
      </c>
      <c r="K559" s="4">
        <f t="shared" si="74"/>
        <v>-2.0835840856909954E-8</v>
      </c>
      <c r="L559" s="4">
        <f t="shared" si="75"/>
        <v>-9.196313359539146E-9</v>
      </c>
      <c r="M559" s="4">
        <f t="shared" si="77"/>
        <v>-1.0217228705207904E-8</v>
      </c>
      <c r="N559" s="5">
        <f t="shared" si="78"/>
        <v>3.2124272245989642E-8</v>
      </c>
      <c r="O559" s="5">
        <f t="shared" si="79"/>
        <v>1.0695008258812664E-6</v>
      </c>
      <c r="P559" s="5">
        <f t="shared" si="80"/>
        <v>6.9837490187274354E-7</v>
      </c>
      <c r="Q559" s="1">
        <f t="shared" si="76"/>
        <v>1.7999999999999997E-6</v>
      </c>
    </row>
    <row r="560" spans="1:17" x14ac:dyDescent="0.25">
      <c r="A560" s="1">
        <v>27.9</v>
      </c>
      <c r="B560" s="1">
        <v>3.1267999999999997E-2</v>
      </c>
      <c r="C560" s="1">
        <v>4.6899000000000003E-3</v>
      </c>
      <c r="D560" s="1">
        <v>1.7031999999999999E-2</v>
      </c>
      <c r="E560" s="1">
        <v>3.6157000000000002E-2</v>
      </c>
      <c r="F560" s="1">
        <v>1.9045999999999999E-6</v>
      </c>
      <c r="G560" s="1">
        <v>6.8773</v>
      </c>
      <c r="H560" s="1">
        <v>1.3936E-7</v>
      </c>
      <c r="I560" s="1">
        <f t="shared" si="72"/>
        <v>1.3936E-7</v>
      </c>
      <c r="J560" s="4">
        <f t="shared" si="73"/>
        <v>-1.1638403976202136E-8</v>
      </c>
      <c r="K560" s="4">
        <f t="shared" si="74"/>
        <v>-2.0855266104683511E-8</v>
      </c>
      <c r="L560" s="4">
        <f t="shared" si="75"/>
        <v>-9.1919544729477588E-9</v>
      </c>
      <c r="M560" s="4">
        <f t="shared" si="77"/>
        <v>-1.0210380740359304E-8</v>
      </c>
      <c r="N560" s="5">
        <f t="shared" si="78"/>
        <v>3.2149179901523251E-8</v>
      </c>
      <c r="O560" s="5">
        <f t="shared" si="79"/>
        <v>1.0704943444931445E-6</v>
      </c>
      <c r="P560" s="5">
        <f t="shared" si="80"/>
        <v>6.9735647560533195E-7</v>
      </c>
      <c r="Q560" s="1">
        <f t="shared" si="76"/>
        <v>1.7999999999999997E-6</v>
      </c>
    </row>
    <row r="561" spans="1:17" x14ac:dyDescent="0.25">
      <c r="A561" s="1">
        <v>27.95</v>
      </c>
      <c r="B561" s="1">
        <v>3.1210000000000002E-2</v>
      </c>
      <c r="C561" s="1">
        <v>4.6883999999999997E-3</v>
      </c>
      <c r="D561" s="1">
        <v>1.7062000000000001E-2</v>
      </c>
      <c r="E561" s="1">
        <v>3.6089000000000003E-2</v>
      </c>
      <c r="F561" s="1">
        <v>1.9058E-6</v>
      </c>
      <c r="G561" s="1">
        <v>6.8769</v>
      </c>
      <c r="H561" s="1">
        <v>1.3948E-7</v>
      </c>
      <c r="I561" s="1">
        <f t="shared" si="72"/>
        <v>1.3948E-7</v>
      </c>
      <c r="J561" s="4">
        <f t="shared" si="73"/>
        <v>-1.1662118738582593E-8</v>
      </c>
      <c r="K561" s="4">
        <f t="shared" si="74"/>
        <v>-2.0874639717616614E-8</v>
      </c>
      <c r="L561" s="4">
        <f t="shared" si="75"/>
        <v>-9.1878556810267925E-9</v>
      </c>
      <c r="M561" s="4">
        <f t="shared" si="77"/>
        <v>-1.0204277836237845E-8</v>
      </c>
      <c r="N561" s="5">
        <f t="shared" si="78"/>
        <v>3.2173845199530483E-8</v>
      </c>
      <c r="O561" s="5">
        <f t="shared" si="79"/>
        <v>1.0714861013503482E-6</v>
      </c>
      <c r="P561" s="5">
        <f t="shared" si="80"/>
        <v>6.9634005345012097E-7</v>
      </c>
      <c r="Q561" s="1">
        <f t="shared" si="76"/>
        <v>1.7999999999999997E-6</v>
      </c>
    </row>
    <row r="562" spans="1:17" x14ac:dyDescent="0.25">
      <c r="A562" s="1">
        <v>28</v>
      </c>
      <c r="B562" s="1">
        <v>3.1151000000000002E-2</v>
      </c>
      <c r="C562" s="1">
        <v>4.6868999999999999E-3</v>
      </c>
      <c r="D562" s="1">
        <v>1.7092E-2</v>
      </c>
      <c r="E562" s="1">
        <v>3.6021999999999998E-2</v>
      </c>
      <c r="F562" s="1">
        <v>1.9069999999999999E-6</v>
      </c>
      <c r="G562" s="1">
        <v>6.8765000000000001</v>
      </c>
      <c r="H562" s="1">
        <v>1.3960000000000001E-7</v>
      </c>
      <c r="I562" s="1">
        <f t="shared" si="72"/>
        <v>1.3960000000000001E-7</v>
      </c>
      <c r="J562" s="4">
        <f t="shared" si="73"/>
        <v>-1.1685777504665687E-8</v>
      </c>
      <c r="K562" s="4">
        <f t="shared" si="74"/>
        <v>-2.0893978976332088E-8</v>
      </c>
      <c r="L562" s="4">
        <f t="shared" si="75"/>
        <v>-9.1833943809340016E-9</v>
      </c>
      <c r="M562" s="4">
        <f t="shared" si="77"/>
        <v>-1.0198178618798547E-8</v>
      </c>
      <c r="N562" s="5">
        <f t="shared" si="78"/>
        <v>3.2198652290262889E-8</v>
      </c>
      <c r="O562" s="5">
        <f t="shared" si="79"/>
        <v>1.0724760784974802E-6</v>
      </c>
      <c r="P562" s="5">
        <f t="shared" si="80"/>
        <v>6.9532526921225641E-7</v>
      </c>
      <c r="Q562" s="1">
        <f t="shared" si="76"/>
        <v>1.7999999999999993E-6</v>
      </c>
    </row>
    <row r="563" spans="1:17" x14ac:dyDescent="0.25">
      <c r="A563" s="1">
        <v>28.05</v>
      </c>
      <c r="B563" s="1">
        <v>3.1092999999999999E-2</v>
      </c>
      <c r="C563" s="1">
        <v>4.6854000000000002E-3</v>
      </c>
      <c r="D563" s="1">
        <v>1.7121999999999998E-2</v>
      </c>
      <c r="E563" s="1">
        <v>3.5955000000000001E-2</v>
      </c>
      <c r="F563" s="1">
        <v>1.9081E-6</v>
      </c>
      <c r="G563" s="1">
        <v>6.8761000000000001</v>
      </c>
      <c r="H563" s="1">
        <v>1.3971E-7</v>
      </c>
      <c r="I563" s="1">
        <f t="shared" si="72"/>
        <v>1.3971E-7</v>
      </c>
      <c r="J563" s="4">
        <f t="shared" si="73"/>
        <v>-1.1709519665273391E-8</v>
      </c>
      <c r="K563" s="4">
        <f t="shared" si="74"/>
        <v>-2.0913283530701162E-8</v>
      </c>
      <c r="L563" s="4">
        <f t="shared" si="75"/>
        <v>-9.1791888680507805E-9</v>
      </c>
      <c r="M563" s="4">
        <f t="shared" si="77"/>
        <v>-1.01920777961134E-8</v>
      </c>
      <c r="N563" s="5">
        <f t="shared" si="78"/>
        <v>3.2223227287639882E-8</v>
      </c>
      <c r="O563" s="5">
        <f t="shared" si="79"/>
        <v>1.0734643924281658E-6</v>
      </c>
      <c r="P563" s="5">
        <f t="shared" si="80"/>
        <v>6.9431238028419372E-7</v>
      </c>
      <c r="Q563" s="1">
        <f t="shared" si="76"/>
        <v>1.7999999999999993E-6</v>
      </c>
    </row>
    <row r="564" spans="1:17" x14ac:dyDescent="0.25">
      <c r="A564" s="1">
        <v>28.1</v>
      </c>
      <c r="B564" s="1">
        <v>3.1035E-2</v>
      </c>
      <c r="C564" s="1">
        <v>4.6839000000000004E-3</v>
      </c>
      <c r="D564" s="1">
        <v>1.7152000000000001E-2</v>
      </c>
      <c r="E564" s="1">
        <v>3.5887000000000002E-2</v>
      </c>
      <c r="F564" s="1">
        <v>1.9093000000000001E-6</v>
      </c>
      <c r="G564" s="1">
        <v>6.8757000000000001</v>
      </c>
      <c r="H564" s="1">
        <v>1.3983E-7</v>
      </c>
      <c r="I564" s="1">
        <f t="shared" si="72"/>
        <v>1.3983E-7</v>
      </c>
      <c r="J564" s="4">
        <f t="shared" si="73"/>
        <v>-1.1731979561023753E-8</v>
      </c>
      <c r="K564" s="4">
        <f t="shared" si="74"/>
        <v>-2.0932555652349531E-8</v>
      </c>
      <c r="L564" s="4">
        <f t="shared" si="75"/>
        <v>-9.1743975642467767E-9</v>
      </c>
      <c r="M564" s="4">
        <f t="shared" si="77"/>
        <v>-1.0185250178198138E-8</v>
      </c>
      <c r="N564" s="5">
        <f t="shared" si="78"/>
        <v>3.2249405814718878E-8</v>
      </c>
      <c r="O564" s="5">
        <f t="shared" si="79"/>
        <v>1.0744490665150381E-6</v>
      </c>
      <c r="P564" s="5">
        <f t="shared" si="80"/>
        <v>6.9330152767024238E-7</v>
      </c>
      <c r="Q564" s="1">
        <f t="shared" si="76"/>
        <v>1.7999999999999993E-6</v>
      </c>
    </row>
    <row r="565" spans="1:17" x14ac:dyDescent="0.25">
      <c r="A565" s="1">
        <v>28.15</v>
      </c>
      <c r="B565" s="1">
        <v>3.0977000000000001E-2</v>
      </c>
      <c r="C565" s="1">
        <v>4.6823000000000004E-3</v>
      </c>
      <c r="D565" s="1">
        <v>1.7181999999999999E-2</v>
      </c>
      <c r="E565" s="1">
        <v>3.5819999999999998E-2</v>
      </c>
      <c r="F565" s="1">
        <v>1.9104E-6</v>
      </c>
      <c r="G565" s="1">
        <v>6.8753000000000002</v>
      </c>
      <c r="H565" s="1">
        <v>1.3995000000000001E-7</v>
      </c>
      <c r="I565" s="1">
        <f t="shared" si="72"/>
        <v>1.3995000000000001E-7</v>
      </c>
      <c r="J565" s="4">
        <f t="shared" si="73"/>
        <v>-1.1756283824372955E-8</v>
      </c>
      <c r="K565" s="4">
        <f t="shared" si="74"/>
        <v>-2.0951756797042052E-8</v>
      </c>
      <c r="L565" s="4">
        <f t="shared" si="75"/>
        <v>-9.170249274927357E-9</v>
      </c>
      <c r="M565" s="4">
        <f t="shared" si="77"/>
        <v>-1.0179157024483071E-8</v>
      </c>
      <c r="N565" s="5">
        <f t="shared" si="78"/>
        <v>3.2274629512460618E-8</v>
      </c>
      <c r="O565" s="5">
        <f t="shared" si="79"/>
        <v>1.0754327505668519E-6</v>
      </c>
      <c r="P565" s="5">
        <f t="shared" si="80"/>
        <v>6.9229261992068663E-7</v>
      </c>
      <c r="Q565" s="1">
        <f t="shared" si="76"/>
        <v>1.7999999999999991E-6</v>
      </c>
    </row>
    <row r="566" spans="1:17" x14ac:dyDescent="0.25">
      <c r="A566" s="1">
        <v>28.2</v>
      </c>
      <c r="B566" s="1">
        <v>3.0918000000000001E-2</v>
      </c>
      <c r="C566" s="1">
        <v>4.6807000000000003E-3</v>
      </c>
      <c r="D566" s="1">
        <v>1.7211000000000001E-2</v>
      </c>
      <c r="E566" s="1">
        <v>3.5753E-2</v>
      </c>
      <c r="F566" s="1">
        <v>1.9114999999999998E-6</v>
      </c>
      <c r="G566" s="1">
        <v>6.8749000000000002</v>
      </c>
      <c r="H566" s="1">
        <v>1.4006E-7</v>
      </c>
      <c r="I566" s="1">
        <f t="shared" si="72"/>
        <v>1.4006E-7</v>
      </c>
      <c r="J566" s="4">
        <f t="shared" si="73"/>
        <v>-1.1779039672224501E-8</v>
      </c>
      <c r="K566" s="4">
        <f t="shared" si="74"/>
        <v>-2.0970938636053911E-8</v>
      </c>
      <c r="L566" s="4">
        <f t="shared" si="75"/>
        <v>-9.1655652449496905E-9</v>
      </c>
      <c r="M566" s="4">
        <f t="shared" si="77"/>
        <v>-1.0173066976579654E-8</v>
      </c>
      <c r="N566" s="5">
        <f t="shared" si="78"/>
        <v>3.2300963231340332E-8</v>
      </c>
      <c r="O566" s="5">
        <f t="shared" si="79"/>
        <v>1.0764139185796023E-6</v>
      </c>
      <c r="P566" s="5">
        <f t="shared" si="80"/>
        <v>6.9128511818905666E-7</v>
      </c>
      <c r="Q566" s="1">
        <f t="shared" si="76"/>
        <v>1.7999999999999993E-6</v>
      </c>
    </row>
    <row r="567" spans="1:17" x14ac:dyDescent="0.25">
      <c r="A567" s="1">
        <v>28.25</v>
      </c>
      <c r="B567" s="1">
        <v>3.0859999999999999E-2</v>
      </c>
      <c r="C567" s="1">
        <v>4.679E-3</v>
      </c>
      <c r="D567" s="1">
        <v>1.7240999999999999E-2</v>
      </c>
      <c r="E567" s="1">
        <v>3.5686000000000002E-2</v>
      </c>
      <c r="F567" s="1">
        <v>1.9126000000000001E-6</v>
      </c>
      <c r="G567" s="1">
        <v>6.8745000000000003</v>
      </c>
      <c r="H567" s="1">
        <v>1.4018E-7</v>
      </c>
      <c r="I567" s="1">
        <f t="shared" si="72"/>
        <v>1.4018E-7</v>
      </c>
      <c r="J567" s="4">
        <f t="shared" si="73"/>
        <v>-1.180223011607372E-8</v>
      </c>
      <c r="K567" s="4">
        <f t="shared" si="74"/>
        <v>-2.0990071412302542E-8</v>
      </c>
      <c r="L567" s="4">
        <f t="shared" si="75"/>
        <v>-9.1611577471144763E-9</v>
      </c>
      <c r="M567" s="4">
        <f t="shared" si="77"/>
        <v>-1.0166246333623868E-8</v>
      </c>
      <c r="N567" s="5">
        <f t="shared" si="78"/>
        <v>3.2327646780454678E-8</v>
      </c>
      <c r="O567" s="5">
        <f t="shared" si="79"/>
        <v>1.0773923236169973E-6</v>
      </c>
      <c r="P567" s="5">
        <f t="shared" si="80"/>
        <v>6.9028002960254722E-7</v>
      </c>
      <c r="Q567" s="1">
        <f t="shared" si="76"/>
        <v>1.7999999999999993E-6</v>
      </c>
    </row>
    <row r="568" spans="1:17" x14ac:dyDescent="0.25">
      <c r="A568" s="1">
        <v>28.3</v>
      </c>
      <c r="B568" s="1">
        <v>3.0803000000000001E-2</v>
      </c>
      <c r="C568" s="1">
        <v>4.6774E-3</v>
      </c>
      <c r="D568" s="1">
        <v>1.7271000000000002E-2</v>
      </c>
      <c r="E568" s="1">
        <v>3.5618999999999998E-2</v>
      </c>
      <c r="F568" s="1">
        <v>1.9137E-6</v>
      </c>
      <c r="G568" s="1">
        <v>6.8741000000000003</v>
      </c>
      <c r="H568" s="1">
        <v>1.4030000000000001E-7</v>
      </c>
      <c r="I568" s="1">
        <f t="shared" si="72"/>
        <v>1.4030000000000001E-7</v>
      </c>
      <c r="J568" s="4">
        <f t="shared" si="73"/>
        <v>-1.1825578494249411E-8</v>
      </c>
      <c r="K568" s="4">
        <f t="shared" si="74"/>
        <v>-2.1009150310531746E-8</v>
      </c>
      <c r="L568" s="4">
        <f t="shared" si="75"/>
        <v>-9.1568101835459892E-9</v>
      </c>
      <c r="M568" s="4">
        <f t="shared" si="77"/>
        <v>-1.0160162727717076E-8</v>
      </c>
      <c r="N568" s="5">
        <f t="shared" si="78"/>
        <v>3.2354408413191027E-8</v>
      </c>
      <c r="O568" s="5">
        <f t="shared" si="79"/>
        <v>1.0783689145284321E-6</v>
      </c>
      <c r="P568" s="5">
        <f t="shared" si="80"/>
        <v>6.8927667705837614E-7</v>
      </c>
      <c r="Q568" s="1">
        <f t="shared" si="76"/>
        <v>1.7999999999999993E-6</v>
      </c>
    </row>
    <row r="569" spans="1:17" x14ac:dyDescent="0.25">
      <c r="A569" s="1">
        <v>28.35</v>
      </c>
      <c r="B569" s="1">
        <v>3.0745000000000001E-2</v>
      </c>
      <c r="C569" s="1">
        <v>4.6756999999999996E-3</v>
      </c>
      <c r="D569" s="1">
        <v>1.7301E-2</v>
      </c>
      <c r="E569" s="1">
        <v>3.5552E-2</v>
      </c>
      <c r="F569" s="1">
        <v>1.9147000000000001E-6</v>
      </c>
      <c r="G569" s="1">
        <v>6.8737000000000004</v>
      </c>
      <c r="H569" s="1">
        <v>1.4041E-7</v>
      </c>
      <c r="I569" s="1">
        <f t="shared" si="72"/>
        <v>1.4041E-7</v>
      </c>
      <c r="J569" s="4">
        <f t="shared" si="73"/>
        <v>-1.184898574725271E-8</v>
      </c>
      <c r="K569" s="4">
        <f t="shared" si="74"/>
        <v>-2.1028193833304727E-8</v>
      </c>
      <c r="L569" s="4">
        <f t="shared" si="75"/>
        <v>-9.1524452465134853E-9</v>
      </c>
      <c r="M569" s="4">
        <f t="shared" si="77"/>
        <v>-1.0154079368085613E-8</v>
      </c>
      <c r="N569" s="5">
        <f t="shared" si="78"/>
        <v>3.2381171252729553E-8</v>
      </c>
      <c r="O569" s="5">
        <f t="shared" si="79"/>
        <v>1.0793437858104658E-6</v>
      </c>
      <c r="P569" s="5">
        <f t="shared" si="80"/>
        <v>6.8827504293680407E-7</v>
      </c>
      <c r="Q569" s="1">
        <f t="shared" si="76"/>
        <v>1.7999999999999993E-6</v>
      </c>
    </row>
    <row r="570" spans="1:17" x14ac:dyDescent="0.25">
      <c r="A570" s="1">
        <v>28.4</v>
      </c>
      <c r="B570" s="1">
        <v>3.0686999999999999E-2</v>
      </c>
      <c r="C570" s="1">
        <v>4.6738999999999999E-3</v>
      </c>
      <c r="D570" s="1">
        <v>1.7330999999999999E-2</v>
      </c>
      <c r="E570" s="1">
        <v>3.5485000000000003E-2</v>
      </c>
      <c r="F570" s="1">
        <v>1.9157999999999999E-6</v>
      </c>
      <c r="G570" s="1">
        <v>6.8733000000000004</v>
      </c>
      <c r="H570" s="1">
        <v>1.4053E-7</v>
      </c>
      <c r="I570" s="1">
        <f t="shared" si="72"/>
        <v>1.4053E-7</v>
      </c>
      <c r="J570" s="4">
        <f t="shared" si="73"/>
        <v>-1.1871183769582043E-8</v>
      </c>
      <c r="K570" s="4">
        <f t="shared" si="74"/>
        <v>-2.1047203823302887E-8</v>
      </c>
      <c r="L570" s="4">
        <f t="shared" si="75"/>
        <v>-9.1475633274724516E-9</v>
      </c>
      <c r="M570" s="4">
        <f t="shared" si="77"/>
        <v>-1.0147273371768873E-8</v>
      </c>
      <c r="N570" s="5">
        <f t="shared" si="78"/>
        <v>3.2409627978977943E-8</v>
      </c>
      <c r="O570" s="5">
        <f t="shared" si="79"/>
        <v>1.0803150391285138E-6</v>
      </c>
      <c r="P570" s="5">
        <f t="shared" si="80"/>
        <v>6.8727533289250766E-7</v>
      </c>
      <c r="Q570" s="1">
        <f t="shared" si="76"/>
        <v>1.7999999999999995E-6</v>
      </c>
    </row>
    <row r="571" spans="1:17" x14ac:dyDescent="0.25">
      <c r="A571" s="1">
        <v>28.45</v>
      </c>
      <c r="B571" s="1">
        <v>3.0629E-2</v>
      </c>
      <c r="C571" s="1">
        <v>4.6721999999999996E-3</v>
      </c>
      <c r="D571" s="1">
        <v>1.736E-2</v>
      </c>
      <c r="E571" s="1">
        <v>3.5417999999999998E-2</v>
      </c>
      <c r="F571" s="1">
        <v>1.9168E-6</v>
      </c>
      <c r="G571" s="1">
        <v>6.8728999999999996</v>
      </c>
      <c r="H571" s="1">
        <v>1.4063999999999999E-7</v>
      </c>
      <c r="I571" s="1">
        <f t="shared" si="72"/>
        <v>1.4063999999999999E-7</v>
      </c>
      <c r="J571" s="4">
        <f t="shared" si="73"/>
        <v>-1.1895272180749858E-8</v>
      </c>
      <c r="K571" s="4">
        <f t="shared" si="74"/>
        <v>-2.1066143263006318E-8</v>
      </c>
      <c r="L571" s="4">
        <f t="shared" si="75"/>
        <v>-9.1435979399505206E-9</v>
      </c>
      <c r="M571" s="4">
        <f t="shared" si="77"/>
        <v>-1.0141194265795475E-8</v>
      </c>
      <c r="N571" s="5">
        <f t="shared" si="78"/>
        <v>3.2436901121283881E-8</v>
      </c>
      <c r="O571" s="5">
        <f t="shared" si="79"/>
        <v>1.0812853623120528E-6</v>
      </c>
      <c r="P571" s="5">
        <f t="shared" si="80"/>
        <v>6.8627773656666273E-7</v>
      </c>
      <c r="Q571" s="1">
        <f t="shared" si="76"/>
        <v>1.7999999999999995E-6</v>
      </c>
    </row>
    <row r="572" spans="1:17" x14ac:dyDescent="0.25">
      <c r="A572" s="1">
        <v>28.5</v>
      </c>
      <c r="B572" s="1">
        <v>3.0571999999999998E-2</v>
      </c>
      <c r="C572" s="1">
        <v>4.6703999999999999E-3</v>
      </c>
      <c r="D572" s="1">
        <v>1.7389999999999999E-2</v>
      </c>
      <c r="E572" s="1">
        <v>3.5352000000000001E-2</v>
      </c>
      <c r="F572" s="1">
        <v>1.9178000000000001E-6</v>
      </c>
      <c r="G572" s="1">
        <v>6.8724999999999996</v>
      </c>
      <c r="H572" s="1">
        <v>1.4076E-7</v>
      </c>
      <c r="I572" s="1">
        <f t="shared" si="72"/>
        <v>1.4076E-7</v>
      </c>
      <c r="J572" s="4">
        <f t="shared" si="73"/>
        <v>-1.1917713980639172E-8</v>
      </c>
      <c r="K572" s="4">
        <f t="shared" si="74"/>
        <v>-2.1085064565085332E-8</v>
      </c>
      <c r="L572" s="4">
        <f t="shared" si="75"/>
        <v>-9.1387813758871803E-9</v>
      </c>
      <c r="M572" s="4">
        <f t="shared" si="77"/>
        <v>-1.0134400591427365E-8</v>
      </c>
      <c r="N572" s="5">
        <f t="shared" si="78"/>
        <v>3.2465470329842859E-8</v>
      </c>
      <c r="O572" s="5">
        <f t="shared" si="79"/>
        <v>1.0822524123190341E-6</v>
      </c>
      <c r="P572" s="5">
        <f t="shared" si="80"/>
        <v>6.8528211735112254E-7</v>
      </c>
      <c r="Q572" s="1">
        <f t="shared" si="76"/>
        <v>1.7999999999999995E-6</v>
      </c>
    </row>
    <row r="573" spans="1:17" x14ac:dyDescent="0.25">
      <c r="A573" s="1">
        <v>28.55</v>
      </c>
      <c r="B573" s="1">
        <v>3.0513999999999999E-2</v>
      </c>
      <c r="C573" s="1">
        <v>4.6686000000000002E-3</v>
      </c>
      <c r="D573" s="1">
        <v>1.7420000000000001E-2</v>
      </c>
      <c r="E573" s="1">
        <v>3.5284999999999997E-2</v>
      </c>
      <c r="F573" s="1">
        <v>1.9188000000000002E-6</v>
      </c>
      <c r="G573" s="1">
        <v>6.8720999999999997</v>
      </c>
      <c r="H573" s="1">
        <v>1.4088E-7</v>
      </c>
      <c r="I573" s="1">
        <f t="shared" si="72"/>
        <v>1.4088E-7</v>
      </c>
      <c r="J573" s="4">
        <f t="shared" si="73"/>
        <v>-1.1940659866346431E-8</v>
      </c>
      <c r="K573" s="4">
        <f t="shared" si="74"/>
        <v>-2.1103922040221465E-8</v>
      </c>
      <c r="L573" s="4">
        <f t="shared" si="75"/>
        <v>-9.1345487617039204E-9</v>
      </c>
      <c r="M573" s="4">
        <f t="shared" si="77"/>
        <v>-1.0128332638026265E-8</v>
      </c>
      <c r="N573" s="5">
        <f t="shared" si="78"/>
        <v>3.2494183742013979E-8</v>
      </c>
      <c r="O573" s="5">
        <f t="shared" si="79"/>
        <v>1.0832174827831853E-6</v>
      </c>
      <c r="P573" s="5">
        <f t="shared" si="80"/>
        <v>6.8428833347480017E-7</v>
      </c>
      <c r="Q573" s="1">
        <f t="shared" si="76"/>
        <v>1.7999999999999995E-6</v>
      </c>
    </row>
    <row r="574" spans="1:17" x14ac:dyDescent="0.25">
      <c r="A574" s="1">
        <v>28.6</v>
      </c>
      <c r="B574" s="1">
        <v>3.0457000000000001E-2</v>
      </c>
      <c r="C574" s="1">
        <v>4.6667999999999996E-3</v>
      </c>
      <c r="D574" s="1">
        <v>1.7448999999999999E-2</v>
      </c>
      <c r="E574" s="1">
        <v>3.5217999999999999E-2</v>
      </c>
      <c r="F574" s="1">
        <v>1.9197999999999998E-6</v>
      </c>
      <c r="G574" s="1">
        <v>6.8716999999999997</v>
      </c>
      <c r="H574" s="1">
        <v>1.4098999999999999E-7</v>
      </c>
      <c r="I574" s="1">
        <f t="shared" si="72"/>
        <v>1.4098999999999999E-7</v>
      </c>
      <c r="J574" s="4">
        <f t="shared" si="73"/>
        <v>-1.1963687253950344E-8</v>
      </c>
      <c r="K574" s="4">
        <f t="shared" si="74"/>
        <v>-2.1122740914272414E-8</v>
      </c>
      <c r="L574" s="4">
        <f t="shared" si="75"/>
        <v>-9.1300584987278344E-9</v>
      </c>
      <c r="M574" s="4">
        <f t="shared" si="77"/>
        <v>-1.0122266744092778E-8</v>
      </c>
      <c r="N574" s="5">
        <f t="shared" si="78"/>
        <v>3.252317890360822E-8</v>
      </c>
      <c r="O574" s="5">
        <f t="shared" si="79"/>
        <v>1.0841806958669561E-6</v>
      </c>
      <c r="P574" s="5">
        <f t="shared" si="80"/>
        <v>6.8329612522943519E-7</v>
      </c>
      <c r="Q574" s="1">
        <f t="shared" si="76"/>
        <v>1.7999999999999997E-6</v>
      </c>
    </row>
    <row r="575" spans="1:17" x14ac:dyDescent="0.25">
      <c r="A575" s="1">
        <v>28.65</v>
      </c>
      <c r="B575" s="1">
        <v>3.04E-2</v>
      </c>
      <c r="C575" s="1">
        <v>4.6648999999999996E-3</v>
      </c>
      <c r="D575" s="1">
        <v>1.7479000000000001E-2</v>
      </c>
      <c r="E575" s="1">
        <v>3.5152000000000003E-2</v>
      </c>
      <c r="F575" s="1">
        <v>1.9207999999999999E-6</v>
      </c>
      <c r="G575" s="1">
        <v>6.8712999999999997</v>
      </c>
      <c r="H575" s="1">
        <v>1.4111E-7</v>
      </c>
      <c r="I575" s="1">
        <f t="shared" si="72"/>
        <v>1.4111E-7</v>
      </c>
      <c r="J575" s="4">
        <f t="shared" si="73"/>
        <v>-1.1986847020978367E-8</v>
      </c>
      <c r="K575" s="4">
        <f t="shared" si="74"/>
        <v>-2.1141523569404441E-8</v>
      </c>
      <c r="L575" s="4">
        <f t="shared" si="75"/>
        <v>-9.1256069918584605E-9</v>
      </c>
      <c r="M575" s="4">
        <f t="shared" si="77"/>
        <v>-1.0115481673089722E-8</v>
      </c>
      <c r="N575" s="5">
        <f t="shared" si="78"/>
        <v>3.2552248460175833E-8</v>
      </c>
      <c r="O575" s="5">
        <f t="shared" si="79"/>
        <v>1.0851415009916198E-6</v>
      </c>
      <c r="P575" s="5">
        <f t="shared" si="80"/>
        <v>6.8230625054820399E-7</v>
      </c>
      <c r="Q575" s="1">
        <f t="shared" si="76"/>
        <v>1.7999999999999995E-6</v>
      </c>
    </row>
    <row r="576" spans="1:17" x14ac:dyDescent="0.25">
      <c r="A576" s="1">
        <v>28.7</v>
      </c>
      <c r="B576" s="1">
        <v>3.0342000000000001E-2</v>
      </c>
      <c r="C576" s="1">
        <v>4.6629999999999996E-3</v>
      </c>
      <c r="D576" s="1">
        <v>1.7509E-2</v>
      </c>
      <c r="E576" s="1">
        <v>3.5085999999999999E-2</v>
      </c>
      <c r="F576" s="1">
        <v>1.9218E-6</v>
      </c>
      <c r="G576" s="1">
        <v>6.8708999999999998</v>
      </c>
      <c r="H576" s="1">
        <v>1.4121999999999999E-7</v>
      </c>
      <c r="I576" s="1">
        <f t="shared" si="72"/>
        <v>1.4121999999999999E-7</v>
      </c>
      <c r="J576" s="4">
        <f t="shared" si="73"/>
        <v>-1.2010063006430255E-8</v>
      </c>
      <c r="K576" s="4">
        <f t="shared" si="74"/>
        <v>-2.1160259269336888E-8</v>
      </c>
      <c r="L576" s="4">
        <f t="shared" si="75"/>
        <v>-9.1213952490027648E-9</v>
      </c>
      <c r="M576" s="4">
        <f t="shared" si="77"/>
        <v>-1.0109424676560136E-8</v>
      </c>
      <c r="N576" s="5">
        <f t="shared" si="78"/>
        <v>3.2581049474079706E-8</v>
      </c>
      <c r="O576" s="5">
        <f t="shared" si="79"/>
        <v>1.0861007294052734E-6</v>
      </c>
      <c r="P576" s="5">
        <f t="shared" si="80"/>
        <v>6.8131822112064658E-7</v>
      </c>
      <c r="Q576" s="1">
        <f t="shared" si="76"/>
        <v>1.7999999999999997E-6</v>
      </c>
    </row>
    <row r="577" spans="1:17" x14ac:dyDescent="0.25">
      <c r="A577" s="1">
        <v>28.75</v>
      </c>
      <c r="B577" s="1">
        <v>3.0284999999999999E-2</v>
      </c>
      <c r="C577" s="1">
        <v>4.6610999999999996E-3</v>
      </c>
      <c r="D577" s="1">
        <v>1.7538000000000002E-2</v>
      </c>
      <c r="E577" s="1">
        <v>3.5019000000000002E-2</v>
      </c>
      <c r="F577" s="1">
        <v>1.9226999999999998E-6</v>
      </c>
      <c r="G577" s="1">
        <v>6.8704999999999998</v>
      </c>
      <c r="H577" s="1">
        <v>1.4133999999999999E-7</v>
      </c>
      <c r="I577" s="1">
        <f t="shared" si="72"/>
        <v>1.4133999999999999E-7</v>
      </c>
      <c r="J577" s="4">
        <f t="shared" si="73"/>
        <v>-1.2033208655781429E-8</v>
      </c>
      <c r="K577" s="4">
        <f t="shared" si="74"/>
        <v>-2.1178964223403132E-8</v>
      </c>
      <c r="L577" s="4">
        <f t="shared" si="75"/>
        <v>-9.1170684224242925E-9</v>
      </c>
      <c r="M577" s="4">
        <f t="shared" si="77"/>
        <v>-1.0102654714599204E-8</v>
      </c>
      <c r="N577" s="5">
        <f t="shared" si="78"/>
        <v>3.2609736619277118E-8</v>
      </c>
      <c r="O577" s="5">
        <f t="shared" si="79"/>
        <v>1.0870576285522508E-6</v>
      </c>
      <c r="P577" s="5">
        <f t="shared" si="80"/>
        <v>6.8033263482847157E-7</v>
      </c>
      <c r="Q577" s="1">
        <f t="shared" si="76"/>
        <v>1.7999999999999995E-6</v>
      </c>
    </row>
    <row r="578" spans="1:17" x14ac:dyDescent="0.25">
      <c r="A578" s="1">
        <v>28.8</v>
      </c>
      <c r="B578" s="1">
        <v>3.0228000000000001E-2</v>
      </c>
      <c r="C578" s="1">
        <v>4.6591999999999996E-3</v>
      </c>
      <c r="D578" s="1">
        <v>1.7568E-2</v>
      </c>
      <c r="E578" s="1">
        <v>3.4952999999999998E-2</v>
      </c>
      <c r="F578" s="1">
        <v>1.9236999999999999E-6</v>
      </c>
      <c r="G578" s="1">
        <v>6.8700999999999999</v>
      </c>
      <c r="H578" s="1">
        <v>1.4145000000000001E-7</v>
      </c>
      <c r="I578" s="1">
        <f t="shared" si="72"/>
        <v>1.4145000000000001E-7</v>
      </c>
      <c r="J578" s="4">
        <f t="shared" si="73"/>
        <v>-1.2055086854755349E-8</v>
      </c>
      <c r="K578" s="4">
        <f t="shared" si="74"/>
        <v>-2.1197623756769193E-8</v>
      </c>
      <c r="L578" s="4">
        <f t="shared" si="75"/>
        <v>-9.1119358675389399E-9</v>
      </c>
      <c r="M578" s="4">
        <f t="shared" si="77"/>
        <v>-1.0096612533699042E-8</v>
      </c>
      <c r="N578" s="5">
        <f t="shared" si="78"/>
        <v>3.2640337653752024E-8</v>
      </c>
      <c r="O578" s="5">
        <f t="shared" si="79"/>
        <v>1.0880117041839361E-6</v>
      </c>
      <c r="P578" s="5">
        <f t="shared" si="80"/>
        <v>6.7934795816231143E-7</v>
      </c>
      <c r="Q578" s="1">
        <f t="shared" si="76"/>
        <v>1.7999999999999997E-6</v>
      </c>
    </row>
    <row r="579" spans="1:17" x14ac:dyDescent="0.25">
      <c r="A579" s="1">
        <v>28.85</v>
      </c>
      <c r="B579" s="1">
        <v>3.0171E-2</v>
      </c>
      <c r="C579" s="1">
        <v>4.6572000000000002E-3</v>
      </c>
      <c r="D579" s="1">
        <v>1.7597000000000002E-2</v>
      </c>
      <c r="E579" s="1">
        <v>3.4887000000000001E-2</v>
      </c>
      <c r="F579" s="1">
        <v>1.9246000000000002E-6</v>
      </c>
      <c r="G579" s="1">
        <v>6.8696999999999999</v>
      </c>
      <c r="H579" s="1">
        <v>1.4156999999999999E-7</v>
      </c>
      <c r="I579" s="1">
        <f t="shared" ref="I579:I642" si="81">H579</f>
        <v>1.4156999999999999E-7</v>
      </c>
      <c r="J579" s="4">
        <f t="shared" ref="J579:J642" si="82">(-$T$4*F578^2*N578)*(A579-A578)</f>
        <v>-1.2078954149040017E-8</v>
      </c>
      <c r="K579" s="4">
        <f t="shared" ref="K579:K642" si="83">-O578*$T$7*(A579-A578)</f>
        <v>-2.1216228231587056E-8</v>
      </c>
      <c r="L579" s="4">
        <f t="shared" ref="L579:L642" si="84">-$T$5*F578*E578*(A579-A578)*N578</f>
        <v>-9.1080318664100017E-9</v>
      </c>
      <c r="M579" s="4">
        <f t="shared" si="77"/>
        <v>-1.0089845711616332E-8</v>
      </c>
      <c r="N579" s="5">
        <f t="shared" si="78"/>
        <v>3.2669579869889061E-8</v>
      </c>
      <c r="O579" s="5">
        <f t="shared" si="79"/>
        <v>1.0889642758130055E-6</v>
      </c>
      <c r="P579" s="5">
        <f t="shared" si="80"/>
        <v>6.7836614431710515E-7</v>
      </c>
      <c r="Q579" s="1">
        <f t="shared" ref="Q579:Q642" si="85">N579+O579+P579</f>
        <v>1.7999999999999997E-6</v>
      </c>
    </row>
    <row r="580" spans="1:17" x14ac:dyDescent="0.25">
      <c r="A580" s="1">
        <v>28.9</v>
      </c>
      <c r="B580" s="1">
        <v>3.0113999999999998E-2</v>
      </c>
      <c r="C580" s="1">
        <v>4.6552E-3</v>
      </c>
      <c r="D580" s="1">
        <v>1.7627E-2</v>
      </c>
      <c r="E580" s="1">
        <v>3.4820999999999998E-2</v>
      </c>
      <c r="F580" s="1">
        <v>1.9255E-6</v>
      </c>
      <c r="G580" s="1">
        <v>6.8693999999999997</v>
      </c>
      <c r="H580" s="1">
        <v>1.4168000000000001E-7</v>
      </c>
      <c r="I580" s="1">
        <f t="shared" si="81"/>
        <v>1.4168000000000001E-7</v>
      </c>
      <c r="J580" s="4">
        <f t="shared" si="82"/>
        <v>-1.2101090597948396E-8</v>
      </c>
      <c r="K580" s="4">
        <f t="shared" si="83"/>
        <v>-2.12348033783524E-8</v>
      </c>
      <c r="L580" s="4">
        <f t="shared" si="84"/>
        <v>-9.1032349730650332E-9</v>
      </c>
      <c r="M580" s="4">
        <f t="shared" ref="M580:M643" si="86">-P579*$T$8*I579*(A580-A579)</f>
        <v>-1.0083810980351548E-8</v>
      </c>
      <c r="N580" s="5">
        <f t="shared" ref="N580:N643" si="87">N579+J580-K580+L580</f>
        <v>3.2700057677228031E-8</v>
      </c>
      <c r="O580" s="5">
        <f t="shared" ref="O580:O643" si="88">-J580+O579+K580-M580</f>
        <v>1.0899143740129532E-6</v>
      </c>
      <c r="P580" s="5">
        <f t="shared" ref="P580:P643" si="89">P579-L580+M580</f>
        <v>6.7738556830981863E-7</v>
      </c>
      <c r="Q580" s="1">
        <f t="shared" si="85"/>
        <v>1.7999999999999999E-6</v>
      </c>
    </row>
    <row r="581" spans="1:17" x14ac:dyDescent="0.25">
      <c r="A581" s="1">
        <v>28.95</v>
      </c>
      <c r="B581" s="1">
        <v>3.0057E-2</v>
      </c>
      <c r="C581" s="1">
        <v>4.6531999999999997E-3</v>
      </c>
      <c r="D581" s="1">
        <v>1.7656000000000002E-2</v>
      </c>
      <c r="E581" s="1">
        <v>3.4755000000000001E-2</v>
      </c>
      <c r="F581" s="1">
        <v>1.9263999999999999E-6</v>
      </c>
      <c r="G581" s="1">
        <v>6.8689999999999998</v>
      </c>
      <c r="H581" s="1">
        <v>1.4180000000000001E-7</v>
      </c>
      <c r="I581" s="1">
        <f t="shared" si="81"/>
        <v>1.4180000000000001E-7</v>
      </c>
      <c r="J581" s="4">
        <f t="shared" si="82"/>
        <v>-1.2123710701622293E-8</v>
      </c>
      <c r="K581" s="4">
        <f t="shared" si="83"/>
        <v>-2.1253330293252889E-8</v>
      </c>
      <c r="L581" s="4">
        <f t="shared" si="84"/>
        <v>-9.09874256513081E-9</v>
      </c>
      <c r="M581" s="4">
        <f t="shared" si="86"/>
        <v>-1.007705866840433E-8</v>
      </c>
      <c r="N581" s="5">
        <f t="shared" si="87"/>
        <v>3.2730934703727813E-8</v>
      </c>
      <c r="O581" s="5">
        <f t="shared" si="88"/>
        <v>1.0908618130897269E-6</v>
      </c>
      <c r="P581" s="5">
        <f t="shared" si="89"/>
        <v>6.7640725220654511E-7</v>
      </c>
      <c r="Q581" s="1">
        <f t="shared" si="85"/>
        <v>1.7999999999999997E-6</v>
      </c>
    </row>
    <row r="582" spans="1:17" x14ac:dyDescent="0.25">
      <c r="A582" s="1">
        <v>29</v>
      </c>
      <c r="B582" s="1">
        <v>0.03</v>
      </c>
      <c r="C582" s="1">
        <v>4.6511E-3</v>
      </c>
      <c r="D582" s="1">
        <v>1.7686E-2</v>
      </c>
      <c r="E582" s="1">
        <v>3.4688999999999998E-2</v>
      </c>
      <c r="F582" s="1">
        <v>1.9271999999999999E-6</v>
      </c>
      <c r="G582" s="1">
        <v>6.8685999999999998</v>
      </c>
      <c r="H582" s="1">
        <v>1.4191E-7</v>
      </c>
      <c r="I582" s="1">
        <f t="shared" si="81"/>
        <v>1.4191E-7</v>
      </c>
      <c r="J582" s="4">
        <f t="shared" si="82"/>
        <v>-1.2146505380218822E-8</v>
      </c>
      <c r="K582" s="4">
        <f t="shared" si="83"/>
        <v>-2.127180535524998E-8</v>
      </c>
      <c r="L582" s="4">
        <f t="shared" si="84"/>
        <v>-9.0943207388467937E-9</v>
      </c>
      <c r="M582" s="4">
        <f t="shared" si="86"/>
        <v>-1.0071027578103394E-8</v>
      </c>
      <c r="N582" s="5">
        <f t="shared" si="87"/>
        <v>3.2761913939912176E-8</v>
      </c>
      <c r="O582" s="5">
        <f t="shared" si="88"/>
        <v>1.0918075406927989E-6</v>
      </c>
      <c r="P582" s="5">
        <f t="shared" si="89"/>
        <v>6.7543054536728849E-7</v>
      </c>
      <c r="Q582" s="1">
        <f t="shared" si="85"/>
        <v>1.7999999999999997E-6</v>
      </c>
    </row>
    <row r="583" spans="1:17" x14ac:dyDescent="0.25">
      <c r="A583" s="1">
        <v>29.05</v>
      </c>
      <c r="B583" s="1">
        <v>2.9943999999999998E-2</v>
      </c>
      <c r="C583" s="1">
        <v>4.6490999999999998E-3</v>
      </c>
      <c r="D583" s="1">
        <v>1.7715000000000002E-2</v>
      </c>
      <c r="E583" s="1">
        <v>3.4623000000000001E-2</v>
      </c>
      <c r="F583" s="1">
        <v>1.9280999999999998E-6</v>
      </c>
      <c r="G583" s="1">
        <v>6.8681999999999999</v>
      </c>
      <c r="H583" s="1">
        <v>1.4203000000000001E-7</v>
      </c>
      <c r="I583" s="1">
        <f t="shared" si="81"/>
        <v>1.4203000000000001E-7</v>
      </c>
      <c r="J583" s="4">
        <f t="shared" si="82"/>
        <v>-1.216810193223233E-8</v>
      </c>
      <c r="K583" s="4">
        <f t="shared" si="83"/>
        <v>-2.1290247043509882E-8</v>
      </c>
      <c r="L583" s="4">
        <f t="shared" si="84"/>
        <v>-9.0894149278637934E-9</v>
      </c>
      <c r="M583" s="4">
        <f t="shared" si="86"/>
        <v>-1.0064286612772695E-8</v>
      </c>
      <c r="N583" s="5">
        <f t="shared" si="87"/>
        <v>3.2794644123325935E-8</v>
      </c>
      <c r="O583" s="5">
        <f t="shared" si="88"/>
        <v>1.0927496821942938E-6</v>
      </c>
      <c r="P583" s="5">
        <f t="shared" si="89"/>
        <v>6.7445567368237958E-7</v>
      </c>
      <c r="Q583" s="1">
        <f t="shared" si="85"/>
        <v>1.7999999999999993E-6</v>
      </c>
    </row>
    <row r="584" spans="1:17" x14ac:dyDescent="0.25">
      <c r="A584" s="1">
        <v>29.1</v>
      </c>
      <c r="B584" s="1">
        <v>2.9887E-2</v>
      </c>
      <c r="C584" s="1">
        <v>4.6470000000000001E-3</v>
      </c>
      <c r="D584" s="1">
        <v>1.7743999999999999E-2</v>
      </c>
      <c r="E584" s="1">
        <v>3.4556999999999997E-2</v>
      </c>
      <c r="F584" s="1">
        <v>1.9288999999999999E-6</v>
      </c>
      <c r="G584" s="1">
        <v>6.8677999999999999</v>
      </c>
      <c r="H584" s="1">
        <v>1.4214E-7</v>
      </c>
      <c r="I584" s="1">
        <f t="shared" si="81"/>
        <v>1.4214E-7</v>
      </c>
      <c r="J584" s="4">
        <f t="shared" si="82"/>
        <v>-1.2191637236364332E-8</v>
      </c>
      <c r="K584" s="4">
        <f t="shared" si="83"/>
        <v>-2.1308618802789035E-8</v>
      </c>
      <c r="L584" s="4">
        <f t="shared" si="84"/>
        <v>-9.0854254579314634E-9</v>
      </c>
      <c r="M584" s="4">
        <f t="shared" si="86"/>
        <v>-1.0058258629976522E-8</v>
      </c>
      <c r="N584" s="5">
        <f t="shared" si="87"/>
        <v>3.282620023181917E-8</v>
      </c>
      <c r="O584" s="5">
        <f t="shared" si="88"/>
        <v>1.0936909592578454E-6</v>
      </c>
      <c r="P584" s="5">
        <f t="shared" si="89"/>
        <v>6.7348284051033449E-7</v>
      </c>
      <c r="Q584" s="1">
        <f t="shared" si="85"/>
        <v>1.7999999999999993E-6</v>
      </c>
    </row>
    <row r="585" spans="1:17" x14ac:dyDescent="0.25">
      <c r="A585" s="1">
        <v>29.15</v>
      </c>
      <c r="B585" s="1">
        <v>2.9831E-2</v>
      </c>
      <c r="C585" s="1">
        <v>4.6448000000000001E-3</v>
      </c>
      <c r="D585" s="1">
        <v>1.7774000000000002E-2</v>
      </c>
      <c r="E585" s="1">
        <v>3.4491000000000001E-2</v>
      </c>
      <c r="F585" s="1">
        <v>1.9298000000000001E-6</v>
      </c>
      <c r="G585" s="1">
        <v>6.8673999999999999</v>
      </c>
      <c r="H585" s="1">
        <v>1.4226E-7</v>
      </c>
      <c r="I585" s="1">
        <f t="shared" si="81"/>
        <v>1.4226E-7</v>
      </c>
      <c r="J585" s="4">
        <f t="shared" si="82"/>
        <v>-1.2213497291701426E-8</v>
      </c>
      <c r="K585" s="4">
        <f t="shared" si="83"/>
        <v>-2.1326973705526774E-8</v>
      </c>
      <c r="L585" s="4">
        <f t="shared" si="84"/>
        <v>-9.0805981519192465E-9</v>
      </c>
      <c r="M585" s="4">
        <f t="shared" si="86"/>
        <v>-1.0051529349764018E-8</v>
      </c>
      <c r="N585" s="5">
        <f t="shared" si="87"/>
        <v>3.2859078493725269E-8</v>
      </c>
      <c r="O585" s="5">
        <f t="shared" si="88"/>
        <v>1.0946290121937841E-6</v>
      </c>
      <c r="P585" s="5">
        <f t="shared" si="89"/>
        <v>6.7251190931248975E-7</v>
      </c>
      <c r="Q585" s="1">
        <f t="shared" si="85"/>
        <v>1.7999999999999991E-6</v>
      </c>
    </row>
    <row r="586" spans="1:17" x14ac:dyDescent="0.25">
      <c r="A586" s="1">
        <v>29.2</v>
      </c>
      <c r="B586" s="1">
        <v>2.9773999999999998E-2</v>
      </c>
      <c r="C586" s="1">
        <v>4.6426999999999996E-3</v>
      </c>
      <c r="D586" s="1">
        <v>1.7802999999999999E-2</v>
      </c>
      <c r="E586" s="1">
        <v>3.4424999999999997E-2</v>
      </c>
      <c r="F586" s="1">
        <v>1.9306000000000002E-6</v>
      </c>
      <c r="G586" s="1">
        <v>6.867</v>
      </c>
      <c r="H586" s="1">
        <v>1.4237E-7</v>
      </c>
      <c r="I586" s="1">
        <f t="shared" si="81"/>
        <v>1.4237E-7</v>
      </c>
      <c r="J586" s="4">
        <f t="shared" si="82"/>
        <v>-1.22371415587045E-8</v>
      </c>
      <c r="K586" s="4">
        <f t="shared" si="83"/>
        <v>-2.1345265737779093E-8</v>
      </c>
      <c r="L586" s="4">
        <f t="shared" si="84"/>
        <v>-9.0765658898865124E-9</v>
      </c>
      <c r="M586" s="4">
        <f t="shared" si="86"/>
        <v>-1.0045512142973596E-8</v>
      </c>
      <c r="N586" s="5">
        <f t="shared" si="87"/>
        <v>3.2890636782913344E-8</v>
      </c>
      <c r="O586" s="5">
        <f t="shared" si="88"/>
        <v>1.095566400157683E-6</v>
      </c>
      <c r="P586" s="5">
        <f t="shared" si="89"/>
        <v>6.7154296305940268E-7</v>
      </c>
      <c r="Q586" s="1">
        <f t="shared" si="85"/>
        <v>1.7999999999999989E-6</v>
      </c>
    </row>
    <row r="587" spans="1:17" x14ac:dyDescent="0.25">
      <c r="A587" s="1">
        <v>29.25</v>
      </c>
      <c r="B587" s="1">
        <v>2.9718000000000001E-2</v>
      </c>
      <c r="C587" s="1">
        <v>4.6404999999999997E-3</v>
      </c>
      <c r="D587" s="1">
        <v>1.7832000000000001E-2</v>
      </c>
      <c r="E587" s="1">
        <v>3.4360000000000002E-2</v>
      </c>
      <c r="F587" s="1">
        <v>1.9313999999999998E-6</v>
      </c>
      <c r="G587" s="1">
        <v>6.8666</v>
      </c>
      <c r="H587" s="1">
        <v>1.4247999999999999E-7</v>
      </c>
      <c r="I587" s="1">
        <f t="shared" si="81"/>
        <v>1.4247999999999999E-7</v>
      </c>
      <c r="J587" s="4">
        <f t="shared" si="82"/>
        <v>-1.2259051950809416E-8</v>
      </c>
      <c r="K587" s="4">
        <f t="shared" si="83"/>
        <v>-2.1363544803075122E-8</v>
      </c>
      <c r="L587" s="4">
        <f t="shared" si="84"/>
        <v>-9.0716571694677743E-9</v>
      </c>
      <c r="M587" s="4">
        <f t="shared" si="86"/>
        <v>-1.0038795023330694E-8</v>
      </c>
      <c r="N587" s="5">
        <f t="shared" si="87"/>
        <v>3.2923472465711276E-8</v>
      </c>
      <c r="O587" s="5">
        <f t="shared" si="88"/>
        <v>1.0965007023287479E-6</v>
      </c>
      <c r="P587" s="5">
        <f t="shared" si="89"/>
        <v>6.705758252055397E-7</v>
      </c>
      <c r="Q587" s="1">
        <f t="shared" si="85"/>
        <v>1.7999999999999989E-6</v>
      </c>
    </row>
    <row r="588" spans="1:17" x14ac:dyDescent="0.25">
      <c r="A588" s="1">
        <v>29.3</v>
      </c>
      <c r="B588" s="1">
        <v>2.9662000000000001E-2</v>
      </c>
      <c r="C588" s="1">
        <v>4.6382999999999997E-3</v>
      </c>
      <c r="D588" s="1">
        <v>1.7861999999999999E-2</v>
      </c>
      <c r="E588" s="1">
        <v>3.4293999999999998E-2</v>
      </c>
      <c r="F588" s="1">
        <v>1.9321999999999999E-6</v>
      </c>
      <c r="G588" s="1">
        <v>6.8662999999999998</v>
      </c>
      <c r="H588" s="1">
        <v>1.4259999999999999E-7</v>
      </c>
      <c r="I588" s="1">
        <f t="shared" si="81"/>
        <v>1.4259999999999999E-7</v>
      </c>
      <c r="J588" s="4">
        <f t="shared" si="82"/>
        <v>-1.2281462556274038E-8</v>
      </c>
      <c r="K588" s="4">
        <f t="shared" si="83"/>
        <v>-2.138176369541089E-8</v>
      </c>
      <c r="L588" s="4">
        <f t="shared" si="84"/>
        <v>-9.0673235567429886E-9</v>
      </c>
      <c r="M588" s="4">
        <f t="shared" si="86"/>
        <v>-1.0032082575405098E-8</v>
      </c>
      <c r="N588" s="5">
        <f t="shared" si="87"/>
        <v>3.2956450048105137E-8</v>
      </c>
      <c r="O588" s="5">
        <f t="shared" si="88"/>
        <v>1.0974324837650163E-6</v>
      </c>
      <c r="P588" s="5">
        <f t="shared" si="89"/>
        <v>6.6961106618687762E-7</v>
      </c>
      <c r="Q588" s="1">
        <f t="shared" si="85"/>
        <v>1.7999999999999989E-6</v>
      </c>
    </row>
    <row r="589" spans="1:17" x14ac:dyDescent="0.25">
      <c r="A589" s="1">
        <v>29.35</v>
      </c>
      <c r="B589" s="1">
        <v>2.9604999999999999E-2</v>
      </c>
      <c r="C589" s="1">
        <v>4.6360000000000004E-3</v>
      </c>
      <c r="D589" s="1">
        <v>1.7891000000000001E-2</v>
      </c>
      <c r="E589" s="1">
        <v>3.4229000000000002E-2</v>
      </c>
      <c r="F589" s="1">
        <v>1.933E-6</v>
      </c>
      <c r="G589" s="1">
        <v>6.8658999999999999</v>
      </c>
      <c r="H589" s="1">
        <v>1.4271000000000001E-7</v>
      </c>
      <c r="I589" s="1">
        <f t="shared" si="81"/>
        <v>1.4271000000000001E-7</v>
      </c>
      <c r="J589" s="4">
        <f t="shared" si="82"/>
        <v>-1.230395064672153E-8</v>
      </c>
      <c r="K589" s="4">
        <f t="shared" si="83"/>
        <v>-2.1399933433418125E-8</v>
      </c>
      <c r="L589" s="4">
        <f t="shared" si="84"/>
        <v>-9.0627237679146727E-9</v>
      </c>
      <c r="M589" s="4">
        <f t="shared" si="86"/>
        <v>-1.0026086494016259E-8</v>
      </c>
      <c r="N589" s="5">
        <f t="shared" si="87"/>
        <v>3.2989709066887058E-8</v>
      </c>
      <c r="O589" s="5">
        <f t="shared" si="88"/>
        <v>1.0983625874723359E-6</v>
      </c>
      <c r="P589" s="5">
        <f t="shared" si="89"/>
        <v>6.6864770346077605E-7</v>
      </c>
      <c r="Q589" s="1">
        <f t="shared" si="85"/>
        <v>1.7999999999999989E-6</v>
      </c>
    </row>
    <row r="590" spans="1:17" x14ac:dyDescent="0.25">
      <c r="A590" s="1">
        <v>29.4</v>
      </c>
      <c r="B590" s="1">
        <v>2.9548999999999999E-2</v>
      </c>
      <c r="C590" s="1">
        <v>4.6338000000000004E-3</v>
      </c>
      <c r="D590" s="1">
        <v>1.7919999999999998E-2</v>
      </c>
      <c r="E590" s="1">
        <v>3.4162999999999999E-2</v>
      </c>
      <c r="F590" s="1">
        <v>1.9336999999999998E-6</v>
      </c>
      <c r="G590" s="1">
        <v>6.8654999999999999</v>
      </c>
      <c r="H590" s="1">
        <v>1.4282999999999999E-7</v>
      </c>
      <c r="I590" s="1">
        <f t="shared" si="81"/>
        <v>1.4282999999999999E-7</v>
      </c>
      <c r="J590" s="4">
        <f t="shared" si="82"/>
        <v>-1.2326568504161673E-8</v>
      </c>
      <c r="K590" s="4">
        <f t="shared" si="83"/>
        <v>-2.1418070455709333E-8</v>
      </c>
      <c r="L590" s="4">
        <f t="shared" si="84"/>
        <v>-9.0584240575020297E-9</v>
      </c>
      <c r="M590" s="4">
        <f t="shared" si="86"/>
        <v>-1.0019384944892604E-8</v>
      </c>
      <c r="N590" s="5">
        <f t="shared" si="87"/>
        <v>3.3022786960932695E-8</v>
      </c>
      <c r="O590" s="5">
        <f t="shared" si="88"/>
        <v>1.0992904704656811E-6</v>
      </c>
      <c r="P590" s="5">
        <f t="shared" si="89"/>
        <v>6.6768674257338546E-7</v>
      </c>
      <c r="Q590" s="1">
        <f t="shared" si="85"/>
        <v>1.7999999999999993E-6</v>
      </c>
    </row>
    <row r="591" spans="1:17" x14ac:dyDescent="0.25">
      <c r="A591" s="1">
        <v>29.45</v>
      </c>
      <c r="B591" s="1">
        <v>2.9492999999999998E-2</v>
      </c>
      <c r="C591" s="1">
        <v>4.6315000000000002E-3</v>
      </c>
      <c r="D591" s="1">
        <v>1.7949E-2</v>
      </c>
      <c r="E591" s="1">
        <v>3.4098000000000003E-2</v>
      </c>
      <c r="F591" s="1">
        <v>1.9344999999999999E-6</v>
      </c>
      <c r="G591" s="1">
        <v>6.8651</v>
      </c>
      <c r="H591" s="1">
        <v>1.4294000000000001E-7</v>
      </c>
      <c r="I591" s="1">
        <f t="shared" si="81"/>
        <v>1.4294000000000001E-7</v>
      </c>
      <c r="J591" s="4">
        <f t="shared" si="82"/>
        <v>-1.2347866267610947E-8</v>
      </c>
      <c r="K591" s="4">
        <f t="shared" si="83"/>
        <v>-2.1436164174081087E-8</v>
      </c>
      <c r="L591" s="4">
        <f t="shared" si="84"/>
        <v>-9.0533001215112485E-9</v>
      </c>
      <c r="M591" s="4">
        <f t="shared" si="86"/>
        <v>-1.0013398231384589E-8</v>
      </c>
      <c r="N591" s="5">
        <f t="shared" si="87"/>
        <v>3.3057784745891583E-8</v>
      </c>
      <c r="O591" s="5">
        <f t="shared" si="88"/>
        <v>1.1002155707905956E-6</v>
      </c>
      <c r="P591" s="5">
        <f t="shared" si="89"/>
        <v>6.6672664446351209E-7</v>
      </c>
      <c r="Q591" s="1">
        <f t="shared" si="85"/>
        <v>1.7999999999999993E-6</v>
      </c>
    </row>
    <row r="592" spans="1:17" x14ac:dyDescent="0.25">
      <c r="A592" s="1">
        <v>29.5</v>
      </c>
      <c r="B592" s="1">
        <v>2.9437000000000001E-2</v>
      </c>
      <c r="C592" s="1">
        <v>4.6292E-3</v>
      </c>
      <c r="D592" s="1">
        <v>1.7978000000000001E-2</v>
      </c>
      <c r="E592" s="1">
        <v>3.4033000000000001E-2</v>
      </c>
      <c r="F592" s="1">
        <v>1.9352000000000001E-6</v>
      </c>
      <c r="G592" s="1">
        <v>6.8647</v>
      </c>
      <c r="H592" s="1">
        <v>1.4305E-7</v>
      </c>
      <c r="I592" s="1">
        <f t="shared" si="81"/>
        <v>1.4305E-7</v>
      </c>
      <c r="J592" s="4">
        <f t="shared" si="82"/>
        <v>-1.2371182554115053E-8</v>
      </c>
      <c r="K592" s="4">
        <f t="shared" si="83"/>
        <v>-2.145420363041692E-8</v>
      </c>
      <c r="L592" s="4">
        <f t="shared" si="84"/>
        <v>-9.0493937365230948E-9</v>
      </c>
      <c r="M592" s="4">
        <f t="shared" si="86"/>
        <v>-1.0006700188759656E-8</v>
      </c>
      <c r="N592" s="5">
        <f t="shared" si="87"/>
        <v>3.3091412085670356E-8</v>
      </c>
      <c r="O592" s="5">
        <f t="shared" si="88"/>
        <v>1.1011392499030535E-6</v>
      </c>
      <c r="P592" s="5">
        <f t="shared" si="89"/>
        <v>6.6576933801127548E-7</v>
      </c>
      <c r="Q592" s="1">
        <f t="shared" si="85"/>
        <v>1.7999999999999993E-6</v>
      </c>
    </row>
    <row r="593" spans="1:17" x14ac:dyDescent="0.25">
      <c r="A593" s="1">
        <v>29.55</v>
      </c>
      <c r="B593" s="1">
        <v>2.9381000000000001E-2</v>
      </c>
      <c r="C593" s="1">
        <v>4.6268000000000004E-3</v>
      </c>
      <c r="D593" s="1">
        <v>1.8006999999999999E-2</v>
      </c>
      <c r="E593" s="1">
        <v>3.3967999999999998E-2</v>
      </c>
      <c r="F593" s="1">
        <v>1.9359E-6</v>
      </c>
      <c r="G593" s="1">
        <v>6.8643999999999998</v>
      </c>
      <c r="H593" s="1">
        <v>1.4317E-7</v>
      </c>
      <c r="I593" s="1">
        <f t="shared" si="81"/>
        <v>1.4317E-7</v>
      </c>
      <c r="J593" s="4">
        <f t="shared" si="82"/>
        <v>-1.2392730649308166E-8</v>
      </c>
      <c r="K593" s="4">
        <f t="shared" si="83"/>
        <v>-2.1472215373109848E-8</v>
      </c>
      <c r="L593" s="4">
        <f t="shared" si="84"/>
        <v>-9.0446025169481432E-9</v>
      </c>
      <c r="M593" s="4">
        <f t="shared" si="86"/>
        <v>-1.0000021899264002E-8</v>
      </c>
      <c r="N593" s="5">
        <f t="shared" si="87"/>
        <v>3.3126294292523896E-8</v>
      </c>
      <c r="O593" s="5">
        <f t="shared" si="88"/>
        <v>1.1020597870785159E-6</v>
      </c>
      <c r="P593" s="5">
        <f t="shared" si="89"/>
        <v>6.6481391862895961E-7</v>
      </c>
      <c r="Q593" s="1">
        <f t="shared" si="85"/>
        <v>1.7999999999999993E-6</v>
      </c>
    </row>
    <row r="594" spans="1:17" x14ac:dyDescent="0.25">
      <c r="A594" s="1">
        <v>29.6</v>
      </c>
      <c r="B594" s="1">
        <v>2.9325E-2</v>
      </c>
      <c r="C594" s="1">
        <v>4.6243999999999999E-3</v>
      </c>
      <c r="D594" s="1">
        <v>1.8037000000000001E-2</v>
      </c>
      <c r="E594" s="1">
        <v>3.3903000000000003E-2</v>
      </c>
      <c r="F594" s="1">
        <v>1.9365999999999998E-6</v>
      </c>
      <c r="G594" s="1">
        <v>6.8639999999999999</v>
      </c>
      <c r="H594" s="1">
        <v>1.4328E-7</v>
      </c>
      <c r="I594" s="1">
        <f t="shared" si="81"/>
        <v>1.4328E-7</v>
      </c>
      <c r="J594" s="4">
        <f t="shared" si="82"/>
        <v>-1.2414770496274629E-8</v>
      </c>
      <c r="K594" s="4">
        <f t="shared" si="83"/>
        <v>-2.1490165848031363E-8</v>
      </c>
      <c r="L594" s="4">
        <f t="shared" si="84"/>
        <v>-9.0401127925122401E-9</v>
      </c>
      <c r="M594" s="4">
        <f t="shared" si="86"/>
        <v>-9.9940479166614975E-9</v>
      </c>
      <c r="N594" s="5">
        <f t="shared" si="87"/>
        <v>3.3161576851768397E-8</v>
      </c>
      <c r="O594" s="5">
        <f t="shared" si="88"/>
        <v>1.1029784396434205E-6</v>
      </c>
      <c r="P594" s="5">
        <f t="shared" si="89"/>
        <v>6.6385998350481036E-7</v>
      </c>
      <c r="Q594" s="1">
        <f t="shared" si="85"/>
        <v>1.7999999999999993E-6</v>
      </c>
    </row>
    <row r="595" spans="1:17" x14ac:dyDescent="0.25">
      <c r="A595" s="1">
        <v>29.65</v>
      </c>
      <c r="B595" s="1">
        <v>2.9270000000000001E-2</v>
      </c>
      <c r="C595" s="1">
        <v>4.6220000000000002E-3</v>
      </c>
      <c r="D595" s="1">
        <v>1.8065999999999999E-2</v>
      </c>
      <c r="E595" s="1">
        <v>3.3836999999999999E-2</v>
      </c>
      <c r="F595" s="1">
        <v>1.9373000000000001E-6</v>
      </c>
      <c r="G595" s="1">
        <v>6.8635999999999999</v>
      </c>
      <c r="H595" s="1">
        <v>1.4338999999999999E-7</v>
      </c>
      <c r="I595" s="1">
        <f t="shared" si="81"/>
        <v>1.4338999999999999E-7</v>
      </c>
      <c r="J595" s="4">
        <f t="shared" si="82"/>
        <v>-1.2436982646530834E-8</v>
      </c>
      <c r="K595" s="4">
        <f t="shared" si="83"/>
        <v>-2.1508079573045478E-8</v>
      </c>
      <c r="L595" s="4">
        <f t="shared" si="84"/>
        <v>-9.0356900963603204E-9</v>
      </c>
      <c r="M595" s="4">
        <f t="shared" si="86"/>
        <v>-9.9873751358392006E-9</v>
      </c>
      <c r="N595" s="5">
        <f t="shared" si="87"/>
        <v>3.3196983681922715E-8</v>
      </c>
      <c r="O595" s="5">
        <f t="shared" si="88"/>
        <v>1.1038947178527453E-6</v>
      </c>
      <c r="P595" s="5">
        <f t="shared" si="89"/>
        <v>6.6290829846533149E-7</v>
      </c>
      <c r="Q595" s="1">
        <f t="shared" si="85"/>
        <v>1.7999999999999993E-6</v>
      </c>
    </row>
    <row r="596" spans="1:17" x14ac:dyDescent="0.25">
      <c r="A596" s="1">
        <v>29.7</v>
      </c>
      <c r="B596" s="1">
        <v>2.9214E-2</v>
      </c>
      <c r="C596" s="1">
        <v>4.6195999999999997E-3</v>
      </c>
      <c r="D596" s="1">
        <v>1.8095E-2</v>
      </c>
      <c r="E596" s="1">
        <v>3.3772999999999997E-2</v>
      </c>
      <c r="F596" s="1">
        <v>1.9379999999999999E-6</v>
      </c>
      <c r="G596" s="1">
        <v>6.8632</v>
      </c>
      <c r="H596" s="1">
        <v>1.4350999999999999E-7</v>
      </c>
      <c r="I596" s="1">
        <f t="shared" si="81"/>
        <v>1.4350999999999999E-7</v>
      </c>
      <c r="J596" s="4">
        <f t="shared" si="82"/>
        <v>-1.2459263819024534E-8</v>
      </c>
      <c r="K596" s="4">
        <f t="shared" si="83"/>
        <v>-2.1525946998128838E-8</v>
      </c>
      <c r="L596" s="4">
        <f t="shared" si="84"/>
        <v>-9.0309918745366352E-9</v>
      </c>
      <c r="M596" s="4">
        <f t="shared" si="86"/>
        <v>-9.980714196279249E-9</v>
      </c>
      <c r="N596" s="5">
        <f t="shared" si="87"/>
        <v>3.323267498649039E-8</v>
      </c>
      <c r="O596" s="5">
        <f t="shared" si="88"/>
        <v>1.1048087488699202E-6</v>
      </c>
      <c r="P596" s="5">
        <f t="shared" si="89"/>
        <v>6.6195857614358887E-7</v>
      </c>
      <c r="Q596" s="1">
        <f t="shared" si="85"/>
        <v>1.7999999999999995E-6</v>
      </c>
    </row>
    <row r="597" spans="1:17" x14ac:dyDescent="0.25">
      <c r="A597" s="1">
        <v>29.75</v>
      </c>
      <c r="B597" s="1">
        <v>2.9159000000000001E-2</v>
      </c>
      <c r="C597" s="1">
        <v>4.6172000000000001E-3</v>
      </c>
      <c r="D597" s="1">
        <v>1.8124000000000001E-2</v>
      </c>
      <c r="E597" s="1">
        <v>3.3708000000000002E-2</v>
      </c>
      <c r="F597" s="1">
        <v>1.9386E-6</v>
      </c>
      <c r="G597" s="1">
        <v>6.8628</v>
      </c>
      <c r="H597" s="1">
        <v>1.4362000000000001E-7</v>
      </c>
      <c r="I597" s="1">
        <f t="shared" si="81"/>
        <v>1.4362000000000001E-7</v>
      </c>
      <c r="J597" s="4">
        <f t="shared" si="82"/>
        <v>-1.2481674295196176E-8</v>
      </c>
      <c r="K597" s="4">
        <f t="shared" si="83"/>
        <v>-2.1543770602963752E-8</v>
      </c>
      <c r="L597" s="4">
        <f t="shared" si="84"/>
        <v>-9.0268621351000554E-9</v>
      </c>
      <c r="M597" s="4">
        <f t="shared" si="86"/>
        <v>-9.9747559025486178E-9</v>
      </c>
      <c r="N597" s="5">
        <f t="shared" si="87"/>
        <v>3.3267909159157906E-8</v>
      </c>
      <c r="O597" s="5">
        <f t="shared" si="88"/>
        <v>1.1057214084647013E-6</v>
      </c>
      <c r="P597" s="5">
        <f t="shared" si="89"/>
        <v>6.6101068237614033E-7</v>
      </c>
      <c r="Q597" s="1">
        <f t="shared" si="85"/>
        <v>1.7999999999999995E-6</v>
      </c>
    </row>
    <row r="598" spans="1:17" x14ac:dyDescent="0.25">
      <c r="A598" s="1">
        <v>29.8</v>
      </c>
      <c r="B598" s="1">
        <v>2.9103E-2</v>
      </c>
      <c r="C598" s="1">
        <v>4.6147000000000002E-3</v>
      </c>
      <c r="D598" s="1">
        <v>1.8152999999999999E-2</v>
      </c>
      <c r="E598" s="1">
        <v>3.3642999999999999E-2</v>
      </c>
      <c r="F598" s="1">
        <v>1.9392999999999998E-6</v>
      </c>
      <c r="G598" s="1">
        <v>6.8624999999999998</v>
      </c>
      <c r="H598" s="1">
        <v>1.4373E-7</v>
      </c>
      <c r="I598" s="1">
        <f t="shared" si="81"/>
        <v>1.4373E-7</v>
      </c>
      <c r="J598" s="4">
        <f t="shared" si="82"/>
        <v>-1.2502645683395788E-8</v>
      </c>
      <c r="K598" s="4">
        <f t="shared" si="83"/>
        <v>-2.1561567465061983E-8</v>
      </c>
      <c r="L598" s="4">
        <f t="shared" si="84"/>
        <v>-9.0218332811720138E-9</v>
      </c>
      <c r="M598" s="4">
        <f t="shared" si="86"/>
        <v>-9.968107191300576E-9</v>
      </c>
      <c r="N598" s="5">
        <f t="shared" si="87"/>
        <v>3.3304997659652082E-8</v>
      </c>
      <c r="O598" s="5">
        <f t="shared" si="88"/>
        <v>1.1066305938743358E-6</v>
      </c>
      <c r="P598" s="5">
        <f t="shared" si="89"/>
        <v>6.600644084660118E-7</v>
      </c>
      <c r="Q598" s="1">
        <f t="shared" si="85"/>
        <v>1.7999999999999997E-6</v>
      </c>
    </row>
    <row r="599" spans="1:17" x14ac:dyDescent="0.25">
      <c r="A599" s="1">
        <v>29.85</v>
      </c>
      <c r="B599" s="1">
        <v>2.9048000000000001E-2</v>
      </c>
      <c r="C599" s="1">
        <v>4.6122000000000003E-3</v>
      </c>
      <c r="D599" s="1">
        <v>1.8182E-2</v>
      </c>
      <c r="E599" s="1">
        <v>3.3577999999999997E-2</v>
      </c>
      <c r="F599" s="1">
        <v>1.9398999999999998E-6</v>
      </c>
      <c r="G599" s="1">
        <v>6.8620999999999999</v>
      </c>
      <c r="H599" s="1">
        <v>1.4384E-7</v>
      </c>
      <c r="I599" s="1">
        <f t="shared" si="81"/>
        <v>1.4384E-7</v>
      </c>
      <c r="J599" s="4">
        <f t="shared" si="82"/>
        <v>-1.2525624913767356E-8</v>
      </c>
      <c r="K599" s="4">
        <f t="shared" si="83"/>
        <v>-2.1579296580549857E-8</v>
      </c>
      <c r="L599" s="4">
        <f t="shared" si="84"/>
        <v>-9.0177297774536307E-9</v>
      </c>
      <c r="M599" s="4">
        <f t="shared" si="86"/>
        <v>-9.9614610300262281E-9</v>
      </c>
      <c r="N599" s="5">
        <f t="shared" si="87"/>
        <v>3.334093954898095E-8</v>
      </c>
      <c r="O599" s="5">
        <f t="shared" si="88"/>
        <v>1.1075383832375796E-6</v>
      </c>
      <c r="P599" s="5">
        <f t="shared" si="89"/>
        <v>6.5912067721343918E-7</v>
      </c>
      <c r="Q599" s="1">
        <f t="shared" si="85"/>
        <v>1.7999999999999997E-6</v>
      </c>
    </row>
    <row r="600" spans="1:17" x14ac:dyDescent="0.25">
      <c r="A600" s="1">
        <v>29.9</v>
      </c>
      <c r="B600" s="1">
        <v>2.8992E-2</v>
      </c>
      <c r="C600" s="1">
        <v>4.6097000000000004E-3</v>
      </c>
      <c r="D600" s="1">
        <v>1.8211000000000001E-2</v>
      </c>
      <c r="E600" s="1">
        <v>3.3513000000000001E-2</v>
      </c>
      <c r="F600" s="1">
        <v>1.9404999999999999E-6</v>
      </c>
      <c r="G600" s="1">
        <v>6.8616999999999999</v>
      </c>
      <c r="H600" s="1">
        <v>1.4396E-7</v>
      </c>
      <c r="I600" s="1">
        <f t="shared" si="81"/>
        <v>1.4396E-7</v>
      </c>
      <c r="J600" s="4">
        <f t="shared" si="82"/>
        <v>-1.2546902413540194E-8</v>
      </c>
      <c r="K600" s="4">
        <f t="shared" si="83"/>
        <v>-2.1596998473131575E-8</v>
      </c>
      <c r="L600" s="4">
        <f t="shared" si="84"/>
        <v>-9.012807569223613E-9</v>
      </c>
      <c r="M600" s="4">
        <f t="shared" si="86"/>
        <v>-9.9548314120894495E-9</v>
      </c>
      <c r="N600" s="5">
        <f t="shared" si="87"/>
        <v>3.337822803934872E-8</v>
      </c>
      <c r="O600" s="5">
        <f t="shared" si="88"/>
        <v>1.1084431185900776E-6</v>
      </c>
      <c r="P600" s="5">
        <f t="shared" si="89"/>
        <v>6.5817865337057339E-7</v>
      </c>
      <c r="Q600" s="1">
        <f t="shared" si="85"/>
        <v>1.7999999999999997E-6</v>
      </c>
    </row>
    <row r="601" spans="1:17" x14ac:dyDescent="0.25">
      <c r="A601" s="1">
        <v>29.95</v>
      </c>
      <c r="B601" s="1">
        <v>2.8937000000000001E-2</v>
      </c>
      <c r="C601" s="1">
        <v>4.6071000000000003E-3</v>
      </c>
      <c r="D601" s="1">
        <v>1.8239999999999999E-2</v>
      </c>
      <c r="E601" s="1">
        <v>3.3449E-2</v>
      </c>
      <c r="F601" s="1">
        <v>1.9410999999999999E-6</v>
      </c>
      <c r="G601" s="1">
        <v>6.8613</v>
      </c>
      <c r="H601" s="1">
        <v>1.4406999999999999E-7</v>
      </c>
      <c r="I601" s="1">
        <f t="shared" si="81"/>
        <v>1.4406999999999999E-7</v>
      </c>
      <c r="J601" s="4">
        <f t="shared" si="82"/>
        <v>-1.2568706115584795E-8</v>
      </c>
      <c r="K601" s="4">
        <f t="shared" si="83"/>
        <v>-2.1614640812506822E-8</v>
      </c>
      <c r="L601" s="4">
        <f t="shared" si="84"/>
        <v>-9.0082063870863821E-9</v>
      </c>
      <c r="M601" s="4">
        <f t="shared" si="86"/>
        <v>-9.9488968886190541E-9</v>
      </c>
      <c r="N601" s="5">
        <f t="shared" si="87"/>
        <v>3.3415956349184362E-8</v>
      </c>
      <c r="O601" s="5">
        <f t="shared" si="88"/>
        <v>1.1093460807817745E-6</v>
      </c>
      <c r="P601" s="5">
        <f t="shared" si="89"/>
        <v>6.5723796286904076E-7</v>
      </c>
      <c r="Q601" s="1">
        <f t="shared" si="85"/>
        <v>1.7999999999999997E-6</v>
      </c>
    </row>
    <row r="602" spans="1:17" x14ac:dyDescent="0.25">
      <c r="A602" s="1">
        <v>30</v>
      </c>
      <c r="B602" s="1">
        <v>2.8882000000000001E-2</v>
      </c>
      <c r="C602" s="1">
        <v>4.6046000000000004E-3</v>
      </c>
      <c r="D602" s="1">
        <v>1.8268E-2</v>
      </c>
      <c r="E602" s="1">
        <v>3.3383999999999997E-2</v>
      </c>
      <c r="F602" s="1">
        <v>1.9417E-6</v>
      </c>
      <c r="G602" s="1">
        <v>6.8609999999999998</v>
      </c>
      <c r="H602" s="1">
        <v>1.4418000000000001E-7</v>
      </c>
      <c r="I602" s="1">
        <f t="shared" si="81"/>
        <v>1.4418000000000001E-7</v>
      </c>
      <c r="J602" s="4">
        <f t="shared" si="82"/>
        <v>-1.2590695305079755E-8</v>
      </c>
      <c r="K602" s="4">
        <f t="shared" si="83"/>
        <v>-2.1632248575244914E-8</v>
      </c>
      <c r="L602" s="4">
        <f t="shared" si="84"/>
        <v>-9.0039492768399002E-9</v>
      </c>
      <c r="M602" s="4">
        <f t="shared" si="86"/>
        <v>-9.9422686976071239E-9</v>
      </c>
      <c r="N602" s="5">
        <f t="shared" si="87"/>
        <v>3.3453560342509619E-8</v>
      </c>
      <c r="O602" s="5">
        <f t="shared" si="88"/>
        <v>1.1102467962092166E-6</v>
      </c>
      <c r="P602" s="5">
        <f t="shared" si="89"/>
        <v>6.562996434482735E-7</v>
      </c>
      <c r="Q602" s="1">
        <f t="shared" si="85"/>
        <v>1.7999999999999997E-6</v>
      </c>
    </row>
    <row r="603" spans="1:17" x14ac:dyDescent="0.25">
      <c r="A603" s="1">
        <v>30.05</v>
      </c>
      <c r="B603" s="1">
        <v>2.8826999999999998E-2</v>
      </c>
      <c r="C603" s="1">
        <v>4.6020000000000002E-3</v>
      </c>
      <c r="D603" s="1">
        <v>1.8297000000000001E-2</v>
      </c>
      <c r="E603" s="1">
        <v>3.3320000000000002E-2</v>
      </c>
      <c r="F603" s="1">
        <v>1.9423E-6</v>
      </c>
      <c r="G603" s="1">
        <v>6.8605999999999998</v>
      </c>
      <c r="H603" s="1">
        <v>1.4429E-7</v>
      </c>
      <c r="I603" s="1">
        <f t="shared" si="81"/>
        <v>1.4429E-7</v>
      </c>
      <c r="J603" s="4">
        <f t="shared" si="82"/>
        <v>-1.2612657606987958E-8</v>
      </c>
      <c r="K603" s="4">
        <f t="shared" si="83"/>
        <v>-2.1649812526080032E-8</v>
      </c>
      <c r="L603" s="4">
        <f t="shared" si="84"/>
        <v>-8.9993458847375841E-9</v>
      </c>
      <c r="M603" s="4">
        <f t="shared" si="86"/>
        <v>-9.9356546721992086E-9</v>
      </c>
      <c r="N603" s="5">
        <f t="shared" si="87"/>
        <v>3.3491369376864116E-8</v>
      </c>
      <c r="O603" s="5">
        <f t="shared" si="88"/>
        <v>1.1111452959623238E-6</v>
      </c>
      <c r="P603" s="5">
        <f t="shared" si="89"/>
        <v>6.5536333466081189E-7</v>
      </c>
      <c r="Q603" s="1">
        <f t="shared" si="85"/>
        <v>1.7999999999999997E-6</v>
      </c>
    </row>
    <row r="604" spans="1:17" x14ac:dyDescent="0.25">
      <c r="A604" s="1">
        <v>30.1</v>
      </c>
      <c r="B604" s="1">
        <v>2.8771999999999999E-2</v>
      </c>
      <c r="C604" s="1">
        <v>4.5992999999999997E-3</v>
      </c>
      <c r="D604" s="1">
        <v>1.8325999999999999E-2</v>
      </c>
      <c r="E604" s="1">
        <v>3.3256000000000001E-2</v>
      </c>
      <c r="F604" s="1">
        <v>1.9427999999999998E-6</v>
      </c>
      <c r="G604" s="1">
        <v>6.8601999999999999</v>
      </c>
      <c r="H604" s="1">
        <v>1.4441000000000001E-7</v>
      </c>
      <c r="I604" s="1">
        <f t="shared" si="81"/>
        <v>1.4441000000000001E-7</v>
      </c>
      <c r="J604" s="4">
        <f t="shared" si="82"/>
        <v>-1.2634717193643073E-8</v>
      </c>
      <c r="K604" s="4">
        <f t="shared" si="83"/>
        <v>-2.1667333271265622E-8</v>
      </c>
      <c r="L604" s="4">
        <f t="shared" si="84"/>
        <v>-8.9950235499283171E-9</v>
      </c>
      <c r="M604" s="4">
        <f t="shared" si="86"/>
        <v>-9.9290494336120391E-9</v>
      </c>
      <c r="N604" s="5">
        <f t="shared" si="87"/>
        <v>3.3528961904558342E-8</v>
      </c>
      <c r="O604" s="5">
        <f t="shared" si="88"/>
        <v>1.1120417293183133E-6</v>
      </c>
      <c r="P604" s="5">
        <f t="shared" si="89"/>
        <v>6.5442930877712811E-7</v>
      </c>
      <c r="Q604" s="1">
        <f t="shared" si="85"/>
        <v>1.7999999999999997E-6</v>
      </c>
    </row>
    <row r="605" spans="1:17" x14ac:dyDescent="0.25">
      <c r="A605" s="1">
        <v>30.15</v>
      </c>
      <c r="B605" s="1">
        <v>2.8716999999999999E-2</v>
      </c>
      <c r="C605" s="1">
        <v>4.5966999999999996E-3</v>
      </c>
      <c r="D605" s="1">
        <v>1.8355E-2</v>
      </c>
      <c r="E605" s="1">
        <v>3.3190999999999998E-2</v>
      </c>
      <c r="F605" s="1">
        <v>1.9433000000000001E-6</v>
      </c>
      <c r="G605" s="1">
        <v>6.8597999999999999</v>
      </c>
      <c r="H605" s="1">
        <v>1.4452E-7</v>
      </c>
      <c r="I605" s="1">
        <f t="shared" si="81"/>
        <v>1.4452E-7</v>
      </c>
      <c r="J605" s="4">
        <f t="shared" si="82"/>
        <v>-1.2655412253318102E-8</v>
      </c>
      <c r="K605" s="4">
        <f t="shared" si="83"/>
        <v>-2.1684813721705878E-8</v>
      </c>
      <c r="L605" s="4">
        <f t="shared" si="84"/>
        <v>-8.9901370088009027E-9</v>
      </c>
      <c r="M605" s="4">
        <f t="shared" si="86"/>
        <v>-9.9231443304524676E-9</v>
      </c>
      <c r="N605" s="5">
        <f t="shared" si="87"/>
        <v>3.3568226364145214E-8</v>
      </c>
      <c r="O605" s="5">
        <f t="shared" si="88"/>
        <v>1.1129354721803779E-6</v>
      </c>
      <c r="P605" s="5">
        <f t="shared" si="89"/>
        <v>6.5349630145547661E-7</v>
      </c>
      <c r="Q605" s="1">
        <f t="shared" si="85"/>
        <v>1.7999999999999997E-6</v>
      </c>
    </row>
    <row r="606" spans="1:17" x14ac:dyDescent="0.25">
      <c r="A606" s="1">
        <v>30.2</v>
      </c>
      <c r="B606" s="1">
        <v>2.8662E-2</v>
      </c>
      <c r="C606" s="1">
        <v>4.594E-3</v>
      </c>
      <c r="D606" s="1">
        <v>1.8384000000000001E-2</v>
      </c>
      <c r="E606" s="1">
        <v>3.3126999999999997E-2</v>
      </c>
      <c r="F606" s="1">
        <v>1.9439000000000001E-6</v>
      </c>
      <c r="G606" s="1">
        <v>6.8594999999999997</v>
      </c>
      <c r="H606" s="1">
        <v>1.4462999999999999E-7</v>
      </c>
      <c r="I606" s="1">
        <f t="shared" si="81"/>
        <v>1.4462999999999999E-7</v>
      </c>
      <c r="J606" s="4">
        <f t="shared" si="82"/>
        <v>-1.2676754987245033E-8</v>
      </c>
      <c r="K606" s="4">
        <f t="shared" si="83"/>
        <v>-2.1702241707517679E-8</v>
      </c>
      <c r="L606" s="4">
        <f t="shared" si="84"/>
        <v>-8.9853847853848991E-9</v>
      </c>
      <c r="M606" s="4">
        <f t="shared" si="86"/>
        <v>-9.9165449760664166E-9</v>
      </c>
      <c r="N606" s="5">
        <f t="shared" si="87"/>
        <v>3.3608328299032962E-8</v>
      </c>
      <c r="O606" s="5">
        <f t="shared" si="88"/>
        <v>1.1138265304361717E-6</v>
      </c>
      <c r="P606" s="5">
        <f t="shared" si="89"/>
        <v>6.5256514126479507E-7</v>
      </c>
      <c r="Q606" s="1">
        <f t="shared" si="85"/>
        <v>1.7999999999999997E-6</v>
      </c>
    </row>
    <row r="607" spans="1:17" x14ac:dyDescent="0.25">
      <c r="A607" s="1">
        <v>30.25</v>
      </c>
      <c r="B607" s="1">
        <v>2.8607E-2</v>
      </c>
      <c r="C607" s="1">
        <v>4.5913000000000004E-3</v>
      </c>
      <c r="D607" s="1">
        <v>1.8412999999999999E-2</v>
      </c>
      <c r="E607" s="1">
        <v>3.3063000000000002E-2</v>
      </c>
      <c r="F607" s="1">
        <v>1.9444E-6</v>
      </c>
      <c r="G607" s="1">
        <v>6.8590999999999998</v>
      </c>
      <c r="H607" s="1">
        <v>1.4474000000000001E-7</v>
      </c>
      <c r="I607" s="1">
        <f t="shared" si="81"/>
        <v>1.4474000000000001E-7</v>
      </c>
      <c r="J607" s="4">
        <f t="shared" si="82"/>
        <v>-1.2699737679273668E-8</v>
      </c>
      <c r="K607" s="4">
        <f t="shared" si="83"/>
        <v>-2.1719617343505658E-8</v>
      </c>
      <c r="L607" s="4">
        <f t="shared" si="84"/>
        <v>-8.9815446881032447E-9</v>
      </c>
      <c r="M607" s="4">
        <f t="shared" si="86"/>
        <v>-9.9099521200185074E-9</v>
      </c>
      <c r="N607" s="5">
        <f t="shared" si="87"/>
        <v>3.3646663275161709E-8</v>
      </c>
      <c r="O607" s="5">
        <f t="shared" si="88"/>
        <v>1.1147166028919583E-6</v>
      </c>
      <c r="P607" s="5">
        <f t="shared" si="89"/>
        <v>6.5163673383287975E-7</v>
      </c>
      <c r="Q607" s="1">
        <f t="shared" si="85"/>
        <v>1.7999999999999997E-6</v>
      </c>
    </row>
    <row r="608" spans="1:17" x14ac:dyDescent="0.25">
      <c r="A608" s="1">
        <v>30.3</v>
      </c>
      <c r="B608" s="1">
        <v>2.8552999999999999E-2</v>
      </c>
      <c r="C608" s="1">
        <v>4.5886E-3</v>
      </c>
      <c r="D608" s="1">
        <v>1.8440999999999999E-2</v>
      </c>
      <c r="E608" s="1">
        <v>3.2999000000000001E-2</v>
      </c>
      <c r="F608" s="1">
        <v>1.9448999999999998E-6</v>
      </c>
      <c r="G608" s="1">
        <v>6.8586999999999998</v>
      </c>
      <c r="H608" s="1">
        <v>1.4485E-7</v>
      </c>
      <c r="I608" s="1">
        <f t="shared" si="81"/>
        <v>1.4485E-7</v>
      </c>
      <c r="J608" s="4">
        <f t="shared" si="82"/>
        <v>-1.27207649137235E-8</v>
      </c>
      <c r="K608" s="4">
        <f t="shared" si="83"/>
        <v>-2.1736973756393496E-8</v>
      </c>
      <c r="L608" s="4">
        <f t="shared" si="84"/>
        <v>-8.9767259767595453E-9</v>
      </c>
      <c r="M608" s="4">
        <f t="shared" si="86"/>
        <v>-9.9033795897720967E-9</v>
      </c>
      <c r="N608" s="5">
        <f t="shared" si="87"/>
        <v>3.3686146141072161E-8</v>
      </c>
      <c r="O608" s="5">
        <f t="shared" si="88"/>
        <v>1.1156037736390603E-6</v>
      </c>
      <c r="P608" s="5">
        <f t="shared" si="89"/>
        <v>6.5071008021986721E-7</v>
      </c>
      <c r="Q608" s="1">
        <f t="shared" si="85"/>
        <v>1.7999999999999997E-6</v>
      </c>
    </row>
    <row r="609" spans="1:17" x14ac:dyDescent="0.25">
      <c r="A609" s="1">
        <v>30.35</v>
      </c>
      <c r="B609" s="1">
        <v>2.8497999999999999E-2</v>
      </c>
      <c r="C609" s="1">
        <v>4.5858000000000001E-3</v>
      </c>
      <c r="D609" s="1">
        <v>1.847E-2</v>
      </c>
      <c r="E609" s="1">
        <v>3.2934999999999999E-2</v>
      </c>
      <c r="F609" s="1">
        <v>1.9454E-6</v>
      </c>
      <c r="G609" s="1">
        <v>6.8583999999999996</v>
      </c>
      <c r="H609" s="1">
        <v>1.4496E-7</v>
      </c>
      <c r="I609" s="1">
        <f t="shared" si="81"/>
        <v>1.4496E-7</v>
      </c>
      <c r="J609" s="4">
        <f t="shared" si="82"/>
        <v>-1.2742242943134387E-8</v>
      </c>
      <c r="K609" s="4">
        <f t="shared" si="83"/>
        <v>-2.1754273585961986E-8</v>
      </c>
      <c r="L609" s="4">
        <f t="shared" si="84"/>
        <v>-8.9721697298269355E-9</v>
      </c>
      <c r="M609" s="4">
        <f t="shared" si="86"/>
        <v>-9.8968122875841553E-9</v>
      </c>
      <c r="N609" s="5">
        <f t="shared" si="87"/>
        <v>3.3726007054072829E-8</v>
      </c>
      <c r="O609" s="5">
        <f t="shared" si="88"/>
        <v>1.1164885552838169E-6</v>
      </c>
      <c r="P609" s="5">
        <f t="shared" si="89"/>
        <v>6.4978543766211E-7</v>
      </c>
      <c r="Q609" s="1">
        <f t="shared" si="85"/>
        <v>1.7999999999999997E-6</v>
      </c>
    </row>
    <row r="610" spans="1:17" x14ac:dyDescent="0.25">
      <c r="A610" s="1">
        <v>30.4</v>
      </c>
      <c r="B610" s="1">
        <v>2.8443E-2</v>
      </c>
      <c r="C610" s="1">
        <v>4.5830999999999997E-3</v>
      </c>
      <c r="D610" s="1">
        <v>1.8499000000000002E-2</v>
      </c>
      <c r="E610" s="1">
        <v>3.2870999999999997E-2</v>
      </c>
      <c r="F610" s="1">
        <v>1.9458000000000001E-6</v>
      </c>
      <c r="G610" s="1">
        <v>6.8579999999999997</v>
      </c>
      <c r="H610" s="1">
        <v>1.4506999999999999E-7</v>
      </c>
      <c r="I610" s="1">
        <f t="shared" si="81"/>
        <v>1.4506999999999999E-7</v>
      </c>
      <c r="J610" s="4">
        <f t="shared" si="82"/>
        <v>-1.276388108988639E-8</v>
      </c>
      <c r="K610" s="4">
        <f t="shared" si="83"/>
        <v>-2.1771526828033193E-8</v>
      </c>
      <c r="L610" s="4">
        <f t="shared" si="84"/>
        <v>-8.9676696737737443E-9</v>
      </c>
      <c r="M610" s="4">
        <f t="shared" si="86"/>
        <v>-9.8902541895668813E-9</v>
      </c>
      <c r="N610" s="5">
        <f t="shared" si="87"/>
        <v>3.3765983118445888E-8</v>
      </c>
      <c r="O610" s="5">
        <f t="shared" si="88"/>
        <v>1.1173711637352371E-6</v>
      </c>
      <c r="P610" s="5">
        <f t="shared" si="89"/>
        <v>6.4886285314631687E-7</v>
      </c>
      <c r="Q610" s="1">
        <f t="shared" si="85"/>
        <v>1.7999999999999997E-6</v>
      </c>
    </row>
    <row r="611" spans="1:17" x14ac:dyDescent="0.25">
      <c r="A611" s="1">
        <v>30.45</v>
      </c>
      <c r="B611" s="1">
        <v>2.8389000000000001E-2</v>
      </c>
      <c r="C611" s="1">
        <v>4.5802999999999998E-3</v>
      </c>
      <c r="D611" s="1">
        <v>1.8526999999999998E-2</v>
      </c>
      <c r="E611" s="1">
        <v>3.2807000000000003E-2</v>
      </c>
      <c r="F611" s="1">
        <v>1.9462999999999999E-6</v>
      </c>
      <c r="G611" s="1">
        <v>6.8575999999999997</v>
      </c>
      <c r="H611" s="1">
        <v>1.4518999999999999E-7</v>
      </c>
      <c r="I611" s="1">
        <f t="shared" si="81"/>
        <v>1.4518999999999999E-7</v>
      </c>
      <c r="J611" s="4">
        <f t="shared" si="82"/>
        <v>-1.2784265963635437E-8</v>
      </c>
      <c r="K611" s="4">
        <f t="shared" si="83"/>
        <v>-2.1788737692837431E-8</v>
      </c>
      <c r="L611" s="4">
        <f t="shared" si="84"/>
        <v>-8.9626948655372661E-9</v>
      </c>
      <c r="M611" s="4">
        <f t="shared" si="86"/>
        <v>-9.883706081123439E-9</v>
      </c>
      <c r="N611" s="5">
        <f t="shared" si="87"/>
        <v>3.3807759982110621E-8</v>
      </c>
      <c r="O611" s="5">
        <f t="shared" si="88"/>
        <v>1.1182503980871584E-6</v>
      </c>
      <c r="P611" s="5">
        <f t="shared" si="89"/>
        <v>6.4794184193073073E-7</v>
      </c>
      <c r="Q611" s="1">
        <f t="shared" si="85"/>
        <v>1.7999999999999997E-6</v>
      </c>
    </row>
    <row r="612" spans="1:17" x14ac:dyDescent="0.25">
      <c r="A612" s="1">
        <v>30.5</v>
      </c>
      <c r="B612" s="1">
        <v>2.8334999999999999E-2</v>
      </c>
      <c r="C612" s="1">
        <v>4.5773999999999997E-3</v>
      </c>
      <c r="D612" s="1">
        <v>1.8556E-2</v>
      </c>
      <c r="E612" s="1">
        <v>3.2743000000000001E-2</v>
      </c>
      <c r="F612" s="1">
        <v>1.9466999999999999E-6</v>
      </c>
      <c r="G612" s="1">
        <v>6.8573000000000004</v>
      </c>
      <c r="H612" s="1">
        <v>1.4530000000000001E-7</v>
      </c>
      <c r="I612" s="1">
        <f t="shared" si="81"/>
        <v>1.4530000000000001E-7</v>
      </c>
      <c r="J612" s="4">
        <f t="shared" si="82"/>
        <v>-1.2806662418366973E-8</v>
      </c>
      <c r="K612" s="4">
        <f t="shared" si="83"/>
        <v>-2.1805882762699901E-8</v>
      </c>
      <c r="L612" s="4">
        <f t="shared" si="84"/>
        <v>-8.9586133788797515E-9</v>
      </c>
      <c r="M612" s="4">
        <f t="shared" si="86"/>
        <v>-9.8778409831420324E-9</v>
      </c>
      <c r="N612" s="5">
        <f t="shared" si="87"/>
        <v>3.3848366947563798E-8</v>
      </c>
      <c r="O612" s="5">
        <f t="shared" si="88"/>
        <v>1.1191290187259676E-6</v>
      </c>
      <c r="P612" s="5">
        <f t="shared" si="89"/>
        <v>6.4702261432646851E-7</v>
      </c>
      <c r="Q612" s="1">
        <f t="shared" si="85"/>
        <v>1.7999999999999999E-6</v>
      </c>
    </row>
    <row r="613" spans="1:17" x14ac:dyDescent="0.25">
      <c r="A613" s="1">
        <v>30.55</v>
      </c>
      <c r="B613" s="1">
        <v>2.828E-2</v>
      </c>
      <c r="C613" s="1">
        <v>4.5745999999999998E-3</v>
      </c>
      <c r="D613" s="1">
        <v>1.8584E-2</v>
      </c>
      <c r="E613" s="1">
        <v>3.2680000000000001E-2</v>
      </c>
      <c r="F613" s="1">
        <v>1.9472000000000002E-6</v>
      </c>
      <c r="G613" s="1">
        <v>6.8569000000000004</v>
      </c>
      <c r="H613" s="1">
        <v>1.4541E-7</v>
      </c>
      <c r="I613" s="1">
        <f t="shared" si="81"/>
        <v>1.4541E-7</v>
      </c>
      <c r="J613" s="4">
        <f t="shared" si="82"/>
        <v>-1.2827315544421406E-8</v>
      </c>
      <c r="K613" s="4">
        <f t="shared" si="83"/>
        <v>-2.1823015865156681E-8</v>
      </c>
      <c r="L613" s="4">
        <f t="shared" si="84"/>
        <v>-8.9537159830205437E-9</v>
      </c>
      <c r="M613" s="4">
        <f t="shared" si="86"/>
        <v>-9.8713005154719081E-9</v>
      </c>
      <c r="N613" s="5">
        <f t="shared" si="87"/>
        <v>3.3890351285278536E-8</v>
      </c>
      <c r="O613" s="5">
        <f t="shared" si="88"/>
        <v>1.1200046189207042E-6</v>
      </c>
      <c r="P613" s="5">
        <f t="shared" si="89"/>
        <v>6.4610502979401713E-7</v>
      </c>
      <c r="Q613" s="1">
        <f t="shared" si="85"/>
        <v>1.7999999999999999E-6</v>
      </c>
    </row>
    <row r="614" spans="1:17" x14ac:dyDescent="0.25">
      <c r="A614" s="1">
        <v>30.6</v>
      </c>
      <c r="B614" s="1">
        <v>2.8226000000000001E-2</v>
      </c>
      <c r="C614" s="1">
        <v>4.5716999999999997E-3</v>
      </c>
      <c r="D614" s="1">
        <v>1.8613000000000001E-2</v>
      </c>
      <c r="E614" s="1">
        <v>3.2615999999999999E-2</v>
      </c>
      <c r="F614" s="1">
        <v>1.9476000000000002E-6</v>
      </c>
      <c r="G614" s="1">
        <v>6.8564999999999996</v>
      </c>
      <c r="H614" s="1">
        <v>1.4552E-7</v>
      </c>
      <c r="I614" s="1">
        <f t="shared" si="81"/>
        <v>1.4552E-7</v>
      </c>
      <c r="J614" s="4">
        <f t="shared" si="82"/>
        <v>-1.2849824382659232E-8</v>
      </c>
      <c r="K614" s="4">
        <f t="shared" si="83"/>
        <v>-2.1840090068954042E-8</v>
      </c>
      <c r="L614" s="4">
        <f t="shared" si="84"/>
        <v>-8.9498710067019837E-9</v>
      </c>
      <c r="M614" s="4">
        <f t="shared" si="86"/>
        <v>-9.8647639001466841E-9</v>
      </c>
      <c r="N614" s="5">
        <f t="shared" si="87"/>
        <v>3.3930745964871366E-8</v>
      </c>
      <c r="O614" s="5">
        <f t="shared" si="88"/>
        <v>1.1208791171345559E-6</v>
      </c>
      <c r="P614" s="5">
        <f t="shared" si="89"/>
        <v>6.4519013690057251E-7</v>
      </c>
      <c r="Q614" s="1">
        <f t="shared" si="85"/>
        <v>1.7999999999999997E-6</v>
      </c>
    </row>
    <row r="615" spans="1:17" x14ac:dyDescent="0.25">
      <c r="A615" s="1">
        <v>30.65</v>
      </c>
      <c r="B615" s="1">
        <v>2.8171999999999999E-2</v>
      </c>
      <c r="C615" s="1">
        <v>4.5687999999999996E-3</v>
      </c>
      <c r="D615" s="1">
        <v>1.8641999999999999E-2</v>
      </c>
      <c r="E615" s="1">
        <v>3.2551999999999998E-2</v>
      </c>
      <c r="F615" s="1">
        <v>1.9479999999999998E-6</v>
      </c>
      <c r="G615" s="1">
        <v>6.8562000000000003</v>
      </c>
      <c r="H615" s="1">
        <v>1.4562999999999999E-7</v>
      </c>
      <c r="I615" s="1">
        <f t="shared" si="81"/>
        <v>1.4562999999999999E-7</v>
      </c>
      <c r="J615" s="4">
        <f t="shared" si="82"/>
        <v>-1.2870426519028164E-8</v>
      </c>
      <c r="K615" s="4">
        <f t="shared" si="83"/>
        <v>-2.18571427841226E-8</v>
      </c>
      <c r="L615" s="4">
        <f t="shared" si="84"/>
        <v>-8.9448274803870576E-9</v>
      </c>
      <c r="M615" s="4">
        <f t="shared" si="86"/>
        <v>-9.8582472157854258E-9</v>
      </c>
      <c r="N615" s="5">
        <f t="shared" si="87"/>
        <v>3.3972634749578741E-8</v>
      </c>
      <c r="O615" s="5">
        <f t="shared" si="88"/>
        <v>1.1217506480852468E-6</v>
      </c>
      <c r="P615" s="5">
        <f t="shared" si="89"/>
        <v>6.4427671716517412E-7</v>
      </c>
      <c r="Q615" s="1">
        <f t="shared" si="85"/>
        <v>1.7999999999999997E-6</v>
      </c>
    </row>
    <row r="616" spans="1:17" x14ac:dyDescent="0.25">
      <c r="A616" s="1">
        <v>30.7</v>
      </c>
      <c r="B616" s="1">
        <v>2.8118000000000001E-2</v>
      </c>
      <c r="C616" s="1">
        <v>4.5659000000000003E-3</v>
      </c>
      <c r="D616" s="1">
        <v>1.8669999999999999E-2</v>
      </c>
      <c r="E616" s="1">
        <v>3.2488999999999997E-2</v>
      </c>
      <c r="F616" s="1">
        <v>1.9483999999999998E-6</v>
      </c>
      <c r="G616" s="1">
        <v>6.8558000000000003</v>
      </c>
      <c r="H616" s="1">
        <v>1.4574000000000001E-7</v>
      </c>
      <c r="I616" s="1">
        <f t="shared" si="81"/>
        <v>1.4574000000000001E-7</v>
      </c>
      <c r="J616" s="4">
        <f t="shared" si="82"/>
        <v>-1.2891609297476727E-8</v>
      </c>
      <c r="K616" s="4">
        <f t="shared" si="83"/>
        <v>-2.1874137637662624E-8</v>
      </c>
      <c r="L616" s="4">
        <f t="shared" si="84"/>
        <v>-8.9401325117226334E-9</v>
      </c>
      <c r="M616" s="4">
        <f t="shared" si="86"/>
        <v>-9.851731923680391E-9</v>
      </c>
      <c r="N616" s="5">
        <f t="shared" si="87"/>
        <v>3.4015030578042005E-8</v>
      </c>
      <c r="O616" s="5">
        <f t="shared" si="88"/>
        <v>1.1226198516687414E-6</v>
      </c>
      <c r="P616" s="5">
        <f t="shared" si="89"/>
        <v>6.4336511775321636E-7</v>
      </c>
      <c r="Q616" s="1">
        <f t="shared" si="85"/>
        <v>1.7999999999999997E-6</v>
      </c>
    </row>
    <row r="617" spans="1:17" x14ac:dyDescent="0.25">
      <c r="A617" s="1">
        <v>30.75</v>
      </c>
      <c r="B617" s="1">
        <v>2.8063999999999999E-2</v>
      </c>
      <c r="C617" s="1">
        <v>4.5628999999999999E-3</v>
      </c>
      <c r="D617" s="1">
        <v>1.8697999999999999E-2</v>
      </c>
      <c r="E617" s="1">
        <v>3.2426000000000003E-2</v>
      </c>
      <c r="F617" s="1">
        <v>1.9487000000000001E-6</v>
      </c>
      <c r="G617" s="1">
        <v>6.8554000000000004</v>
      </c>
      <c r="H617" s="1">
        <v>1.4585E-7</v>
      </c>
      <c r="I617" s="1">
        <f t="shared" si="81"/>
        <v>1.4585E-7</v>
      </c>
      <c r="J617" s="4">
        <f t="shared" si="82"/>
        <v>-1.2912998706067784E-8</v>
      </c>
      <c r="K617" s="4">
        <f t="shared" si="83"/>
        <v>-2.1891087107540767E-8</v>
      </c>
      <c r="L617" s="4">
        <f t="shared" si="84"/>
        <v>-8.9357997438408971E-9</v>
      </c>
      <c r="M617" s="4">
        <f t="shared" si="86"/>
        <v>-9.8452233874422832E-9</v>
      </c>
      <c r="N617" s="5">
        <f t="shared" si="87"/>
        <v>3.4057319235674091E-8</v>
      </c>
      <c r="O617" s="5">
        <f t="shared" si="88"/>
        <v>1.1234869866547109E-6</v>
      </c>
      <c r="P617" s="5">
        <f t="shared" si="89"/>
        <v>6.4245569410961495E-7</v>
      </c>
      <c r="Q617" s="1">
        <f t="shared" si="85"/>
        <v>1.7999999999999999E-6</v>
      </c>
    </row>
    <row r="618" spans="1:17" x14ac:dyDescent="0.25">
      <c r="A618" s="1">
        <v>30.8</v>
      </c>
      <c r="B618" s="1">
        <v>2.801E-2</v>
      </c>
      <c r="C618" s="1">
        <v>4.5599999999999998E-3</v>
      </c>
      <c r="D618" s="1">
        <v>1.8727000000000001E-2</v>
      </c>
      <c r="E618" s="1">
        <v>3.2362000000000002E-2</v>
      </c>
      <c r="F618" s="1">
        <v>1.9491000000000001E-6</v>
      </c>
      <c r="G618" s="1">
        <v>6.8551000000000002</v>
      </c>
      <c r="H618" s="1">
        <v>1.4595999999999999E-7</v>
      </c>
      <c r="I618" s="1">
        <f t="shared" si="81"/>
        <v>1.4595999999999999E-7</v>
      </c>
      <c r="J618" s="4">
        <f t="shared" si="82"/>
        <v>-1.293303433419972E-8</v>
      </c>
      <c r="K618" s="4">
        <f t="shared" si="83"/>
        <v>-2.1907996239767173E-8</v>
      </c>
      <c r="L618" s="4">
        <f t="shared" si="84"/>
        <v>-8.9309348333820215E-9</v>
      </c>
      <c r="M618" s="4">
        <f t="shared" si="86"/>
        <v>-9.8387271135183103E-9</v>
      </c>
      <c r="N618" s="5">
        <f t="shared" si="87"/>
        <v>3.4101346307859524E-8</v>
      </c>
      <c r="O618" s="5">
        <f t="shared" si="88"/>
        <v>1.1243507518626617E-6</v>
      </c>
      <c r="P618" s="5">
        <f t="shared" si="89"/>
        <v>6.4154790182947875E-7</v>
      </c>
      <c r="Q618" s="1">
        <f t="shared" si="85"/>
        <v>1.7999999999999999E-6</v>
      </c>
    </row>
    <row r="619" spans="1:17" x14ac:dyDescent="0.25">
      <c r="A619" s="1">
        <v>30.85</v>
      </c>
      <c r="B619" s="1">
        <v>2.7956000000000002E-2</v>
      </c>
      <c r="C619" s="1">
        <v>4.5570000000000003E-3</v>
      </c>
      <c r="D619" s="1">
        <v>1.8755000000000001E-2</v>
      </c>
      <c r="E619" s="1">
        <v>3.2299000000000001E-2</v>
      </c>
      <c r="F619" s="1">
        <v>1.9493999999999999E-6</v>
      </c>
      <c r="G619" s="1">
        <v>6.8547000000000002</v>
      </c>
      <c r="H619" s="1">
        <v>1.4607000000000001E-7</v>
      </c>
      <c r="I619" s="1">
        <f t="shared" si="81"/>
        <v>1.4607000000000001E-7</v>
      </c>
      <c r="J619" s="4">
        <f t="shared" si="82"/>
        <v>-1.2955070123218761E-8</v>
      </c>
      <c r="K619" s="4">
        <f t="shared" si="83"/>
        <v>-2.1924839661322215E-8</v>
      </c>
      <c r="L619" s="4">
        <f t="shared" si="84"/>
        <v>-8.9266621220540919E-9</v>
      </c>
      <c r="M619" s="4">
        <f t="shared" si="86"/>
        <v>-9.8322348338583656E-9</v>
      </c>
      <c r="N619" s="5">
        <f t="shared" si="87"/>
        <v>3.4144453723908893E-8</v>
      </c>
      <c r="O619" s="5">
        <f t="shared" si="88"/>
        <v>1.1252132171584166E-6</v>
      </c>
      <c r="P619" s="5">
        <f t="shared" si="89"/>
        <v>6.4064232911767456E-7</v>
      </c>
      <c r="Q619" s="1">
        <f t="shared" si="85"/>
        <v>1.8000000000000001E-6</v>
      </c>
    </row>
    <row r="620" spans="1:17" x14ac:dyDescent="0.25">
      <c r="A620" s="1">
        <v>30.9</v>
      </c>
      <c r="B620" s="1">
        <v>2.7903000000000001E-2</v>
      </c>
      <c r="C620" s="1">
        <v>4.5539999999999999E-3</v>
      </c>
      <c r="D620" s="1">
        <v>1.8783999999999999E-2</v>
      </c>
      <c r="E620" s="1">
        <v>3.2236000000000001E-2</v>
      </c>
      <c r="F620" s="1">
        <v>1.9497000000000002E-6</v>
      </c>
      <c r="G620" s="1">
        <v>6.8544</v>
      </c>
      <c r="H620" s="1">
        <v>1.4618E-7</v>
      </c>
      <c r="I620" s="1">
        <f t="shared" si="81"/>
        <v>1.4618E-7</v>
      </c>
      <c r="J620" s="4">
        <f t="shared" si="82"/>
        <v>-1.2975439955544554E-8</v>
      </c>
      <c r="K620" s="4">
        <f t="shared" si="83"/>
        <v>-2.1941657734587876E-8</v>
      </c>
      <c r="L620" s="4">
        <f t="shared" si="84"/>
        <v>-8.9219195689194359E-9</v>
      </c>
      <c r="M620" s="4">
        <f t="shared" si="86"/>
        <v>-9.8257556264924076E-9</v>
      </c>
      <c r="N620" s="5">
        <f t="shared" si="87"/>
        <v>3.4188751934032779E-8</v>
      </c>
      <c r="O620" s="5">
        <f t="shared" si="88"/>
        <v>1.1260727550058658E-6</v>
      </c>
      <c r="P620" s="5">
        <f t="shared" si="89"/>
        <v>6.3973849306010162E-7</v>
      </c>
      <c r="Q620" s="1">
        <f t="shared" si="85"/>
        <v>1.8000000000000001E-6</v>
      </c>
    </row>
    <row r="621" spans="1:17" x14ac:dyDescent="0.25">
      <c r="A621" s="1">
        <v>30.95</v>
      </c>
      <c r="B621" s="1">
        <v>2.7848999999999999E-2</v>
      </c>
      <c r="C621" s="1">
        <v>4.5509000000000001E-3</v>
      </c>
      <c r="D621" s="1">
        <v>1.8811999999999999E-2</v>
      </c>
      <c r="E621" s="1">
        <v>3.2173E-2</v>
      </c>
      <c r="F621" s="1">
        <v>1.9501000000000002E-6</v>
      </c>
      <c r="G621" s="1">
        <v>6.8540000000000001</v>
      </c>
      <c r="H621" s="1">
        <v>1.4629E-7</v>
      </c>
      <c r="I621" s="1">
        <f t="shared" si="81"/>
        <v>1.4629E-7</v>
      </c>
      <c r="J621" s="4">
        <f t="shared" si="82"/>
        <v>-1.2996273146638639E-8</v>
      </c>
      <c r="K621" s="4">
        <f t="shared" si="83"/>
        <v>-2.1958418722614694E-8</v>
      </c>
      <c r="L621" s="4">
        <f t="shared" si="84"/>
        <v>-8.9174417797272854E-9</v>
      </c>
      <c r="M621" s="4">
        <f t="shared" si="86"/>
        <v>-9.819282156130333E-9</v>
      </c>
      <c r="N621" s="5">
        <f t="shared" si="87"/>
        <v>3.4233455730281548E-8</v>
      </c>
      <c r="O621" s="5">
        <f t="shared" si="88"/>
        <v>1.12692989158602E-6</v>
      </c>
      <c r="P621" s="5">
        <f t="shared" si="89"/>
        <v>6.3883665268369853E-7</v>
      </c>
      <c r="Q621" s="1">
        <f t="shared" si="85"/>
        <v>1.8000000000000001E-6</v>
      </c>
    </row>
    <row r="622" spans="1:17" x14ac:dyDescent="0.25">
      <c r="A622" s="1">
        <v>31</v>
      </c>
      <c r="B622" s="1">
        <v>2.7795E-2</v>
      </c>
      <c r="C622" s="1">
        <v>4.5478999999999997E-3</v>
      </c>
      <c r="D622" s="1">
        <v>1.8839999999999999E-2</v>
      </c>
      <c r="E622" s="1">
        <v>3.211E-2</v>
      </c>
      <c r="F622" s="1">
        <v>1.9504E-6</v>
      </c>
      <c r="G622" s="1">
        <v>6.8536000000000001</v>
      </c>
      <c r="H622" s="1">
        <v>1.4639999999999999E-7</v>
      </c>
      <c r="I622" s="1">
        <f t="shared" si="81"/>
        <v>1.4639999999999999E-7</v>
      </c>
      <c r="J622" s="4">
        <f t="shared" si="82"/>
        <v>-1.3018606680446681E-8</v>
      </c>
      <c r="K622" s="4">
        <f t="shared" si="83"/>
        <v>-2.1975132885927703E-8</v>
      </c>
      <c r="L622" s="4">
        <f t="shared" si="84"/>
        <v>-8.9134796976029224E-9</v>
      </c>
      <c r="M622" s="4">
        <f t="shared" si="86"/>
        <v>-9.8128184617154557E-9</v>
      </c>
      <c r="N622" s="5">
        <f t="shared" si="87"/>
        <v>3.4276502238159655E-8</v>
      </c>
      <c r="O622" s="5">
        <f t="shared" si="88"/>
        <v>1.1277861838422546E-6</v>
      </c>
      <c r="P622" s="5">
        <f t="shared" si="89"/>
        <v>6.3793731391958598E-7</v>
      </c>
      <c r="Q622" s="1">
        <f t="shared" si="85"/>
        <v>1.8000000000000003E-6</v>
      </c>
    </row>
    <row r="623" spans="1:17" x14ac:dyDescent="0.25">
      <c r="A623" s="1">
        <v>31.05</v>
      </c>
      <c r="B623" s="1">
        <v>2.7741999999999999E-2</v>
      </c>
      <c r="C623" s="1">
        <v>4.5447999999999999E-3</v>
      </c>
      <c r="D623" s="1">
        <v>1.8869E-2</v>
      </c>
      <c r="E623" s="1">
        <v>3.2046999999999999E-2</v>
      </c>
      <c r="F623" s="1">
        <v>1.9506E-6</v>
      </c>
      <c r="G623" s="1">
        <v>6.8532999999999999</v>
      </c>
      <c r="H623" s="1">
        <v>1.4651000000000001E-7</v>
      </c>
      <c r="I623" s="1">
        <f t="shared" si="81"/>
        <v>1.4651000000000001E-7</v>
      </c>
      <c r="J623" s="4">
        <f t="shared" si="82"/>
        <v>-1.3038987658833585E-8</v>
      </c>
      <c r="K623" s="4">
        <f t="shared" si="83"/>
        <v>-2.1991830584924278E-8</v>
      </c>
      <c r="L623" s="4">
        <f t="shared" si="84"/>
        <v>-8.9085821316620052E-9</v>
      </c>
      <c r="M623" s="4">
        <f t="shared" si="86"/>
        <v>-9.8063723895720135E-9</v>
      </c>
      <c r="N623" s="5">
        <f t="shared" si="87"/>
        <v>3.4320763032588343E-8</v>
      </c>
      <c r="O623" s="5">
        <f t="shared" si="88"/>
        <v>1.128639713305736E-6</v>
      </c>
      <c r="P623" s="5">
        <f t="shared" si="89"/>
        <v>6.37039523661676E-7</v>
      </c>
      <c r="Q623" s="1">
        <f t="shared" si="85"/>
        <v>1.8000000000000003E-6</v>
      </c>
    </row>
    <row r="624" spans="1:17" x14ac:dyDescent="0.25">
      <c r="A624" s="1">
        <v>31.1</v>
      </c>
      <c r="B624" s="1">
        <v>2.7688000000000001E-2</v>
      </c>
      <c r="C624" s="1">
        <v>4.5417000000000001E-3</v>
      </c>
      <c r="D624" s="1">
        <v>1.8897000000000001E-2</v>
      </c>
      <c r="E624" s="1">
        <v>3.1983999999999999E-2</v>
      </c>
      <c r="F624" s="1">
        <v>1.9508999999999998E-6</v>
      </c>
      <c r="G624" s="1">
        <v>6.8529</v>
      </c>
      <c r="H624" s="1">
        <v>1.4662E-7</v>
      </c>
      <c r="I624" s="1">
        <f t="shared" si="81"/>
        <v>1.4662E-7</v>
      </c>
      <c r="J624" s="4">
        <f t="shared" si="82"/>
        <v>-1.3058502437238998E-8</v>
      </c>
      <c r="K624" s="4">
        <f t="shared" si="83"/>
        <v>-2.2008474409462165E-8</v>
      </c>
      <c r="L624" s="4">
        <f t="shared" si="84"/>
        <v>-8.9034973062940753E-9</v>
      </c>
      <c r="M624" s="4">
        <f t="shared" si="86"/>
        <v>-9.7999293642257164E-9</v>
      </c>
      <c r="N624" s="5">
        <f t="shared" si="87"/>
        <v>3.4367237698517438E-8</v>
      </c>
      <c r="O624" s="5">
        <f t="shared" si="88"/>
        <v>1.1294896706977387E-6</v>
      </c>
      <c r="P624" s="5">
        <f t="shared" si="89"/>
        <v>6.3614309160374441E-7</v>
      </c>
      <c r="Q624" s="1">
        <f t="shared" si="85"/>
        <v>1.8000000000000006E-6</v>
      </c>
    </row>
    <row r="625" spans="1:17" x14ac:dyDescent="0.25">
      <c r="A625" s="1">
        <v>31.15</v>
      </c>
      <c r="B625" s="1">
        <v>2.7635E-2</v>
      </c>
      <c r="C625" s="1">
        <v>4.5385E-3</v>
      </c>
      <c r="D625" s="1">
        <v>1.8925000000000001E-2</v>
      </c>
      <c r="E625" s="1">
        <v>3.1920999999999998E-2</v>
      </c>
      <c r="F625" s="1">
        <v>1.9512000000000001E-6</v>
      </c>
      <c r="G625" s="1">
        <v>6.8525999999999998</v>
      </c>
      <c r="H625" s="1">
        <v>1.4672999999999999E-7</v>
      </c>
      <c r="I625" s="1">
        <f t="shared" si="81"/>
        <v>1.4672999999999999E-7</v>
      </c>
      <c r="J625" s="4">
        <f t="shared" si="82"/>
        <v>-1.3080207819038942E-8</v>
      </c>
      <c r="K625" s="4">
        <f t="shared" si="83"/>
        <v>-2.2025048578604655E-8</v>
      </c>
      <c r="L625" s="4">
        <f t="shared" si="84"/>
        <v>-8.8993955229339658E-9</v>
      </c>
      <c r="M625" s="4">
        <f t="shared" si="86"/>
        <v>-9.7934865095482484E-9</v>
      </c>
      <c r="N625" s="5">
        <f t="shared" si="87"/>
        <v>3.4412682935149186E-8</v>
      </c>
      <c r="O625" s="5">
        <f t="shared" si="88"/>
        <v>1.1303383164477214E-6</v>
      </c>
      <c r="P625" s="5">
        <f t="shared" si="89"/>
        <v>6.3524900061713015E-7</v>
      </c>
      <c r="Q625" s="1">
        <f t="shared" si="85"/>
        <v>1.8000000000000008E-6</v>
      </c>
    </row>
    <row r="626" spans="1:17" x14ac:dyDescent="0.25">
      <c r="A626" s="1">
        <v>31.2</v>
      </c>
      <c r="B626" s="1">
        <v>2.7581999999999999E-2</v>
      </c>
      <c r="C626" s="1">
        <v>4.5354000000000002E-3</v>
      </c>
      <c r="D626" s="1">
        <v>1.8953000000000001E-2</v>
      </c>
      <c r="E626" s="1">
        <v>3.1857999999999997E-2</v>
      </c>
      <c r="F626" s="1">
        <v>1.9514000000000001E-6</v>
      </c>
      <c r="G626" s="1">
        <v>6.8521999999999998</v>
      </c>
      <c r="H626" s="1">
        <v>1.4684000000000001E-7</v>
      </c>
      <c r="I626" s="1">
        <f t="shared" si="81"/>
        <v>1.4684000000000001E-7</v>
      </c>
      <c r="J626" s="4">
        <f t="shared" si="82"/>
        <v>-1.3101532777130658E-8</v>
      </c>
      <c r="K626" s="4">
        <f t="shared" si="83"/>
        <v>-2.2041597170730883E-8</v>
      </c>
      <c r="L626" s="4">
        <f t="shared" si="84"/>
        <v>-8.89497855310562E-9</v>
      </c>
      <c r="M626" s="4">
        <f t="shared" si="86"/>
        <v>-9.7870590153580465E-9</v>
      </c>
      <c r="N626" s="5">
        <f t="shared" si="87"/>
        <v>3.4457768775643788E-8</v>
      </c>
      <c r="O626" s="5">
        <f t="shared" si="88"/>
        <v>1.1311853110694792E-6</v>
      </c>
      <c r="P626" s="5">
        <f t="shared" si="89"/>
        <v>6.3435692015487777E-7</v>
      </c>
      <c r="Q626" s="1">
        <f t="shared" si="85"/>
        <v>1.8000000000000006E-6</v>
      </c>
    </row>
    <row r="627" spans="1:17" x14ac:dyDescent="0.25">
      <c r="A627" s="1">
        <v>31.25</v>
      </c>
      <c r="B627" s="1">
        <v>2.7529000000000001E-2</v>
      </c>
      <c r="C627" s="1">
        <v>4.5322000000000001E-3</v>
      </c>
      <c r="D627" s="1">
        <v>1.8981999999999999E-2</v>
      </c>
      <c r="E627" s="1">
        <v>3.1795999999999998E-2</v>
      </c>
      <c r="F627" s="1">
        <v>1.9516000000000001E-6</v>
      </c>
      <c r="G627" s="1">
        <v>6.8518999999999997</v>
      </c>
      <c r="H627" s="1">
        <v>1.4695E-7</v>
      </c>
      <c r="I627" s="1">
        <f t="shared" si="81"/>
        <v>1.4695E-7</v>
      </c>
      <c r="J627" s="4">
        <f t="shared" si="82"/>
        <v>-1.3121387272412918E-8</v>
      </c>
      <c r="K627" s="4">
        <f t="shared" si="83"/>
        <v>-2.2058113565855157E-8</v>
      </c>
      <c r="L627" s="4">
        <f t="shared" si="84"/>
        <v>-8.8899651340412162E-9</v>
      </c>
      <c r="M627" s="4">
        <f t="shared" si="86"/>
        <v>-9.7806418663320749E-9</v>
      </c>
      <c r="N627" s="5">
        <f t="shared" si="87"/>
        <v>3.4504529935044808E-8</v>
      </c>
      <c r="O627" s="5">
        <f t="shared" si="88"/>
        <v>1.1320292266423689E-6</v>
      </c>
      <c r="P627" s="5">
        <f t="shared" si="89"/>
        <v>6.3346624342258696E-7</v>
      </c>
      <c r="Q627" s="1">
        <f t="shared" si="85"/>
        <v>1.8000000000000006E-6</v>
      </c>
    </row>
    <row r="628" spans="1:17" x14ac:dyDescent="0.25">
      <c r="A628" s="1">
        <v>31.3</v>
      </c>
      <c r="B628" s="1">
        <v>2.7476E-2</v>
      </c>
      <c r="C628" s="1">
        <v>4.529E-3</v>
      </c>
      <c r="D628" s="1">
        <v>1.9009999999999999E-2</v>
      </c>
      <c r="E628" s="1">
        <v>3.1732999999999997E-2</v>
      </c>
      <c r="F628" s="1">
        <v>1.9518000000000001E-6</v>
      </c>
      <c r="G628" s="1">
        <v>6.8514999999999997</v>
      </c>
      <c r="H628" s="1">
        <v>1.4705000000000001E-7</v>
      </c>
      <c r="I628" s="1">
        <f t="shared" si="81"/>
        <v>1.4705000000000001E-7</v>
      </c>
      <c r="J628" s="4">
        <f t="shared" si="82"/>
        <v>-1.3141887167640105E-8</v>
      </c>
      <c r="K628" s="4">
        <f t="shared" si="83"/>
        <v>-2.2074569919526506E-8</v>
      </c>
      <c r="L628" s="4">
        <f t="shared" si="84"/>
        <v>-8.8856153627099907E-9</v>
      </c>
      <c r="M628" s="4">
        <f t="shared" si="86"/>
        <v>-9.7742257694498009E-9</v>
      </c>
      <c r="N628" s="5">
        <f t="shared" si="87"/>
        <v>3.4551597324221221E-8</v>
      </c>
      <c r="O628" s="5">
        <f t="shared" si="88"/>
        <v>1.1328707696599324E-6</v>
      </c>
      <c r="P628" s="5">
        <f t="shared" si="89"/>
        <v>6.325776330158472E-7</v>
      </c>
      <c r="Q628" s="1">
        <f t="shared" si="85"/>
        <v>1.800000000000001E-6</v>
      </c>
    </row>
    <row r="629" spans="1:17" x14ac:dyDescent="0.25">
      <c r="A629" s="1">
        <v>31.35</v>
      </c>
      <c r="B629" s="1">
        <v>2.7422999999999999E-2</v>
      </c>
      <c r="C629" s="1">
        <v>4.5256999999999997E-3</v>
      </c>
      <c r="D629" s="1">
        <v>1.9037999999999999E-2</v>
      </c>
      <c r="E629" s="1">
        <v>3.1670999999999998E-2</v>
      </c>
      <c r="F629" s="1">
        <v>1.9520000000000001E-6</v>
      </c>
      <c r="G629" s="1">
        <v>6.8512000000000004</v>
      </c>
      <c r="H629" s="1">
        <v>1.4716E-7</v>
      </c>
      <c r="I629" s="1">
        <f t="shared" si="81"/>
        <v>1.4716E-7</v>
      </c>
      <c r="J629" s="4">
        <f t="shared" si="82"/>
        <v>-1.3162511298574445E-8</v>
      </c>
      <c r="K629" s="4">
        <f t="shared" si="83"/>
        <v>-2.2090980008368996E-8</v>
      </c>
      <c r="L629" s="4">
        <f t="shared" si="84"/>
        <v>-8.8810163941300357E-9</v>
      </c>
      <c r="M629" s="4">
        <f t="shared" si="86"/>
        <v>-9.7671567981730751E-9</v>
      </c>
      <c r="N629" s="5">
        <f t="shared" si="87"/>
        <v>3.4599049639885743E-8</v>
      </c>
      <c r="O629" s="5">
        <f t="shared" si="88"/>
        <v>1.133709457748311E-6</v>
      </c>
      <c r="P629" s="5">
        <f t="shared" si="89"/>
        <v>6.3169149261180414E-7</v>
      </c>
      <c r="Q629" s="1">
        <f t="shared" si="85"/>
        <v>1.800000000000001E-6</v>
      </c>
    </row>
    <row r="630" spans="1:17" x14ac:dyDescent="0.25">
      <c r="A630" s="1">
        <v>31.4</v>
      </c>
      <c r="B630" s="1">
        <v>2.7369999999999998E-2</v>
      </c>
      <c r="C630" s="1">
        <v>4.5224999999999996E-3</v>
      </c>
      <c r="D630" s="1">
        <v>1.9066E-2</v>
      </c>
      <c r="E630" s="1">
        <v>3.1607999999999997E-2</v>
      </c>
      <c r="F630" s="1">
        <v>1.9522000000000001E-6</v>
      </c>
      <c r="G630" s="1">
        <v>6.8507999999999996</v>
      </c>
      <c r="H630" s="1">
        <v>1.4726999999999999E-7</v>
      </c>
      <c r="I630" s="1">
        <f t="shared" si="81"/>
        <v>1.4726999999999999E-7</v>
      </c>
      <c r="J630" s="4">
        <f t="shared" si="82"/>
        <v>-1.3183289723904771E-8</v>
      </c>
      <c r="K630" s="4">
        <f t="shared" si="83"/>
        <v>-2.210733442609081E-8</v>
      </c>
      <c r="L630" s="4">
        <f t="shared" si="84"/>
        <v>-8.8767472884734643E-9</v>
      </c>
      <c r="M630" s="4">
        <f t="shared" si="86"/>
        <v>-9.7607706055385187E-9</v>
      </c>
      <c r="N630" s="5">
        <f t="shared" si="87"/>
        <v>3.4646347053598312E-8</v>
      </c>
      <c r="O630" s="5">
        <f t="shared" si="88"/>
        <v>1.1345461836516636E-6</v>
      </c>
      <c r="P630" s="5">
        <f t="shared" si="89"/>
        <v>6.3080746929473904E-7</v>
      </c>
      <c r="Q630" s="1">
        <f t="shared" si="85"/>
        <v>1.800000000000001E-6</v>
      </c>
    </row>
    <row r="631" spans="1:17" x14ac:dyDescent="0.25">
      <c r="A631" s="1">
        <v>31.45</v>
      </c>
      <c r="B631" s="1">
        <v>2.7317000000000001E-2</v>
      </c>
      <c r="C631" s="1">
        <v>4.5192000000000001E-3</v>
      </c>
      <c r="D631" s="1">
        <v>1.9094E-2</v>
      </c>
      <c r="E631" s="1">
        <v>3.1545999999999998E-2</v>
      </c>
      <c r="F631" s="1">
        <v>1.9524000000000001E-6</v>
      </c>
      <c r="G631" s="1">
        <v>6.8503999999999996</v>
      </c>
      <c r="H631" s="1">
        <v>1.4737999999999999E-7</v>
      </c>
      <c r="I631" s="1">
        <f t="shared" si="81"/>
        <v>1.4737999999999999E-7</v>
      </c>
      <c r="J631" s="4">
        <f t="shared" si="82"/>
        <v>-1.3204016801734909E-8</v>
      </c>
      <c r="K631" s="4">
        <f t="shared" si="83"/>
        <v>-2.2123650581207755E-8</v>
      </c>
      <c r="L631" s="4">
        <f t="shared" si="84"/>
        <v>-8.8721090909606249E-9</v>
      </c>
      <c r="M631" s="4">
        <f t="shared" si="86"/>
        <v>-9.7543966803189412E-9</v>
      </c>
      <c r="N631" s="5">
        <f t="shared" si="87"/>
        <v>3.4693871742110534E-8</v>
      </c>
      <c r="O631" s="5">
        <f t="shared" si="88"/>
        <v>1.1353809465525097E-6</v>
      </c>
      <c r="P631" s="5">
        <f t="shared" si="89"/>
        <v>6.2992518170538073E-7</v>
      </c>
      <c r="Q631" s="1">
        <f t="shared" si="85"/>
        <v>1.800000000000001E-6</v>
      </c>
    </row>
    <row r="632" spans="1:17" x14ac:dyDescent="0.25">
      <c r="A632" s="1">
        <v>31.5</v>
      </c>
      <c r="B632" s="1">
        <v>2.7264E-2</v>
      </c>
      <c r="C632" s="1">
        <v>4.5158999999999998E-3</v>
      </c>
      <c r="D632" s="1">
        <v>1.9122E-2</v>
      </c>
      <c r="E632" s="1">
        <v>3.1483999999999998E-2</v>
      </c>
      <c r="F632" s="1">
        <v>1.9526000000000002E-6</v>
      </c>
      <c r="G632" s="1">
        <v>6.8501000000000003</v>
      </c>
      <c r="H632" s="1">
        <v>1.4749000000000001E-7</v>
      </c>
      <c r="I632" s="1">
        <f t="shared" si="81"/>
        <v>1.4749000000000001E-7</v>
      </c>
      <c r="J632" s="4">
        <f t="shared" si="82"/>
        <v>-1.322483817755846E-8</v>
      </c>
      <c r="K632" s="4">
        <f t="shared" si="83"/>
        <v>-2.2139928457774253E-8</v>
      </c>
      <c r="L632" s="4">
        <f t="shared" si="84"/>
        <v>-8.8677606656905601E-9</v>
      </c>
      <c r="M632" s="4">
        <f t="shared" si="86"/>
        <v>-9.748029194372735E-9</v>
      </c>
      <c r="N632" s="5">
        <f t="shared" si="87"/>
        <v>3.4741201356635772E-8</v>
      </c>
      <c r="O632" s="5">
        <f t="shared" si="88"/>
        <v>1.1362138854666668E-6</v>
      </c>
      <c r="P632" s="5">
        <f t="shared" si="89"/>
        <v>6.290449131766986E-7</v>
      </c>
      <c r="Q632" s="1">
        <f t="shared" si="85"/>
        <v>1.800000000000001E-6</v>
      </c>
    </row>
    <row r="633" spans="1:17" x14ac:dyDescent="0.25">
      <c r="A633" s="1">
        <v>31.55</v>
      </c>
      <c r="B633" s="1">
        <v>2.7210999999999999E-2</v>
      </c>
      <c r="C633" s="1">
        <v>4.5126000000000003E-3</v>
      </c>
      <c r="D633" s="1">
        <v>1.915E-2</v>
      </c>
      <c r="E633" s="1">
        <v>3.1420999999999998E-2</v>
      </c>
      <c r="F633" s="1">
        <v>1.9527E-6</v>
      </c>
      <c r="G633" s="1">
        <v>6.8497000000000003</v>
      </c>
      <c r="H633" s="1">
        <v>1.476E-7</v>
      </c>
      <c r="I633" s="1">
        <f t="shared" si="81"/>
        <v>1.476E-7</v>
      </c>
      <c r="J633" s="4">
        <f t="shared" si="82"/>
        <v>-1.324559287908869E-8</v>
      </c>
      <c r="K633" s="4">
        <f t="shared" si="83"/>
        <v>-2.2156170766600318E-8</v>
      </c>
      <c r="L633" s="4">
        <f t="shared" si="84"/>
        <v>-8.8633136420756788E-9</v>
      </c>
      <c r="M633" s="4">
        <f t="shared" si="86"/>
        <v>-9.7416725956654217E-9</v>
      </c>
      <c r="N633" s="5">
        <f t="shared" si="87"/>
        <v>3.478846560207172E-8</v>
      </c>
      <c r="O633" s="5">
        <f t="shared" si="88"/>
        <v>1.1370449801748204E-6</v>
      </c>
      <c r="P633" s="5">
        <f t="shared" si="89"/>
        <v>6.2816655422310889E-7</v>
      </c>
      <c r="Q633" s="1">
        <f t="shared" si="85"/>
        <v>1.800000000000001E-6</v>
      </c>
    </row>
    <row r="634" spans="1:17" x14ac:dyDescent="0.25">
      <c r="A634" s="1">
        <v>31.6</v>
      </c>
      <c r="B634" s="1">
        <v>2.7158999999999999E-2</v>
      </c>
      <c r="C634" s="1">
        <v>4.5091999999999997E-3</v>
      </c>
      <c r="D634" s="1">
        <v>1.9178000000000001E-2</v>
      </c>
      <c r="E634" s="1">
        <v>3.1358999999999998E-2</v>
      </c>
      <c r="F634" s="1">
        <v>1.9528000000000002E-6</v>
      </c>
      <c r="G634" s="1">
        <v>6.8494000000000002</v>
      </c>
      <c r="H634" s="1">
        <v>1.4770999999999999E-7</v>
      </c>
      <c r="I634" s="1">
        <f t="shared" si="81"/>
        <v>1.4770999999999999E-7</v>
      </c>
      <c r="J634" s="4">
        <f t="shared" si="82"/>
        <v>-1.3264971660258365E-8</v>
      </c>
      <c r="K634" s="4">
        <f t="shared" si="83"/>
        <v>-2.2172377113409313E-8</v>
      </c>
      <c r="L634" s="4">
        <f t="shared" si="84"/>
        <v>-8.8580657516692729E-9</v>
      </c>
      <c r="M634" s="4">
        <f t="shared" si="86"/>
        <v>-9.7353252573498797E-9</v>
      </c>
      <c r="N634" s="5">
        <f t="shared" si="87"/>
        <v>3.4837805303553399E-8</v>
      </c>
      <c r="O634" s="5">
        <f t="shared" si="88"/>
        <v>1.1378728999790193E-6</v>
      </c>
      <c r="P634" s="5">
        <f t="shared" si="89"/>
        <v>6.2728929471742826E-7</v>
      </c>
      <c r="Q634" s="1">
        <f t="shared" si="85"/>
        <v>1.800000000000001E-6</v>
      </c>
    </row>
    <row r="635" spans="1:17" x14ac:dyDescent="0.25">
      <c r="A635" s="1">
        <v>31.65</v>
      </c>
      <c r="B635" s="1">
        <v>2.7106000000000002E-2</v>
      </c>
      <c r="C635" s="1">
        <v>4.5059000000000002E-3</v>
      </c>
      <c r="D635" s="1">
        <v>1.9206000000000001E-2</v>
      </c>
      <c r="E635" s="1">
        <v>3.1296999999999998E-2</v>
      </c>
      <c r="F635" s="1">
        <v>1.9529E-6</v>
      </c>
      <c r="G635" s="1">
        <v>6.8490000000000002</v>
      </c>
      <c r="H635" s="1">
        <v>1.4781E-7</v>
      </c>
      <c r="I635" s="1">
        <f t="shared" si="81"/>
        <v>1.4781E-7</v>
      </c>
      <c r="J635" s="4">
        <f t="shared" si="82"/>
        <v>-1.3285145662906266E-8</v>
      </c>
      <c r="K635" s="4">
        <f t="shared" si="83"/>
        <v>-2.2188521549589616E-8</v>
      </c>
      <c r="L635" s="4">
        <f t="shared" si="84"/>
        <v>-8.853578778158396E-9</v>
      </c>
      <c r="M635" s="4">
        <f t="shared" si="86"/>
        <v>-9.7289746808841365E-9</v>
      </c>
      <c r="N635" s="5">
        <f t="shared" si="87"/>
        <v>3.4887602412078352E-8</v>
      </c>
      <c r="O635" s="5">
        <f t="shared" si="88"/>
        <v>1.1386984987732202E-6</v>
      </c>
      <c r="P635" s="5">
        <f t="shared" si="89"/>
        <v>6.2641389881470251E-7</v>
      </c>
      <c r="Q635" s="1">
        <f t="shared" si="85"/>
        <v>1.800000000000001E-6</v>
      </c>
    </row>
    <row r="636" spans="1:17" x14ac:dyDescent="0.25">
      <c r="A636" s="1">
        <v>31.7</v>
      </c>
      <c r="B636" s="1">
        <v>2.7054000000000002E-2</v>
      </c>
      <c r="C636" s="1">
        <v>4.5025000000000004E-3</v>
      </c>
      <c r="D636" s="1">
        <v>1.9234000000000001E-2</v>
      </c>
      <c r="E636" s="1">
        <v>3.1234999999999999E-2</v>
      </c>
      <c r="F636" s="1">
        <v>1.9530000000000002E-6</v>
      </c>
      <c r="G636" s="1">
        <v>6.8487</v>
      </c>
      <c r="H636" s="1">
        <v>1.4791999999999999E-7</v>
      </c>
      <c r="I636" s="1">
        <f t="shared" si="81"/>
        <v>1.4791999999999999E-7</v>
      </c>
      <c r="J636" s="4">
        <f t="shared" si="82"/>
        <v>-1.3305498035994672E-8</v>
      </c>
      <c r="K636" s="4">
        <f t="shared" si="83"/>
        <v>-2.2204620726078112E-8</v>
      </c>
      <c r="L636" s="4">
        <f t="shared" si="84"/>
        <v>-8.8491577343180884E-9</v>
      </c>
      <c r="M636" s="4">
        <f t="shared" si="86"/>
        <v>-9.7219750302992631E-9</v>
      </c>
      <c r="N636" s="5">
        <f t="shared" si="87"/>
        <v>3.4937567367843707E-8</v>
      </c>
      <c r="O636" s="5">
        <f t="shared" si="88"/>
        <v>1.139521351113436E-6</v>
      </c>
      <c r="P636" s="5">
        <f t="shared" si="89"/>
        <v>6.2554108151872131E-7</v>
      </c>
      <c r="Q636" s="1">
        <f t="shared" si="85"/>
        <v>1.800000000000001E-6</v>
      </c>
    </row>
    <row r="637" spans="1:17" x14ac:dyDescent="0.25">
      <c r="A637" s="1">
        <v>31.75</v>
      </c>
      <c r="B637" s="1">
        <v>2.7001000000000001E-2</v>
      </c>
      <c r="C637" s="1">
        <v>4.4990999999999998E-3</v>
      </c>
      <c r="D637" s="1">
        <v>1.9262000000000001E-2</v>
      </c>
      <c r="E637" s="1">
        <v>3.1172999999999999E-2</v>
      </c>
      <c r="F637" s="1">
        <v>1.9531E-6</v>
      </c>
      <c r="G637" s="1">
        <v>6.8483000000000001</v>
      </c>
      <c r="H637" s="1">
        <v>1.4803000000000001E-7</v>
      </c>
      <c r="I637" s="1">
        <f t="shared" si="81"/>
        <v>1.4803000000000001E-7</v>
      </c>
      <c r="J637" s="4">
        <f t="shared" si="82"/>
        <v>-1.3325918389253771E-8</v>
      </c>
      <c r="K637" s="4">
        <f t="shared" si="83"/>
        <v>-2.2220666346712317E-8</v>
      </c>
      <c r="L637" s="4">
        <f t="shared" si="84"/>
        <v>-8.8447286363882098E-9</v>
      </c>
      <c r="M637" s="4">
        <f t="shared" si="86"/>
        <v>-9.7156538617163091E-9</v>
      </c>
      <c r="N637" s="5">
        <f t="shared" si="87"/>
        <v>3.4987586688914047E-8</v>
      </c>
      <c r="O637" s="5">
        <f t="shared" si="88"/>
        <v>1.1403422570176937E-6</v>
      </c>
      <c r="P637" s="5">
        <f t="shared" si="89"/>
        <v>6.2467015629339324E-7</v>
      </c>
      <c r="Q637" s="1">
        <f t="shared" si="85"/>
        <v>1.800000000000001E-6</v>
      </c>
    </row>
    <row r="638" spans="1:17" x14ac:dyDescent="0.25">
      <c r="A638" s="1">
        <v>31.8</v>
      </c>
      <c r="B638" s="1">
        <v>2.6949000000000001E-2</v>
      </c>
      <c r="C638" s="1">
        <v>4.4955999999999998E-3</v>
      </c>
      <c r="D638" s="1">
        <v>1.9290000000000002E-2</v>
      </c>
      <c r="E638" s="1">
        <v>3.1111E-2</v>
      </c>
      <c r="F638" s="1">
        <v>1.9532000000000002E-6</v>
      </c>
      <c r="G638" s="1">
        <v>6.8479999999999999</v>
      </c>
      <c r="H638" s="1">
        <v>1.4814E-7</v>
      </c>
      <c r="I638" s="1">
        <f t="shared" si="81"/>
        <v>1.4814E-7</v>
      </c>
      <c r="J638" s="4">
        <f t="shared" si="82"/>
        <v>-1.3346363453837461E-8</v>
      </c>
      <c r="K638" s="4">
        <f t="shared" si="83"/>
        <v>-2.2236674011845343E-8</v>
      </c>
      <c r="L638" s="4">
        <f t="shared" si="84"/>
        <v>-8.8402625568474328E-9</v>
      </c>
      <c r="M638" s="4">
        <f t="shared" si="86"/>
        <v>-9.7093419397917923E-9</v>
      </c>
      <c r="N638" s="5">
        <f t="shared" si="87"/>
        <v>3.5037634690074495E-8</v>
      </c>
      <c r="O638" s="5">
        <f t="shared" si="88"/>
        <v>1.1411612883994774E-6</v>
      </c>
      <c r="P638" s="5">
        <f t="shared" si="89"/>
        <v>6.2380107691044887E-7</v>
      </c>
      <c r="Q638" s="1">
        <f t="shared" si="85"/>
        <v>1.800000000000001E-6</v>
      </c>
    </row>
    <row r="639" spans="1:17" x14ac:dyDescent="0.25">
      <c r="A639" s="1">
        <v>31.85</v>
      </c>
      <c r="B639" s="1">
        <v>2.6897000000000001E-2</v>
      </c>
      <c r="C639" s="1">
        <v>4.4922E-3</v>
      </c>
      <c r="D639" s="1">
        <v>1.9317999999999998E-2</v>
      </c>
      <c r="E639" s="1">
        <v>3.1050000000000001E-2</v>
      </c>
      <c r="F639" s="1">
        <v>1.9533E-6</v>
      </c>
      <c r="G639" s="1">
        <v>6.8476999999999997</v>
      </c>
      <c r="H639" s="1">
        <v>1.4824000000000001E-7</v>
      </c>
      <c r="I639" s="1">
        <f t="shared" si="81"/>
        <v>1.4824000000000001E-7</v>
      </c>
      <c r="J639" s="4">
        <f t="shared" si="82"/>
        <v>-1.3366823437532154E-8</v>
      </c>
      <c r="K639" s="4">
        <f t="shared" si="83"/>
        <v>-2.2252645123790127E-8</v>
      </c>
      <c r="L639" s="4">
        <f t="shared" si="84"/>
        <v>-8.835752930857112E-9</v>
      </c>
      <c r="M639" s="4">
        <f t="shared" si="86"/>
        <v>-9.7030386110190963E-9</v>
      </c>
      <c r="N639" s="5">
        <f t="shared" si="87"/>
        <v>3.508770344547535E-8</v>
      </c>
      <c r="O639" s="5">
        <f t="shared" si="88"/>
        <v>1.1419785053242386E-6</v>
      </c>
      <c r="P639" s="5">
        <f t="shared" si="89"/>
        <v>6.2293379123028694E-7</v>
      </c>
      <c r="Q639" s="1">
        <f t="shared" si="85"/>
        <v>1.800000000000001E-6</v>
      </c>
    </row>
    <row r="640" spans="1:17" x14ac:dyDescent="0.25">
      <c r="A640" s="1">
        <v>31.9</v>
      </c>
      <c r="B640" s="1">
        <v>2.6845000000000001E-2</v>
      </c>
      <c r="C640" s="1">
        <v>4.4887E-3</v>
      </c>
      <c r="D640" s="1">
        <v>1.9345999999999999E-2</v>
      </c>
      <c r="E640" s="1">
        <v>3.0988000000000002E-2</v>
      </c>
      <c r="F640" s="1">
        <v>1.9533E-6</v>
      </c>
      <c r="G640" s="1">
        <v>6.8472999999999997</v>
      </c>
      <c r="H640" s="1">
        <v>1.4835E-7</v>
      </c>
      <c r="I640" s="1">
        <f t="shared" si="81"/>
        <v>1.4835E-7</v>
      </c>
      <c r="J640" s="4">
        <f t="shared" si="82"/>
        <v>-1.338729531998462E-8</v>
      </c>
      <c r="K640" s="4">
        <f t="shared" si="83"/>
        <v>-2.2268580853821388E-8</v>
      </c>
      <c r="L640" s="4">
        <f t="shared" si="84"/>
        <v>-8.8314821414781062E-9</v>
      </c>
      <c r="M640" s="4">
        <f t="shared" si="86"/>
        <v>-9.6960890472571111E-9</v>
      </c>
      <c r="N640" s="5">
        <f t="shared" si="87"/>
        <v>3.5137506837834012E-8</v>
      </c>
      <c r="O640" s="5">
        <f t="shared" si="88"/>
        <v>1.1427933088376588E-6</v>
      </c>
      <c r="P640" s="5">
        <f t="shared" si="89"/>
        <v>6.2206918432450792E-7</v>
      </c>
      <c r="Q640" s="1">
        <f t="shared" si="85"/>
        <v>1.8000000000000006E-6</v>
      </c>
    </row>
    <row r="641" spans="1:17" x14ac:dyDescent="0.25">
      <c r="A641" s="1">
        <v>31.95</v>
      </c>
      <c r="B641" s="1">
        <v>2.6793000000000001E-2</v>
      </c>
      <c r="C641" s="1">
        <v>4.4852E-3</v>
      </c>
      <c r="D641" s="1">
        <v>1.9373000000000001E-2</v>
      </c>
      <c r="E641" s="1">
        <v>3.0925999999999999E-2</v>
      </c>
      <c r="F641" s="1">
        <v>1.9533E-6</v>
      </c>
      <c r="G641" s="1">
        <v>6.8470000000000004</v>
      </c>
      <c r="H641" s="1">
        <v>1.4845999999999999E-7</v>
      </c>
      <c r="I641" s="1">
        <f t="shared" si="81"/>
        <v>1.4845999999999999E-7</v>
      </c>
      <c r="J641" s="4">
        <f t="shared" si="82"/>
        <v>-1.3406297211131811E-8</v>
      </c>
      <c r="K641" s="4">
        <f t="shared" si="83"/>
        <v>-2.2284469522334663E-8</v>
      </c>
      <c r="L641" s="4">
        <f t="shared" si="84"/>
        <v>-8.8263579716940224E-9</v>
      </c>
      <c r="M641" s="4">
        <f t="shared" si="86"/>
        <v>-9.6898161669269174E-9</v>
      </c>
      <c r="N641" s="5">
        <f t="shared" si="87"/>
        <v>3.5189321177342843E-8</v>
      </c>
      <c r="O641" s="5">
        <f t="shared" si="88"/>
        <v>1.143604952693383E-6</v>
      </c>
      <c r="P641" s="5">
        <f t="shared" si="89"/>
        <v>6.2120572612927501E-7</v>
      </c>
      <c r="Q641" s="1">
        <f t="shared" si="85"/>
        <v>1.800000000000001E-6</v>
      </c>
    </row>
    <row r="642" spans="1:17" x14ac:dyDescent="0.25">
      <c r="A642" s="1">
        <v>32</v>
      </c>
      <c r="B642" s="1">
        <v>2.6741000000000001E-2</v>
      </c>
      <c r="C642" s="1">
        <v>4.4816999999999999E-3</v>
      </c>
      <c r="D642" s="1">
        <v>1.9401000000000002E-2</v>
      </c>
      <c r="E642" s="1">
        <v>3.0865E-2</v>
      </c>
      <c r="F642" s="1">
        <v>1.9533E-6</v>
      </c>
      <c r="G642" s="1">
        <v>6.8465999999999996</v>
      </c>
      <c r="H642" s="1">
        <v>1.4857000000000001E-7</v>
      </c>
      <c r="I642" s="1">
        <f t="shared" si="81"/>
        <v>1.4857000000000001E-7</v>
      </c>
      <c r="J642" s="4">
        <f t="shared" si="82"/>
        <v>-1.3426066355210807E-8</v>
      </c>
      <c r="K642" s="4">
        <f t="shared" si="83"/>
        <v>-2.2300296577521287E-8</v>
      </c>
      <c r="L642" s="4">
        <f t="shared" si="84"/>
        <v>-8.821687869862208E-9</v>
      </c>
      <c r="M642" s="4">
        <f t="shared" si="86"/>
        <v>-9.6835412206211149E-9</v>
      </c>
      <c r="N642" s="5">
        <f t="shared" si="87"/>
        <v>3.5241863529791115E-8</v>
      </c>
      <c r="O642" s="5">
        <f t="shared" si="88"/>
        <v>1.1444142636916936E-6</v>
      </c>
      <c r="P642" s="5">
        <f t="shared" si="89"/>
        <v>6.2034387277851605E-7</v>
      </c>
      <c r="Q642" s="1">
        <f t="shared" si="85"/>
        <v>1.800000000000001E-6</v>
      </c>
    </row>
    <row r="643" spans="1:17" x14ac:dyDescent="0.25">
      <c r="A643" s="1">
        <v>32.049999999999997</v>
      </c>
      <c r="B643" s="1">
        <v>2.6689000000000001E-2</v>
      </c>
      <c r="C643" s="1">
        <v>4.4780999999999996E-3</v>
      </c>
      <c r="D643" s="1">
        <v>1.9428999999999998E-2</v>
      </c>
      <c r="E643" s="1">
        <v>3.0803000000000001E-2</v>
      </c>
      <c r="F643" s="1">
        <v>1.9533E-6</v>
      </c>
      <c r="G643" s="1">
        <v>6.8463000000000003</v>
      </c>
      <c r="H643" s="1">
        <v>1.4866999999999999E-7</v>
      </c>
      <c r="I643" s="1">
        <f t="shared" ref="I643:I706" si="90">H643</f>
        <v>1.4866999999999999E-7</v>
      </c>
      <c r="J643" s="4">
        <f t="shared" ref="J643:J706" si="91">(-$T$4*F642^2*N642)*(A643-A642)</f>
        <v>-1.3446113263954531E-8</v>
      </c>
      <c r="K643" s="4">
        <f t="shared" ref="K643:K706" si="92">-O642*$T$7*(A643-A642)</f>
        <v>-2.2316078141986758E-8</v>
      </c>
      <c r="L643" s="4">
        <f t="shared" ref="L643:L706" si="93">-$T$5*F642*E642*(A643-A642)*N642</f>
        <v>-8.817433504590283E-9</v>
      </c>
      <c r="M643" s="4">
        <f t="shared" si="86"/>
        <v>-9.6772713637633846E-9</v>
      </c>
      <c r="N643" s="5">
        <f t="shared" si="87"/>
        <v>3.5294394903233052E-8</v>
      </c>
      <c r="O643" s="5">
        <f t="shared" si="88"/>
        <v>1.1452215701774248E-6</v>
      </c>
      <c r="P643" s="5">
        <f t="shared" si="89"/>
        <v>6.1948403491934294E-7</v>
      </c>
      <c r="Q643" s="1">
        <f t="shared" ref="Q643:Q706" si="94">N643+O643+P643</f>
        <v>1.8000000000000008E-6</v>
      </c>
    </row>
    <row r="644" spans="1:17" x14ac:dyDescent="0.25">
      <c r="A644" s="1">
        <v>32.1</v>
      </c>
      <c r="B644" s="1">
        <v>2.6637000000000001E-2</v>
      </c>
      <c r="C644" s="1">
        <v>4.4745999999999996E-3</v>
      </c>
      <c r="D644" s="1">
        <v>1.9456999999999999E-2</v>
      </c>
      <c r="E644" s="1">
        <v>3.0741999999999998E-2</v>
      </c>
      <c r="F644" s="1">
        <v>1.9533E-6</v>
      </c>
      <c r="G644" s="1">
        <v>6.8459000000000003</v>
      </c>
      <c r="H644" s="1">
        <v>1.4878000000000001E-7</v>
      </c>
      <c r="I644" s="1">
        <f t="shared" si="90"/>
        <v>1.4878000000000001E-7</v>
      </c>
      <c r="J644" s="4">
        <f t="shared" si="91"/>
        <v>-1.3466155983792024E-8</v>
      </c>
      <c r="K644" s="4">
        <f t="shared" si="92"/>
        <v>-2.2331820618461685E-8</v>
      </c>
      <c r="L644" s="4">
        <f t="shared" si="93"/>
        <v>-8.8128383325157178E-9</v>
      </c>
      <c r="M644" s="4">
        <f t="shared" ref="M644:M707" si="95">-P643*$T$8*I643*(A644-A643)</f>
        <v>-9.6703626045039882E-9</v>
      </c>
      <c r="N644" s="5">
        <f t="shared" ref="N644:N707" si="96">N643+J644-K644+L644</f>
        <v>3.5347221205386994E-8</v>
      </c>
      <c r="O644" s="5">
        <f t="shared" ref="O644:O707" si="97">-J644+O643+K644-M644</f>
        <v>1.1460262681472591E-6</v>
      </c>
      <c r="P644" s="5">
        <f t="shared" ref="P644:P707" si="98">P643-L644+M644</f>
        <v>6.1862651064735469E-7</v>
      </c>
      <c r="Q644" s="1">
        <f t="shared" si="94"/>
        <v>1.800000000000001E-6</v>
      </c>
    </row>
    <row r="645" spans="1:17" x14ac:dyDescent="0.25">
      <c r="A645" s="1">
        <v>32.15</v>
      </c>
      <c r="B645" s="1">
        <v>2.6585000000000001E-2</v>
      </c>
      <c r="C645" s="1">
        <v>4.4710000000000001E-3</v>
      </c>
      <c r="D645" s="1">
        <v>1.9484000000000001E-2</v>
      </c>
      <c r="E645" s="1">
        <v>3.0681E-2</v>
      </c>
      <c r="F645" s="1">
        <v>1.9533E-6</v>
      </c>
      <c r="G645" s="1">
        <v>6.8456000000000001</v>
      </c>
      <c r="H645" s="1">
        <v>1.4889000000000001E-7</v>
      </c>
      <c r="I645" s="1">
        <f t="shared" si="90"/>
        <v>1.4889000000000001E-7</v>
      </c>
      <c r="J645" s="4">
        <f t="shared" si="91"/>
        <v>-1.3486311230162862E-8</v>
      </c>
      <c r="K645" s="4">
        <f t="shared" si="92"/>
        <v>-2.2347512228870284E-8</v>
      </c>
      <c r="L645" s="4">
        <f t="shared" si="93"/>
        <v>-8.8085503830764193E-9</v>
      </c>
      <c r="M645" s="4">
        <f t="shared" si="95"/>
        <v>-9.6641214866813602E-9</v>
      </c>
      <c r="N645" s="5">
        <f t="shared" si="96"/>
        <v>3.5399871821017999E-8</v>
      </c>
      <c r="O645" s="5">
        <f t="shared" si="97"/>
        <v>1.146829188635233E-6</v>
      </c>
      <c r="P645" s="5">
        <f t="shared" si="98"/>
        <v>6.177709395437497E-7</v>
      </c>
      <c r="Q645" s="1">
        <f t="shared" si="94"/>
        <v>1.8000000000000006E-6</v>
      </c>
    </row>
    <row r="646" spans="1:17" x14ac:dyDescent="0.25">
      <c r="A646" s="1">
        <v>32.200000000000003</v>
      </c>
      <c r="B646" s="1">
        <v>2.6533999999999999E-2</v>
      </c>
      <c r="C646" s="1">
        <v>4.4673999999999998E-3</v>
      </c>
      <c r="D646" s="1">
        <v>1.9512000000000002E-2</v>
      </c>
      <c r="E646" s="1">
        <v>3.0619E-2</v>
      </c>
      <c r="F646" s="1">
        <v>1.9533E-6</v>
      </c>
      <c r="G646" s="1">
        <v>6.8452000000000002</v>
      </c>
      <c r="H646" s="1">
        <v>1.4899000000000001E-7</v>
      </c>
      <c r="I646" s="1">
        <f t="shared" si="90"/>
        <v>1.4899000000000001E-7</v>
      </c>
      <c r="J646" s="4">
        <f t="shared" si="91"/>
        <v>-1.3506399445437308E-8</v>
      </c>
      <c r="K646" s="4">
        <f t="shared" si="92"/>
        <v>-2.2363169178388951E-8</v>
      </c>
      <c r="L646" s="4">
        <f t="shared" si="93"/>
        <v>-8.8041664964402174E-9</v>
      </c>
      <c r="M646" s="4">
        <f t="shared" si="95"/>
        <v>-9.6578910948110575E-9</v>
      </c>
      <c r="N646" s="5">
        <f t="shared" si="96"/>
        <v>3.545247505752942E-8</v>
      </c>
      <c r="O646" s="5">
        <f t="shared" si="97"/>
        <v>1.1476303099970924E-6</v>
      </c>
      <c r="P646" s="5">
        <f t="shared" si="98"/>
        <v>6.1691721494537882E-7</v>
      </c>
      <c r="Q646" s="1">
        <f t="shared" si="94"/>
        <v>1.8000000000000006E-6</v>
      </c>
    </row>
    <row r="647" spans="1:17" x14ac:dyDescent="0.25">
      <c r="A647" s="1">
        <v>32.25</v>
      </c>
      <c r="B647" s="1">
        <v>2.6481999999999999E-2</v>
      </c>
      <c r="C647" s="1">
        <v>4.4637000000000001E-3</v>
      </c>
      <c r="D647" s="1">
        <v>1.9539999999999998E-2</v>
      </c>
      <c r="E647" s="1">
        <v>3.0557999999999998E-2</v>
      </c>
      <c r="F647" s="1">
        <v>1.9532000000000002E-6</v>
      </c>
      <c r="G647" s="1">
        <v>6.8449</v>
      </c>
      <c r="H647" s="1">
        <v>1.4910000000000001E-7</v>
      </c>
      <c r="I647" s="1">
        <f t="shared" si="90"/>
        <v>1.4910000000000001E-7</v>
      </c>
      <c r="J647" s="4">
        <f t="shared" si="91"/>
        <v>-1.3526469583769169E-8</v>
      </c>
      <c r="K647" s="4">
        <f t="shared" si="92"/>
        <v>-2.2378791044942031E-8</v>
      </c>
      <c r="L647" s="4">
        <f t="shared" si="93"/>
        <v>-8.7994313959429009E-9</v>
      </c>
      <c r="M647" s="4">
        <f t="shared" si="95"/>
        <v>-9.6510220647442126E-9</v>
      </c>
      <c r="N647" s="5">
        <f t="shared" si="96"/>
        <v>3.5505365122759373E-8</v>
      </c>
      <c r="O647" s="5">
        <f t="shared" si="97"/>
        <v>1.1484290106006635E-6</v>
      </c>
      <c r="P647" s="5">
        <f t="shared" si="98"/>
        <v>6.1606562427657748E-7</v>
      </c>
      <c r="Q647" s="1">
        <f t="shared" si="94"/>
        <v>1.8000000000000006E-6</v>
      </c>
    </row>
    <row r="648" spans="1:17" x14ac:dyDescent="0.25">
      <c r="A648" s="1">
        <v>32.299999999999997</v>
      </c>
      <c r="B648" s="1">
        <v>2.6431E-2</v>
      </c>
      <c r="C648" s="1">
        <v>4.4600999999999998E-3</v>
      </c>
      <c r="D648" s="1">
        <v>1.9567000000000001E-2</v>
      </c>
      <c r="E648" s="1">
        <v>3.0497E-2</v>
      </c>
      <c r="F648" s="1">
        <v>1.9532000000000002E-6</v>
      </c>
      <c r="G648" s="1">
        <v>6.8445999999999998</v>
      </c>
      <c r="H648" s="1">
        <v>1.4921E-7</v>
      </c>
      <c r="I648" s="1">
        <f t="shared" si="90"/>
        <v>1.4921E-7</v>
      </c>
      <c r="J648" s="4">
        <f t="shared" si="91"/>
        <v>-1.3545262141095574E-8</v>
      </c>
      <c r="K648" s="4">
        <f t="shared" si="92"/>
        <v>-2.2394365706711668E-8</v>
      </c>
      <c r="L648" s="4">
        <f t="shared" si="93"/>
        <v>-8.7945520177479721E-9</v>
      </c>
      <c r="M648" s="4">
        <f t="shared" si="95"/>
        <v>-9.6448153808614101E-9</v>
      </c>
      <c r="N648" s="5">
        <f t="shared" si="96"/>
        <v>3.5559916670627492E-8</v>
      </c>
      <c r="O648" s="5">
        <f t="shared" si="97"/>
        <v>1.1492247224159089E-6</v>
      </c>
      <c r="P648" s="5">
        <f t="shared" si="98"/>
        <v>6.1521536091346402E-7</v>
      </c>
      <c r="Q648" s="1">
        <f t="shared" si="94"/>
        <v>1.8000000000000006E-6</v>
      </c>
    </row>
    <row r="649" spans="1:17" x14ac:dyDescent="0.25">
      <c r="A649" s="1">
        <v>32.35</v>
      </c>
      <c r="B649" s="1">
        <v>2.6379E-2</v>
      </c>
      <c r="C649" s="1">
        <v>4.4564000000000001E-3</v>
      </c>
      <c r="D649" s="1">
        <v>1.9595000000000001E-2</v>
      </c>
      <c r="E649" s="1">
        <v>3.0436000000000001E-2</v>
      </c>
      <c r="F649" s="1">
        <v>1.9531E-6</v>
      </c>
      <c r="G649" s="1">
        <v>6.8441999999999998</v>
      </c>
      <c r="H649" s="1">
        <v>1.4931E-7</v>
      </c>
      <c r="I649" s="1">
        <f t="shared" si="90"/>
        <v>1.4931E-7</v>
      </c>
      <c r="J649" s="4">
        <f t="shared" si="91"/>
        <v>-1.3566073503366877E-8</v>
      </c>
      <c r="K649" s="4">
        <f t="shared" si="92"/>
        <v>-2.2409882087112136E-8</v>
      </c>
      <c r="L649" s="4">
        <f t="shared" si="93"/>
        <v>-8.7904815486050874E-9</v>
      </c>
      <c r="M649" s="4">
        <f t="shared" si="95"/>
        <v>-9.6386098202001087E-9</v>
      </c>
      <c r="N649" s="5">
        <f t="shared" si="96"/>
        <v>3.5613243705767668E-8</v>
      </c>
      <c r="O649" s="5">
        <f t="shared" si="97"/>
        <v>1.1500195236523638E-6</v>
      </c>
      <c r="P649" s="5">
        <f t="shared" si="98"/>
        <v>6.14367232641869E-7</v>
      </c>
      <c r="Q649" s="1">
        <f t="shared" si="94"/>
        <v>1.8000000000000006E-6</v>
      </c>
    </row>
    <row r="650" spans="1:17" x14ac:dyDescent="0.25">
      <c r="A650" s="1">
        <v>32.4</v>
      </c>
      <c r="B650" s="1">
        <v>2.6328000000000001E-2</v>
      </c>
      <c r="C650" s="1">
        <v>4.4527000000000004E-3</v>
      </c>
      <c r="D650" s="1">
        <v>1.9622000000000001E-2</v>
      </c>
      <c r="E650" s="1">
        <v>3.0374999999999999E-2</v>
      </c>
      <c r="F650" s="1">
        <v>1.9530000000000002E-6</v>
      </c>
      <c r="G650" s="1">
        <v>6.8438999999999997</v>
      </c>
      <c r="H650" s="1">
        <v>1.4942E-7</v>
      </c>
      <c r="I650" s="1">
        <f t="shared" si="90"/>
        <v>1.4942E-7</v>
      </c>
      <c r="J650" s="4">
        <f t="shared" si="91"/>
        <v>-1.3585026555084856E-8</v>
      </c>
      <c r="K650" s="4">
        <f t="shared" si="92"/>
        <v>-2.2425380711219823E-8</v>
      </c>
      <c r="L650" s="4">
        <f t="shared" si="93"/>
        <v>-8.7856052079096598E-9</v>
      </c>
      <c r="M650" s="4">
        <f t="shared" si="95"/>
        <v>-9.6317730081039863E-9</v>
      </c>
      <c r="N650" s="5">
        <f t="shared" si="96"/>
        <v>3.566799265399297E-8</v>
      </c>
      <c r="O650" s="5">
        <f t="shared" si="97"/>
        <v>1.1508109425043329E-6</v>
      </c>
      <c r="P650" s="5">
        <f t="shared" si="98"/>
        <v>6.1352106484167462E-7</v>
      </c>
      <c r="Q650" s="1">
        <f t="shared" si="94"/>
        <v>1.8000000000000006E-6</v>
      </c>
    </row>
    <row r="651" spans="1:17" x14ac:dyDescent="0.25">
      <c r="A651" s="1">
        <v>32.450000000000003</v>
      </c>
      <c r="B651" s="1">
        <v>2.6276999999999998E-2</v>
      </c>
      <c r="C651" s="1">
        <v>4.4489999999999998E-3</v>
      </c>
      <c r="D651" s="1">
        <v>1.9650000000000001E-2</v>
      </c>
      <c r="E651" s="1">
        <v>3.0314000000000001E-2</v>
      </c>
      <c r="F651" s="1">
        <v>1.9529E-6</v>
      </c>
      <c r="G651" s="1">
        <v>6.8434999999999997</v>
      </c>
      <c r="H651" s="1">
        <v>1.4952E-7</v>
      </c>
      <c r="I651" s="1">
        <f t="shared" si="90"/>
        <v>1.4952E-7</v>
      </c>
      <c r="J651" s="4">
        <f t="shared" si="91"/>
        <v>-1.3604517859280551E-8</v>
      </c>
      <c r="K651" s="4">
        <f t="shared" si="92"/>
        <v>-2.2440813378836408E-8</v>
      </c>
      <c r="L651" s="4">
        <f t="shared" si="93"/>
        <v>-8.7810266482280273E-9</v>
      </c>
      <c r="M651" s="4">
        <f t="shared" si="95"/>
        <v>-9.6255933384083375E-9</v>
      </c>
      <c r="N651" s="5">
        <f t="shared" si="96"/>
        <v>3.5723261525320803E-8</v>
      </c>
      <c r="O651" s="5">
        <f t="shared" si="97"/>
        <v>1.1516002403231854E-6</v>
      </c>
      <c r="P651" s="5">
        <f t="shared" si="98"/>
        <v>6.1267649815149423E-7</v>
      </c>
      <c r="Q651" s="1">
        <f t="shared" si="94"/>
        <v>1.8000000000000006E-6</v>
      </c>
    </row>
    <row r="652" spans="1:17" x14ac:dyDescent="0.25">
      <c r="A652" s="1">
        <v>32.5</v>
      </c>
      <c r="B652" s="1">
        <v>2.6224999999999998E-2</v>
      </c>
      <c r="C652" s="1">
        <v>4.4451999999999998E-3</v>
      </c>
      <c r="D652" s="1">
        <v>1.9677E-2</v>
      </c>
      <c r="E652" s="1">
        <v>3.0254E-2</v>
      </c>
      <c r="F652" s="1">
        <v>1.9527E-6</v>
      </c>
      <c r="G652" s="1">
        <v>6.8432000000000004</v>
      </c>
      <c r="H652" s="1">
        <v>1.4963E-7</v>
      </c>
      <c r="I652" s="1">
        <f t="shared" si="90"/>
        <v>1.4963E-7</v>
      </c>
      <c r="J652" s="4">
        <f t="shared" si="91"/>
        <v>-1.362420324705054E-8</v>
      </c>
      <c r="K652" s="4">
        <f t="shared" si="92"/>
        <v>-2.2456204686300837E-8</v>
      </c>
      <c r="L652" s="4">
        <f t="shared" si="93"/>
        <v>-8.7765221133136569E-9</v>
      </c>
      <c r="M652" s="4">
        <f t="shared" si="95"/>
        <v>-9.6187759503786524E-9</v>
      </c>
      <c r="N652" s="5">
        <f t="shared" si="96"/>
        <v>3.5778740851257447E-8</v>
      </c>
      <c r="O652" s="5">
        <f t="shared" si="97"/>
        <v>1.1523870148343138E-6</v>
      </c>
      <c r="P652" s="5">
        <f t="shared" si="98"/>
        <v>6.1183424431442915E-7</v>
      </c>
      <c r="Q652" s="1">
        <f t="shared" si="94"/>
        <v>1.8000000000000003E-6</v>
      </c>
    </row>
    <row r="653" spans="1:17" x14ac:dyDescent="0.25">
      <c r="A653" s="1">
        <v>32.549999999999997</v>
      </c>
      <c r="B653" s="1">
        <v>2.6173999999999999E-2</v>
      </c>
      <c r="C653" s="1">
        <v>4.4415000000000001E-3</v>
      </c>
      <c r="D653" s="1">
        <v>1.9705E-2</v>
      </c>
      <c r="E653" s="1">
        <v>3.0193000000000001E-2</v>
      </c>
      <c r="F653" s="1">
        <v>1.9526000000000002E-6</v>
      </c>
      <c r="G653" s="1">
        <v>6.8429000000000002</v>
      </c>
      <c r="H653" s="1">
        <v>1.4973999999999999E-7</v>
      </c>
      <c r="I653" s="1">
        <f t="shared" si="90"/>
        <v>1.4973999999999999E-7</v>
      </c>
      <c r="J653" s="4">
        <f t="shared" si="91"/>
        <v>-1.3642567305508323E-8</v>
      </c>
      <c r="K653" s="4">
        <f t="shared" si="92"/>
        <v>-2.247154678926784E-8</v>
      </c>
      <c r="L653" s="4">
        <f t="shared" si="93"/>
        <v>-8.7718556856277065E-9</v>
      </c>
      <c r="M653" s="4">
        <f t="shared" si="95"/>
        <v>-9.6126195875600962E-9</v>
      </c>
      <c r="N653" s="5">
        <f t="shared" si="96"/>
        <v>3.5835864649389258E-8</v>
      </c>
      <c r="O653" s="5">
        <f t="shared" si="97"/>
        <v>1.1531706549381145E-6</v>
      </c>
      <c r="P653" s="5">
        <f t="shared" si="98"/>
        <v>6.109934804124968E-7</v>
      </c>
      <c r="Q653" s="1">
        <f t="shared" si="94"/>
        <v>1.8000000000000006E-6</v>
      </c>
    </row>
    <row r="654" spans="1:17" x14ac:dyDescent="0.25">
      <c r="A654" s="1">
        <v>32.6</v>
      </c>
      <c r="B654" s="1">
        <v>2.6123E-2</v>
      </c>
      <c r="C654" s="1">
        <v>4.4377000000000002E-3</v>
      </c>
      <c r="D654" s="1">
        <v>1.9732E-2</v>
      </c>
      <c r="E654" s="1">
        <v>3.0131999999999999E-2</v>
      </c>
      <c r="F654" s="1">
        <v>1.9524999999999999E-6</v>
      </c>
      <c r="G654" s="1">
        <v>6.8425000000000002</v>
      </c>
      <c r="H654" s="1">
        <v>1.4984E-7</v>
      </c>
      <c r="I654" s="1">
        <f t="shared" si="90"/>
        <v>1.4984E-7</v>
      </c>
      <c r="J654" s="4">
        <f t="shared" si="91"/>
        <v>-1.3662949324730417E-8</v>
      </c>
      <c r="K654" s="4">
        <f t="shared" si="92"/>
        <v>-2.2486827771295151E-8</v>
      </c>
      <c r="L654" s="4">
        <f t="shared" si="93"/>
        <v>-8.767697071548599E-9</v>
      </c>
      <c r="M654" s="4">
        <f t="shared" si="95"/>
        <v>-9.6064671944823812E-9</v>
      </c>
      <c r="N654" s="5">
        <f t="shared" si="96"/>
        <v>3.5892046024405398E-8</v>
      </c>
      <c r="O654" s="5">
        <f t="shared" si="97"/>
        <v>1.1539532436860319E-6</v>
      </c>
      <c r="P654" s="5">
        <f t="shared" si="98"/>
        <v>6.1015471028956301E-7</v>
      </c>
      <c r="Q654" s="1">
        <f t="shared" si="94"/>
        <v>1.8000000000000003E-6</v>
      </c>
    </row>
    <row r="655" spans="1:17" x14ac:dyDescent="0.25">
      <c r="A655" s="1">
        <v>32.65</v>
      </c>
      <c r="B655" s="1">
        <v>2.6072000000000001E-2</v>
      </c>
      <c r="C655" s="1">
        <v>4.4339000000000002E-3</v>
      </c>
      <c r="D655" s="1">
        <v>1.976E-2</v>
      </c>
      <c r="E655" s="1">
        <v>3.0072000000000002E-2</v>
      </c>
      <c r="F655" s="1">
        <v>1.9522999999999999E-6</v>
      </c>
      <c r="G655" s="1">
        <v>6.8422000000000001</v>
      </c>
      <c r="H655" s="1">
        <v>1.4994999999999999E-7</v>
      </c>
      <c r="I655" s="1">
        <f t="shared" si="90"/>
        <v>1.4994999999999999E-7</v>
      </c>
      <c r="J655" s="4">
        <f t="shared" si="91"/>
        <v>-1.3682967678181934E-8</v>
      </c>
      <c r="K655" s="4">
        <f t="shared" si="92"/>
        <v>-2.2502088251876341E-8</v>
      </c>
      <c r="L655" s="4">
        <f t="shared" si="93"/>
        <v>-8.763252269540379E-9</v>
      </c>
      <c r="M655" s="4">
        <f t="shared" si="95"/>
        <v>-9.5996860879272071E-9</v>
      </c>
      <c r="N655" s="5">
        <f t="shared" si="96"/>
        <v>3.5947914328559419E-8</v>
      </c>
      <c r="O655" s="5">
        <f t="shared" si="97"/>
        <v>1.1547338092002645E-6</v>
      </c>
      <c r="P655" s="5">
        <f t="shared" si="98"/>
        <v>6.0931827647117621E-7</v>
      </c>
      <c r="Q655" s="1">
        <f t="shared" si="94"/>
        <v>1.8000000000000001E-6</v>
      </c>
    </row>
    <row r="656" spans="1:17" x14ac:dyDescent="0.25">
      <c r="A656" s="1">
        <v>32.700000000000003</v>
      </c>
      <c r="B656" s="1">
        <v>2.6020999999999999E-2</v>
      </c>
      <c r="C656" s="1">
        <v>4.4301000000000002E-3</v>
      </c>
      <c r="D656" s="1">
        <v>1.9786999999999999E-2</v>
      </c>
      <c r="E656" s="1">
        <v>3.0010999999999999E-2</v>
      </c>
      <c r="F656" s="1">
        <v>1.9520999999999999E-6</v>
      </c>
      <c r="G656" s="1">
        <v>6.8418999999999999</v>
      </c>
      <c r="H656" s="1">
        <v>1.5005E-7</v>
      </c>
      <c r="I656" s="1">
        <f t="shared" si="90"/>
        <v>1.5005E-7</v>
      </c>
      <c r="J656" s="4">
        <f t="shared" si="91"/>
        <v>-1.3701458719035284E-8</v>
      </c>
      <c r="K656" s="4">
        <f t="shared" si="92"/>
        <v>-2.2517309279407077E-8</v>
      </c>
      <c r="L656" s="4">
        <f t="shared" si="93"/>
        <v>-8.7585187029920658E-9</v>
      </c>
      <c r="M656" s="4">
        <f t="shared" si="95"/>
        <v>-9.5935639334703693E-9</v>
      </c>
      <c r="N656" s="5">
        <f t="shared" si="96"/>
        <v>3.6005246185939147E-8</v>
      </c>
      <c r="O656" s="5">
        <f t="shared" si="97"/>
        <v>1.155511522573363E-6</v>
      </c>
      <c r="P656" s="5">
        <f t="shared" si="98"/>
        <v>6.0848323124069789E-7</v>
      </c>
      <c r="Q656" s="1">
        <f t="shared" si="94"/>
        <v>1.8000000000000001E-6</v>
      </c>
    </row>
    <row r="657" spans="1:17" x14ac:dyDescent="0.25">
      <c r="A657" s="1">
        <v>32.75</v>
      </c>
      <c r="B657" s="1">
        <v>2.5971000000000001E-2</v>
      </c>
      <c r="C657" s="1">
        <v>4.4261999999999999E-3</v>
      </c>
      <c r="D657" s="1">
        <v>1.9813999999999998E-2</v>
      </c>
      <c r="E657" s="1">
        <v>2.9950999999999998E-2</v>
      </c>
      <c r="F657" s="1">
        <v>1.9518999999999999E-6</v>
      </c>
      <c r="G657" s="1">
        <v>6.8414999999999999</v>
      </c>
      <c r="H657" s="1">
        <v>1.5015999999999999E-7</v>
      </c>
      <c r="I657" s="1">
        <f t="shared" si="90"/>
        <v>1.5015999999999999E-7</v>
      </c>
      <c r="J657" s="4">
        <f t="shared" si="91"/>
        <v>-1.3720499037142433E-8</v>
      </c>
      <c r="K657" s="4">
        <f t="shared" si="92"/>
        <v>-2.2532474690179298E-8</v>
      </c>
      <c r="L657" s="4">
        <f t="shared" si="93"/>
        <v>-8.7537957630514728E-9</v>
      </c>
      <c r="M657" s="4">
        <f t="shared" si="95"/>
        <v>-9.5868054290044604E-9</v>
      </c>
      <c r="N657" s="5">
        <f t="shared" si="96"/>
        <v>3.606342607592454E-8</v>
      </c>
      <c r="O657" s="5">
        <f t="shared" si="97"/>
        <v>1.1562863523493307E-6</v>
      </c>
      <c r="P657" s="5">
        <f t="shared" si="98"/>
        <v>6.0765022157474486E-7</v>
      </c>
      <c r="Q657" s="1">
        <f t="shared" si="94"/>
        <v>1.8000000000000001E-6</v>
      </c>
    </row>
    <row r="658" spans="1:17" x14ac:dyDescent="0.25">
      <c r="A658" s="1">
        <v>32.799999999999997</v>
      </c>
      <c r="B658" s="1">
        <v>2.5919999999999999E-2</v>
      </c>
      <c r="C658" s="1">
        <v>4.4223999999999999E-3</v>
      </c>
      <c r="D658" s="1">
        <v>1.9841999999999999E-2</v>
      </c>
      <c r="E658" s="1">
        <v>2.9891000000000001E-2</v>
      </c>
      <c r="F658" s="1">
        <v>1.9516999999999999E-6</v>
      </c>
      <c r="G658" s="1">
        <v>6.8411999999999997</v>
      </c>
      <c r="H658" s="1">
        <v>1.5026E-7</v>
      </c>
      <c r="I658" s="1">
        <f t="shared" si="90"/>
        <v>1.5026E-7</v>
      </c>
      <c r="J658" s="4">
        <f t="shared" si="91"/>
        <v>-1.3739853782988596E-8</v>
      </c>
      <c r="K658" s="4">
        <f t="shared" si="92"/>
        <v>-2.2547583870810668E-8</v>
      </c>
      <c r="L658" s="4">
        <f t="shared" si="93"/>
        <v>-8.7495148148742739E-9</v>
      </c>
      <c r="M658" s="4">
        <f t="shared" si="95"/>
        <v>-9.5806995135241433E-9</v>
      </c>
      <c r="N658" s="5">
        <f t="shared" si="96"/>
        <v>3.6121641348872336E-8</v>
      </c>
      <c r="O658" s="5">
        <f t="shared" si="97"/>
        <v>1.1570593217750326E-6</v>
      </c>
      <c r="P658" s="5">
        <f t="shared" si="98"/>
        <v>6.0681903687609494E-7</v>
      </c>
      <c r="Q658" s="1">
        <f t="shared" si="94"/>
        <v>1.7999999999999999E-6</v>
      </c>
    </row>
    <row r="659" spans="1:17" x14ac:dyDescent="0.25">
      <c r="A659" s="1">
        <v>32.85</v>
      </c>
      <c r="B659" s="1">
        <v>2.5869E-2</v>
      </c>
      <c r="C659" s="1">
        <v>4.4184999999999997E-3</v>
      </c>
      <c r="D659" s="1">
        <v>1.9869000000000001E-2</v>
      </c>
      <c r="E659" s="1">
        <v>2.9829999999999999E-2</v>
      </c>
      <c r="F659" s="1">
        <v>1.9514999999999999E-6</v>
      </c>
      <c r="G659" s="1">
        <v>6.8409000000000004</v>
      </c>
      <c r="H659" s="1">
        <v>1.5036999999999999E-7</v>
      </c>
      <c r="I659" s="1">
        <f t="shared" si="90"/>
        <v>1.5036999999999999E-7</v>
      </c>
      <c r="J659" s="4">
        <f t="shared" si="91"/>
        <v>-1.3759213210278533E-8</v>
      </c>
      <c r="K659" s="4">
        <f t="shared" si="92"/>
        <v>-2.2562656774615059E-8</v>
      </c>
      <c r="L659" s="4">
        <f t="shared" si="93"/>
        <v>-8.7451865787980108E-9</v>
      </c>
      <c r="M659" s="4">
        <f t="shared" si="95"/>
        <v>-9.5739659905060272E-9</v>
      </c>
      <c r="N659" s="5">
        <f t="shared" si="96"/>
        <v>3.6179898334410855E-8</v>
      </c>
      <c r="O659" s="5">
        <f t="shared" si="97"/>
        <v>1.1578298442012023E-6</v>
      </c>
      <c r="P659" s="5">
        <f t="shared" si="98"/>
        <v>6.0599025746438689E-7</v>
      </c>
      <c r="Q659" s="1">
        <f t="shared" si="94"/>
        <v>1.8000000000000001E-6</v>
      </c>
    </row>
    <row r="660" spans="1:17" x14ac:dyDescent="0.25">
      <c r="A660" s="1">
        <v>32.9</v>
      </c>
      <c r="B660" s="1">
        <v>2.5819000000000002E-2</v>
      </c>
      <c r="C660" s="1">
        <v>4.4146000000000003E-3</v>
      </c>
      <c r="D660" s="1">
        <v>1.9896E-2</v>
      </c>
      <c r="E660" s="1">
        <v>2.9770000000000001E-2</v>
      </c>
      <c r="F660" s="1">
        <v>1.9512999999999999E-6</v>
      </c>
      <c r="G660" s="1">
        <v>6.8404999999999996</v>
      </c>
      <c r="H660" s="1">
        <v>1.5047E-7</v>
      </c>
      <c r="I660" s="1">
        <f t="shared" si="90"/>
        <v>1.5047E-7</v>
      </c>
      <c r="J660" s="4">
        <f t="shared" si="91"/>
        <v>-1.3778579722661699E-8</v>
      </c>
      <c r="K660" s="4">
        <f t="shared" si="92"/>
        <v>-2.2577681961922163E-8</v>
      </c>
      <c r="L660" s="4">
        <f t="shared" si="93"/>
        <v>-8.7405195361365276E-9</v>
      </c>
      <c r="M660" s="4">
        <f t="shared" si="95"/>
        <v>-9.5678892765660406E-9</v>
      </c>
      <c r="N660" s="5">
        <f t="shared" si="96"/>
        <v>3.6238481037534797E-8</v>
      </c>
      <c r="O660" s="5">
        <f t="shared" si="97"/>
        <v>1.1585986312385078E-6</v>
      </c>
      <c r="P660" s="5">
        <f t="shared" si="98"/>
        <v>6.0516288772395736E-7</v>
      </c>
      <c r="Q660" s="1">
        <f t="shared" si="94"/>
        <v>1.8000000000000001E-6</v>
      </c>
    </row>
    <row r="661" spans="1:17" x14ac:dyDescent="0.25">
      <c r="A661" s="1">
        <v>32.950000000000003</v>
      </c>
      <c r="B661" s="1">
        <v>2.5767999999999999E-2</v>
      </c>
      <c r="C661" s="1">
        <v>4.4105999999999998E-3</v>
      </c>
      <c r="D661" s="1">
        <v>1.9923E-2</v>
      </c>
      <c r="E661" s="1">
        <v>2.971E-2</v>
      </c>
      <c r="F661" s="1">
        <v>1.951E-6</v>
      </c>
      <c r="G661" s="1">
        <v>6.8402000000000003</v>
      </c>
      <c r="H661" s="1">
        <v>1.5057999999999999E-7</v>
      </c>
      <c r="I661" s="1">
        <f t="shared" si="90"/>
        <v>1.5057999999999999E-7</v>
      </c>
      <c r="J661" s="4">
        <f t="shared" si="91"/>
        <v>-1.3798061448713107E-8</v>
      </c>
      <c r="K661" s="4">
        <f t="shared" si="92"/>
        <v>-2.2592673309152829E-8</v>
      </c>
      <c r="L661" s="4">
        <f t="shared" si="93"/>
        <v>-8.7361676867318477E-9</v>
      </c>
      <c r="M661" s="4">
        <f t="shared" si="95"/>
        <v>-9.5611802701623197E-9</v>
      </c>
      <c r="N661" s="5">
        <f t="shared" si="96"/>
        <v>3.6296925211242675E-8</v>
      </c>
      <c r="O661" s="5">
        <f t="shared" si="97"/>
        <v>1.1593651996482304E-6</v>
      </c>
      <c r="P661" s="5">
        <f t="shared" si="98"/>
        <v>6.0433787514052694E-7</v>
      </c>
      <c r="Q661" s="1">
        <f t="shared" si="94"/>
        <v>1.8000000000000001E-6</v>
      </c>
    </row>
    <row r="662" spans="1:17" x14ac:dyDescent="0.25">
      <c r="A662" s="1">
        <v>33</v>
      </c>
      <c r="B662" s="1">
        <v>2.5718000000000001E-2</v>
      </c>
      <c r="C662" s="1">
        <v>4.4067000000000004E-3</v>
      </c>
      <c r="D662" s="1">
        <v>1.9949999999999999E-2</v>
      </c>
      <c r="E662" s="1">
        <v>2.9649999999999999E-2</v>
      </c>
      <c r="F662" s="1">
        <v>1.9508E-6</v>
      </c>
      <c r="G662" s="1">
        <v>6.8399000000000001</v>
      </c>
      <c r="H662" s="1">
        <v>1.5068E-7</v>
      </c>
      <c r="I662" s="1">
        <f t="shared" si="90"/>
        <v>1.5068E-7</v>
      </c>
      <c r="J662" s="4">
        <f t="shared" si="91"/>
        <v>-1.3816065242099148E-8</v>
      </c>
      <c r="K662" s="4">
        <f t="shared" si="92"/>
        <v>-2.260762139313921E-8</v>
      </c>
      <c r="L662" s="4">
        <f t="shared" si="93"/>
        <v>-8.7312787704893772E-9</v>
      </c>
      <c r="M662" s="4">
        <f t="shared" si="95"/>
        <v>-9.5551257100588129E-9</v>
      </c>
      <c r="N662" s="5">
        <f t="shared" si="96"/>
        <v>3.6357202591793363E-8</v>
      </c>
      <c r="O662" s="5">
        <f t="shared" si="97"/>
        <v>1.1601287692072492E-6</v>
      </c>
      <c r="P662" s="5">
        <f t="shared" si="98"/>
        <v>6.0351402820095749E-7</v>
      </c>
      <c r="Q662" s="1">
        <f t="shared" si="94"/>
        <v>1.8000000000000001E-6</v>
      </c>
    </row>
    <row r="663" spans="1:17" x14ac:dyDescent="0.25">
      <c r="A663" s="1">
        <v>33.049999999999997</v>
      </c>
      <c r="B663" s="1">
        <v>2.5668E-2</v>
      </c>
      <c r="C663" s="1">
        <v>4.4026999999999998E-3</v>
      </c>
      <c r="D663" s="1">
        <v>1.9977999999999999E-2</v>
      </c>
      <c r="E663" s="1">
        <v>2.9590000000000002E-2</v>
      </c>
      <c r="F663" s="1">
        <v>1.9504999999999998E-6</v>
      </c>
      <c r="G663" s="1">
        <v>6.8395000000000001</v>
      </c>
      <c r="H663" s="1">
        <v>1.5078999999999999E-7</v>
      </c>
      <c r="I663" s="1">
        <f t="shared" si="90"/>
        <v>1.5078999999999999E-7</v>
      </c>
      <c r="J663" s="4">
        <f t="shared" si="91"/>
        <v>-1.3836172059598247E-8</v>
      </c>
      <c r="K663" s="4">
        <f t="shared" si="92"/>
        <v>-2.2622510999540074E-8</v>
      </c>
      <c r="L663" s="4">
        <f t="shared" si="93"/>
        <v>-8.7272215578399381E-9</v>
      </c>
      <c r="M663" s="4">
        <f t="shared" si="95"/>
        <v>-9.548436845778085E-9</v>
      </c>
      <c r="N663" s="5">
        <f t="shared" si="96"/>
        <v>3.6416319973895248E-8</v>
      </c>
      <c r="O663" s="5">
        <f t="shared" si="97"/>
        <v>1.1608908671130854E-6</v>
      </c>
      <c r="P663" s="5">
        <f t="shared" si="98"/>
        <v>6.0269281291301929E-7</v>
      </c>
      <c r="Q663" s="1">
        <f t="shared" si="94"/>
        <v>1.7999999999999999E-6</v>
      </c>
    </row>
    <row r="664" spans="1:17" x14ac:dyDescent="0.25">
      <c r="A664" s="1">
        <v>33.1</v>
      </c>
      <c r="B664" s="1">
        <v>2.5617000000000001E-2</v>
      </c>
      <c r="C664" s="1">
        <v>4.3987000000000002E-3</v>
      </c>
      <c r="D664" s="1">
        <v>2.0004999999999998E-2</v>
      </c>
      <c r="E664" s="1">
        <v>2.9530000000000001E-2</v>
      </c>
      <c r="F664" s="1">
        <v>1.9502E-6</v>
      </c>
      <c r="G664" s="1">
        <v>6.8391999999999999</v>
      </c>
      <c r="H664" s="1">
        <v>1.5089E-7</v>
      </c>
      <c r="I664" s="1">
        <f t="shared" si="90"/>
        <v>1.5089E-7</v>
      </c>
      <c r="J664" s="4">
        <f t="shared" si="91"/>
        <v>-1.3854407762877756E-8</v>
      </c>
      <c r="K664" s="4">
        <f t="shared" si="92"/>
        <v>-2.2637371908707096E-8</v>
      </c>
      <c r="L664" s="4">
        <f t="shared" si="93"/>
        <v>-8.7223813979479331E-9</v>
      </c>
      <c r="M664" s="4">
        <f t="shared" si="95"/>
        <v>-9.542405172212001E-9</v>
      </c>
      <c r="N664" s="5">
        <f t="shared" si="96"/>
        <v>3.6476902721776658E-8</v>
      </c>
      <c r="O664" s="5">
        <f t="shared" si="97"/>
        <v>1.1616503081394682E-6</v>
      </c>
      <c r="P664" s="5">
        <f t="shared" si="98"/>
        <v>6.018727891387552E-7</v>
      </c>
      <c r="Q664" s="1">
        <f t="shared" si="94"/>
        <v>1.8000000000000001E-6</v>
      </c>
    </row>
    <row r="665" spans="1:17" x14ac:dyDescent="0.25">
      <c r="A665" s="1">
        <v>33.15</v>
      </c>
      <c r="B665" s="1">
        <v>2.5566999999999999E-2</v>
      </c>
      <c r="C665" s="1">
        <v>4.3946999999999996E-3</v>
      </c>
      <c r="D665" s="1">
        <v>2.0032000000000001E-2</v>
      </c>
      <c r="E665" s="1">
        <v>2.947E-2</v>
      </c>
      <c r="F665" s="1">
        <v>1.9499000000000002E-6</v>
      </c>
      <c r="G665" s="1">
        <v>6.8388999999999998</v>
      </c>
      <c r="H665" s="1">
        <v>1.5099E-7</v>
      </c>
      <c r="I665" s="1">
        <f t="shared" si="90"/>
        <v>1.5099E-7</v>
      </c>
      <c r="J665" s="4">
        <f t="shared" si="91"/>
        <v>-1.3873187604274695E-8</v>
      </c>
      <c r="K665" s="4">
        <f t="shared" si="92"/>
        <v>-2.2652181008718343E-8</v>
      </c>
      <c r="L665" s="4">
        <f t="shared" si="93"/>
        <v>-8.7178351159371444E-9</v>
      </c>
      <c r="M665" s="4">
        <f t="shared" si="95"/>
        <v>-9.5357414410798692E-9</v>
      </c>
      <c r="N665" s="5">
        <f t="shared" si="96"/>
        <v>3.6538061010283168E-8</v>
      </c>
      <c r="O665" s="5">
        <f t="shared" si="97"/>
        <v>1.1624070561761043E-6</v>
      </c>
      <c r="P665" s="5">
        <f t="shared" si="98"/>
        <v>6.0105488281361249E-7</v>
      </c>
      <c r="Q665" s="1">
        <f t="shared" si="94"/>
        <v>1.7999999999999999E-6</v>
      </c>
    </row>
    <row r="666" spans="1:17" x14ac:dyDescent="0.25">
      <c r="A666" s="1">
        <v>33.200000000000003</v>
      </c>
      <c r="B666" s="1">
        <v>2.5517000000000001E-2</v>
      </c>
      <c r="C666" s="1">
        <v>4.3907E-3</v>
      </c>
      <c r="D666" s="1">
        <v>2.0059E-2</v>
      </c>
      <c r="E666" s="1">
        <v>2.9411E-2</v>
      </c>
      <c r="F666" s="1">
        <v>1.9495999999999999E-6</v>
      </c>
      <c r="G666" s="1">
        <v>6.8384999999999998</v>
      </c>
      <c r="H666" s="1">
        <v>1.511E-7</v>
      </c>
      <c r="I666" s="1">
        <f t="shared" si="90"/>
        <v>1.511E-7</v>
      </c>
      <c r="J666" s="4">
        <f t="shared" si="91"/>
        <v>-1.3892172751320019E-8</v>
      </c>
      <c r="K666" s="4">
        <f t="shared" si="92"/>
        <v>-2.2666937595435968E-8</v>
      </c>
      <c r="L666" s="4">
        <f t="shared" si="93"/>
        <v>-8.7133682423345511E-9</v>
      </c>
      <c r="M666" s="4">
        <f t="shared" si="95"/>
        <v>-9.5290940593836856E-9</v>
      </c>
      <c r="N666" s="5">
        <f t="shared" si="96"/>
        <v>3.6599457612064571E-8</v>
      </c>
      <c r="O666" s="5">
        <f t="shared" si="97"/>
        <v>1.1631613853913721E-6</v>
      </c>
      <c r="P666" s="5">
        <f t="shared" si="98"/>
        <v>6.0023915699656332E-7</v>
      </c>
      <c r="Q666" s="1">
        <f t="shared" si="94"/>
        <v>1.8000000000000001E-6</v>
      </c>
    </row>
    <row r="667" spans="1:17" x14ac:dyDescent="0.25">
      <c r="A667" s="1">
        <v>33.25</v>
      </c>
      <c r="B667" s="1">
        <v>2.5467E-2</v>
      </c>
      <c r="C667" s="1">
        <v>4.3866E-3</v>
      </c>
      <c r="D667" s="1">
        <v>2.0086E-2</v>
      </c>
      <c r="E667" s="1">
        <v>2.9350999999999999E-2</v>
      </c>
      <c r="F667" s="1">
        <v>1.9493000000000001E-6</v>
      </c>
      <c r="G667" s="1">
        <v>6.8381999999999996</v>
      </c>
      <c r="H667" s="1">
        <v>1.512E-7</v>
      </c>
      <c r="I667" s="1">
        <f t="shared" si="90"/>
        <v>1.512E-7</v>
      </c>
      <c r="J667" s="4">
        <f t="shared" si="91"/>
        <v>-1.39112348271906E-8</v>
      </c>
      <c r="K667" s="4">
        <f t="shared" si="92"/>
        <v>-2.2681647015130471E-8</v>
      </c>
      <c r="L667" s="4">
        <f t="shared" si="93"/>
        <v>-8.7091957793156887E-9</v>
      </c>
      <c r="M667" s="4">
        <f t="shared" si="95"/>
        <v>-9.5230943453284344E-9</v>
      </c>
      <c r="N667" s="5">
        <f t="shared" si="96"/>
        <v>3.6660674020688755E-8</v>
      </c>
      <c r="O667" s="5">
        <f t="shared" si="97"/>
        <v>1.1639140675487608E-6</v>
      </c>
      <c r="P667" s="5">
        <f t="shared" si="98"/>
        <v>5.9942525843055052E-7</v>
      </c>
      <c r="Q667" s="1">
        <f t="shared" si="94"/>
        <v>1.8000000000000001E-6</v>
      </c>
    </row>
    <row r="668" spans="1:17" x14ac:dyDescent="0.25">
      <c r="A668" s="1">
        <v>33.299999999999997</v>
      </c>
      <c r="B668" s="1">
        <v>2.5416999999999999E-2</v>
      </c>
      <c r="C668" s="1">
        <v>4.3826000000000004E-3</v>
      </c>
      <c r="D668" s="1">
        <v>2.0112999999999999E-2</v>
      </c>
      <c r="E668" s="1">
        <v>2.9291000000000001E-2</v>
      </c>
      <c r="F668" s="1">
        <v>1.9489000000000001E-6</v>
      </c>
      <c r="G668" s="1">
        <v>6.8379000000000003</v>
      </c>
      <c r="H668" s="1">
        <v>1.5131E-7</v>
      </c>
      <c r="I668" s="1">
        <f t="shared" si="90"/>
        <v>1.5131E-7</v>
      </c>
      <c r="J668" s="4">
        <f t="shared" si="91"/>
        <v>-1.3930214728731485E-8</v>
      </c>
      <c r="K668" s="4">
        <f t="shared" si="92"/>
        <v>-2.2696324317199546E-8</v>
      </c>
      <c r="L668" s="4">
        <f t="shared" si="93"/>
        <v>-8.7046262242212123E-9</v>
      </c>
      <c r="M668" s="4">
        <f t="shared" si="95"/>
        <v>-9.5164754028428791E-9</v>
      </c>
      <c r="N668" s="5">
        <f t="shared" si="96"/>
        <v>3.6722157384935602E-8</v>
      </c>
      <c r="O668" s="5">
        <f t="shared" si="97"/>
        <v>1.1646644333631358E-6</v>
      </c>
      <c r="P668" s="5">
        <f t="shared" si="98"/>
        <v>5.986134092519289E-7</v>
      </c>
      <c r="Q668" s="1">
        <f t="shared" si="94"/>
        <v>1.8000000000000003E-6</v>
      </c>
    </row>
    <row r="669" spans="1:17" x14ac:dyDescent="0.25">
      <c r="A669" s="1">
        <v>33.35</v>
      </c>
      <c r="B669" s="1">
        <v>2.5367000000000001E-2</v>
      </c>
      <c r="C669" s="1">
        <v>4.3784999999999996E-3</v>
      </c>
      <c r="D669" s="1">
        <v>2.0140000000000002E-2</v>
      </c>
      <c r="E669" s="1">
        <v>2.9232000000000001E-2</v>
      </c>
      <c r="F669" s="1">
        <v>1.9485999999999999E-6</v>
      </c>
      <c r="G669" s="1">
        <v>6.8376000000000001</v>
      </c>
      <c r="H669" s="1">
        <v>1.5141E-7</v>
      </c>
      <c r="I669" s="1">
        <f t="shared" si="90"/>
        <v>1.5141E-7</v>
      </c>
      <c r="J669" s="4">
        <f t="shared" si="91"/>
        <v>-1.3947850983485859E-8</v>
      </c>
      <c r="K669" s="4">
        <f t="shared" si="92"/>
        <v>-2.2710956450583087E-8</v>
      </c>
      <c r="L669" s="4">
        <f t="shared" si="93"/>
        <v>-8.6996151064843249E-9</v>
      </c>
      <c r="M669" s="4">
        <f t="shared" si="95"/>
        <v>-9.5105004701612936E-9</v>
      </c>
      <c r="N669" s="5">
        <f t="shared" si="96"/>
        <v>3.6785647745548513E-8</v>
      </c>
      <c r="O669" s="5">
        <f t="shared" si="97"/>
        <v>1.1654118283661999E-6</v>
      </c>
      <c r="P669" s="5">
        <f t="shared" si="98"/>
        <v>5.9780252388825197E-7</v>
      </c>
      <c r="Q669" s="1">
        <f t="shared" si="94"/>
        <v>1.8000000000000006E-6</v>
      </c>
    </row>
    <row r="670" spans="1:17" x14ac:dyDescent="0.25">
      <c r="A670" s="1">
        <v>33.4</v>
      </c>
      <c r="B670" s="1">
        <v>2.5318E-2</v>
      </c>
      <c r="C670" s="1">
        <v>4.3743999999999996E-3</v>
      </c>
      <c r="D670" s="1">
        <v>2.0167000000000001E-2</v>
      </c>
      <c r="E670" s="1">
        <v>2.9173000000000001E-2</v>
      </c>
      <c r="F670" s="1">
        <v>1.9481999999999998E-6</v>
      </c>
      <c r="G670" s="1">
        <v>6.8372000000000002</v>
      </c>
      <c r="H670" s="1">
        <v>1.5151000000000001E-7</v>
      </c>
      <c r="I670" s="1">
        <f t="shared" si="90"/>
        <v>1.5151000000000001E-7</v>
      </c>
      <c r="J670" s="4">
        <f t="shared" si="91"/>
        <v>-1.3967664801561916E-8</v>
      </c>
      <c r="K670" s="4">
        <f t="shared" si="92"/>
        <v>-2.2725530653139608E-8</v>
      </c>
      <c r="L670" s="4">
        <f t="shared" si="93"/>
        <v>-8.6957637613615959E-9</v>
      </c>
      <c r="M670" s="4">
        <f t="shared" si="95"/>
        <v>-9.5038944149010844E-9</v>
      </c>
      <c r="N670" s="5">
        <f t="shared" si="96"/>
        <v>3.6847749835764613E-8</v>
      </c>
      <c r="O670" s="5">
        <f t="shared" si="97"/>
        <v>1.1661578569295233E-6</v>
      </c>
      <c r="P670" s="5">
        <f t="shared" si="98"/>
        <v>5.9699439323471246E-7</v>
      </c>
      <c r="Q670" s="1">
        <f t="shared" si="94"/>
        <v>1.8000000000000003E-6</v>
      </c>
    </row>
    <row r="671" spans="1:17" x14ac:dyDescent="0.25">
      <c r="A671" s="1">
        <v>33.450000000000003</v>
      </c>
      <c r="B671" s="1">
        <v>2.5267999999999999E-2</v>
      </c>
      <c r="C671" s="1">
        <v>4.3702000000000003E-3</v>
      </c>
      <c r="D671" s="1">
        <v>2.0194E-2</v>
      </c>
      <c r="E671" s="1">
        <v>2.9113E-2</v>
      </c>
      <c r="F671" s="1">
        <v>1.9477999999999998E-6</v>
      </c>
      <c r="G671" s="1">
        <v>6.8369</v>
      </c>
      <c r="H671" s="1">
        <v>1.5162E-7</v>
      </c>
      <c r="I671" s="1">
        <f t="shared" si="90"/>
        <v>1.5162E-7</v>
      </c>
      <c r="J671" s="4">
        <f t="shared" si="91"/>
        <v>-1.3985501693336926E-8</v>
      </c>
      <c r="K671" s="4">
        <f t="shared" si="92"/>
        <v>-2.2740078210127644E-8</v>
      </c>
      <c r="L671" s="4">
        <f t="shared" si="93"/>
        <v>-8.6910790459595017E-9</v>
      </c>
      <c r="M671" s="4">
        <f t="shared" si="95"/>
        <v>-9.4973151544948938E-9</v>
      </c>
      <c r="N671" s="5">
        <f t="shared" si="96"/>
        <v>3.6911247306595826E-8</v>
      </c>
      <c r="O671" s="5">
        <f t="shared" si="97"/>
        <v>1.1669005955672276E-6</v>
      </c>
      <c r="P671" s="5">
        <f t="shared" si="98"/>
        <v>5.9618815712617713E-7</v>
      </c>
      <c r="Q671" s="1">
        <f t="shared" si="94"/>
        <v>1.8000000000000006E-6</v>
      </c>
    </row>
    <row r="672" spans="1:17" x14ac:dyDescent="0.25">
      <c r="A672" s="1">
        <v>33.5</v>
      </c>
      <c r="B672" s="1">
        <v>2.5218000000000001E-2</v>
      </c>
      <c r="C672" s="1">
        <v>4.3661000000000004E-3</v>
      </c>
      <c r="D672" s="1">
        <v>2.0220999999999999E-2</v>
      </c>
      <c r="E672" s="1">
        <v>2.9054E-2</v>
      </c>
      <c r="F672" s="1">
        <v>1.9474000000000002E-6</v>
      </c>
      <c r="G672" s="1">
        <v>6.8365999999999998</v>
      </c>
      <c r="H672" s="1">
        <v>1.5172000000000001E-7</v>
      </c>
      <c r="I672" s="1">
        <f t="shared" si="90"/>
        <v>1.5172000000000001E-7</v>
      </c>
      <c r="J672" s="4">
        <f t="shared" si="91"/>
        <v>-1.40038498031869E-8</v>
      </c>
      <c r="K672" s="4">
        <f t="shared" si="92"/>
        <v>-2.2754561613559644E-8</v>
      </c>
      <c r="L672" s="4">
        <f t="shared" si="93"/>
        <v>-8.6863663064932141E-9</v>
      </c>
      <c r="M672" s="4">
        <f t="shared" si="95"/>
        <v>-9.4913750802639132E-9</v>
      </c>
      <c r="N672" s="5">
        <f t="shared" si="96"/>
        <v>3.6975592810475351E-8</v>
      </c>
      <c r="O672" s="5">
        <f t="shared" si="97"/>
        <v>1.1676412588371186E-6</v>
      </c>
      <c r="P672" s="5">
        <f t="shared" si="98"/>
        <v>5.9538314835240638E-7</v>
      </c>
      <c r="Q672" s="1">
        <f t="shared" si="94"/>
        <v>1.8000000000000006E-6</v>
      </c>
    </row>
    <row r="673" spans="1:17" x14ac:dyDescent="0.25">
      <c r="A673" s="1">
        <v>33.549999999999997</v>
      </c>
      <c r="B673" s="1">
        <v>2.5169E-2</v>
      </c>
      <c r="C673" s="1">
        <v>4.3619000000000002E-3</v>
      </c>
      <c r="D673" s="1">
        <v>2.0247999999999999E-2</v>
      </c>
      <c r="E673" s="1">
        <v>2.8995E-2</v>
      </c>
      <c r="F673" s="1">
        <v>1.9470000000000002E-6</v>
      </c>
      <c r="G673" s="1">
        <v>6.8362999999999996</v>
      </c>
      <c r="H673" s="1">
        <v>1.5181999999999999E-7</v>
      </c>
      <c r="I673" s="1">
        <f t="shared" si="90"/>
        <v>1.5181999999999999E-7</v>
      </c>
      <c r="J673" s="4">
        <f t="shared" si="91"/>
        <v>-1.4022500910573376E-8</v>
      </c>
      <c r="K673" s="4">
        <f t="shared" si="92"/>
        <v>-2.276900454732252E-8</v>
      </c>
      <c r="L673" s="4">
        <f t="shared" si="93"/>
        <v>-8.6820911319788708E-9</v>
      </c>
      <c r="M673" s="4">
        <f t="shared" si="95"/>
        <v>-9.4848107831423067E-9</v>
      </c>
      <c r="N673" s="5">
        <f t="shared" si="96"/>
        <v>3.7040005315245623E-8</v>
      </c>
      <c r="O673" s="5">
        <f t="shared" si="97"/>
        <v>1.168379565983512E-6</v>
      </c>
      <c r="P673" s="5">
        <f t="shared" si="98"/>
        <v>5.9458042870124295E-7</v>
      </c>
      <c r="Q673" s="1">
        <f t="shared" si="94"/>
        <v>1.8000000000000006E-6</v>
      </c>
    </row>
    <row r="674" spans="1:17" x14ac:dyDescent="0.25">
      <c r="A674" s="1">
        <v>33.6</v>
      </c>
      <c r="B674" s="1">
        <v>2.5118999999999999E-2</v>
      </c>
      <c r="C674" s="1">
        <v>4.3576999999999999E-3</v>
      </c>
      <c r="D674" s="1">
        <v>2.0274E-2</v>
      </c>
      <c r="E674" s="1">
        <v>2.8936E-2</v>
      </c>
      <c r="F674" s="1">
        <v>1.9466000000000001E-6</v>
      </c>
      <c r="G674" s="1">
        <v>6.8358999999999996</v>
      </c>
      <c r="H674" s="1">
        <v>1.5193000000000001E-7</v>
      </c>
      <c r="I674" s="1">
        <f t="shared" si="90"/>
        <v>1.5193000000000001E-7</v>
      </c>
      <c r="J674" s="4">
        <f t="shared" si="91"/>
        <v>-1.4041158550909293E-8</v>
      </c>
      <c r="K674" s="4">
        <f t="shared" si="92"/>
        <v>-2.2783401536680424E-8</v>
      </c>
      <c r="L674" s="4">
        <f t="shared" si="93"/>
        <v>-8.6777713280020654E-9</v>
      </c>
      <c r="M674" s="4">
        <f t="shared" si="95"/>
        <v>-9.4782660719701935E-9</v>
      </c>
      <c r="N674" s="5">
        <f t="shared" si="96"/>
        <v>3.7104476973014691E-8</v>
      </c>
      <c r="O674" s="5">
        <f t="shared" si="97"/>
        <v>1.1691155890697113E-6</v>
      </c>
      <c r="P674" s="5">
        <f t="shared" si="98"/>
        <v>5.937799339572748E-7</v>
      </c>
      <c r="Q674" s="1">
        <f t="shared" si="94"/>
        <v>1.8000000000000008E-6</v>
      </c>
    </row>
    <row r="675" spans="1:17" x14ac:dyDescent="0.25">
      <c r="A675" s="1">
        <v>33.65</v>
      </c>
      <c r="B675" s="1">
        <v>2.5069999999999999E-2</v>
      </c>
      <c r="C675" s="1">
        <v>4.3534999999999997E-3</v>
      </c>
      <c r="D675" s="1">
        <v>2.0301E-2</v>
      </c>
      <c r="E675" s="1">
        <v>2.8877E-2</v>
      </c>
      <c r="F675" s="1">
        <v>1.9462000000000001E-6</v>
      </c>
      <c r="G675" s="1">
        <v>6.8356000000000003</v>
      </c>
      <c r="H675" s="1">
        <v>1.5202999999999999E-7</v>
      </c>
      <c r="I675" s="1">
        <f t="shared" si="90"/>
        <v>1.5202999999999999E-7</v>
      </c>
      <c r="J675" s="4">
        <f t="shared" si="91"/>
        <v>-1.40598197252972E-8</v>
      </c>
      <c r="K675" s="4">
        <f t="shared" si="92"/>
        <v>-2.2797753986858076E-8</v>
      </c>
      <c r="L675" s="4">
        <f t="shared" si="93"/>
        <v>-8.6734049923994602E-9</v>
      </c>
      <c r="M675" s="4">
        <f t="shared" si="95"/>
        <v>-9.4723634634429816E-9</v>
      </c>
      <c r="N675" s="5">
        <f t="shared" si="96"/>
        <v>3.7169006242176105E-8</v>
      </c>
      <c r="O675" s="5">
        <f t="shared" si="97"/>
        <v>1.1698500182715935E-6</v>
      </c>
      <c r="P675" s="5">
        <f t="shared" si="98"/>
        <v>5.9298097548623132E-7</v>
      </c>
      <c r="Q675" s="1">
        <f t="shared" si="94"/>
        <v>1.800000000000001E-6</v>
      </c>
    </row>
    <row r="676" spans="1:17" x14ac:dyDescent="0.25">
      <c r="A676" s="1">
        <v>33.700000000000003</v>
      </c>
      <c r="B676" s="1">
        <v>2.5021000000000002E-2</v>
      </c>
      <c r="C676" s="1">
        <v>4.3493000000000004E-3</v>
      </c>
      <c r="D676" s="1">
        <v>2.0327999999999999E-2</v>
      </c>
      <c r="E676" s="1">
        <v>2.8818E-2</v>
      </c>
      <c r="F676" s="1">
        <v>1.9456999999999999E-6</v>
      </c>
      <c r="G676" s="1">
        <v>6.8353000000000002</v>
      </c>
      <c r="H676" s="1">
        <v>1.5213E-7</v>
      </c>
      <c r="I676" s="1">
        <f t="shared" si="90"/>
        <v>1.5213E-7</v>
      </c>
      <c r="J676" s="4">
        <f t="shared" si="91"/>
        <v>-1.4078483828382774E-8</v>
      </c>
      <c r="K676" s="4">
        <f t="shared" si="92"/>
        <v>-2.281207535629802E-8</v>
      </c>
      <c r="L676" s="4">
        <f t="shared" si="93"/>
        <v>-8.6689917103877759E-9</v>
      </c>
      <c r="M676" s="4">
        <f t="shared" si="95"/>
        <v>-9.46584425883384E-9</v>
      </c>
      <c r="N676" s="5">
        <f t="shared" si="96"/>
        <v>3.7233606059703575E-8</v>
      </c>
      <c r="O676" s="5">
        <f t="shared" si="97"/>
        <v>1.1705822710025121E-6</v>
      </c>
      <c r="P676" s="5">
        <f t="shared" si="98"/>
        <v>5.9218412293778524E-7</v>
      </c>
      <c r="Q676" s="1">
        <f t="shared" si="94"/>
        <v>1.800000000000001E-6</v>
      </c>
    </row>
    <row r="677" spans="1:17" x14ac:dyDescent="0.25">
      <c r="A677" s="1">
        <v>33.75</v>
      </c>
      <c r="B677" s="1">
        <v>2.4972000000000001E-2</v>
      </c>
      <c r="C677" s="1">
        <v>4.3449999999999999E-3</v>
      </c>
      <c r="D677" s="1">
        <v>2.0355000000000002E-2</v>
      </c>
      <c r="E677" s="1">
        <v>2.8759E-2</v>
      </c>
      <c r="F677" s="1">
        <v>1.9452999999999998E-6</v>
      </c>
      <c r="G677" s="1">
        <v>6.835</v>
      </c>
      <c r="H677" s="1">
        <v>1.5223000000000001E-7</v>
      </c>
      <c r="I677" s="1">
        <f t="shared" si="90"/>
        <v>1.5223000000000001E-7</v>
      </c>
      <c r="J677" s="4">
        <f t="shared" si="91"/>
        <v>-1.4095706791776961E-8</v>
      </c>
      <c r="K677" s="4">
        <f t="shared" si="92"/>
        <v>-2.2826354284547688E-8</v>
      </c>
      <c r="L677" s="4">
        <f t="shared" si="93"/>
        <v>-8.6640891455544453E-9</v>
      </c>
      <c r="M677" s="4">
        <f t="shared" si="95"/>
        <v>-9.4593419153646172E-9</v>
      </c>
      <c r="N677" s="5">
        <f t="shared" si="96"/>
        <v>3.7300164406919865E-8</v>
      </c>
      <c r="O677" s="5">
        <f t="shared" si="97"/>
        <v>1.1713109654251061E-6</v>
      </c>
      <c r="P677" s="5">
        <f t="shared" si="98"/>
        <v>5.9138887016797503E-7</v>
      </c>
      <c r="Q677" s="1">
        <f t="shared" si="94"/>
        <v>1.800000000000001E-6</v>
      </c>
    </row>
    <row r="678" spans="1:17" x14ac:dyDescent="0.25">
      <c r="A678" s="1">
        <v>33.799999999999997</v>
      </c>
      <c r="B678" s="1">
        <v>2.4922E-2</v>
      </c>
      <c r="C678" s="1">
        <v>4.3407999999999997E-3</v>
      </c>
      <c r="D678" s="1">
        <v>2.0381E-2</v>
      </c>
      <c r="E678" s="1">
        <v>2.87E-2</v>
      </c>
      <c r="F678" s="1">
        <v>1.9448E-6</v>
      </c>
      <c r="G678" s="1">
        <v>6.8346</v>
      </c>
      <c r="H678" s="1">
        <v>1.5234E-7</v>
      </c>
      <c r="I678" s="1">
        <f t="shared" si="90"/>
        <v>1.5234E-7</v>
      </c>
      <c r="J678" s="4">
        <f t="shared" si="91"/>
        <v>-1.4115098710435763E-8</v>
      </c>
      <c r="K678" s="4">
        <f t="shared" si="92"/>
        <v>-2.2840563825788271E-8</v>
      </c>
      <c r="L678" s="4">
        <f t="shared" si="93"/>
        <v>-8.6600262881082708E-9</v>
      </c>
      <c r="M678" s="4">
        <f t="shared" si="95"/>
        <v>-9.4528484090949005E-9</v>
      </c>
      <c r="N678" s="5">
        <f t="shared" si="96"/>
        <v>3.7365603234164099E-8</v>
      </c>
      <c r="O678" s="5">
        <f t="shared" si="97"/>
        <v>1.1720383487188484E-6</v>
      </c>
      <c r="P678" s="5">
        <f t="shared" si="98"/>
        <v>5.9059604804698838E-7</v>
      </c>
      <c r="Q678" s="1">
        <f t="shared" si="94"/>
        <v>1.800000000000001E-6</v>
      </c>
    </row>
    <row r="679" spans="1:17" x14ac:dyDescent="0.25">
      <c r="A679" s="1">
        <v>33.85</v>
      </c>
      <c r="B679" s="1">
        <v>2.4872999999999999E-2</v>
      </c>
      <c r="C679" s="1">
        <v>4.3365000000000001E-3</v>
      </c>
      <c r="D679" s="1">
        <v>2.0407999999999999E-2</v>
      </c>
      <c r="E679" s="1">
        <v>2.8641E-2</v>
      </c>
      <c r="F679" s="1">
        <v>1.9443000000000002E-6</v>
      </c>
      <c r="G679" s="1">
        <v>6.8342999999999998</v>
      </c>
      <c r="H679" s="1">
        <v>1.5244000000000001E-7</v>
      </c>
      <c r="I679" s="1">
        <f t="shared" si="90"/>
        <v>1.5244000000000001E-7</v>
      </c>
      <c r="J679" s="4">
        <f t="shared" si="91"/>
        <v>-1.4132594223024363E-8</v>
      </c>
      <c r="K679" s="4">
        <f t="shared" si="92"/>
        <v>-2.2854747800019493E-8</v>
      </c>
      <c r="L679" s="4">
        <f t="shared" si="93"/>
        <v>-8.6551966008500441E-9</v>
      </c>
      <c r="M679" s="4">
        <f t="shared" si="95"/>
        <v>-9.4469972057460177E-9</v>
      </c>
      <c r="N679" s="5">
        <f t="shared" si="96"/>
        <v>3.7432560210309182E-8</v>
      </c>
      <c r="O679" s="5">
        <f t="shared" si="97"/>
        <v>1.1727631923475991E-6</v>
      </c>
      <c r="P679" s="5">
        <f t="shared" si="98"/>
        <v>5.8980424744209244E-7</v>
      </c>
      <c r="Q679" s="1">
        <f t="shared" si="94"/>
        <v>1.8000000000000008E-6</v>
      </c>
    </row>
    <row r="680" spans="1:17" x14ac:dyDescent="0.25">
      <c r="A680" s="1">
        <v>33.9</v>
      </c>
      <c r="B680" s="1">
        <v>2.4823999999999999E-2</v>
      </c>
      <c r="C680" s="1">
        <v>4.3321999999999996E-3</v>
      </c>
      <c r="D680" s="1">
        <v>2.0434999999999998E-2</v>
      </c>
      <c r="E680" s="1">
        <v>2.8583000000000001E-2</v>
      </c>
      <c r="F680" s="1">
        <v>1.9437999999999999E-6</v>
      </c>
      <c r="G680" s="1">
        <v>6.8339999999999996</v>
      </c>
      <c r="H680" s="1">
        <v>1.5253999999999999E-7</v>
      </c>
      <c r="I680" s="1">
        <f t="shared" si="90"/>
        <v>1.5253999999999999E-7</v>
      </c>
      <c r="J680" s="4">
        <f t="shared" si="91"/>
        <v>-1.4150640057009872E-8</v>
      </c>
      <c r="K680" s="4">
        <f t="shared" si="92"/>
        <v>-2.2868882250776882E-8</v>
      </c>
      <c r="L680" s="4">
        <f t="shared" si="93"/>
        <v>-8.650656790475757E-9</v>
      </c>
      <c r="M680" s="4">
        <f t="shared" si="95"/>
        <v>-9.4405247454070845E-9</v>
      </c>
      <c r="N680" s="5">
        <f t="shared" si="96"/>
        <v>3.7500145613600436E-8</v>
      </c>
      <c r="O680" s="5">
        <f t="shared" si="97"/>
        <v>1.1734854748992393E-6</v>
      </c>
      <c r="P680" s="5">
        <f t="shared" si="98"/>
        <v>5.8901437948716111E-7</v>
      </c>
      <c r="Q680" s="1">
        <f t="shared" si="94"/>
        <v>1.800000000000001E-6</v>
      </c>
    </row>
    <row r="681" spans="1:17" x14ac:dyDescent="0.25">
      <c r="A681" s="1">
        <v>33.950000000000003</v>
      </c>
      <c r="B681" s="1">
        <v>2.4774999999999998E-2</v>
      </c>
      <c r="C681" s="1">
        <v>4.3279E-3</v>
      </c>
      <c r="D681" s="1">
        <v>2.0461E-2</v>
      </c>
      <c r="E681" s="1">
        <v>2.8524000000000001E-2</v>
      </c>
      <c r="F681" s="1">
        <v>1.9433000000000001E-6</v>
      </c>
      <c r="G681" s="1">
        <v>6.8337000000000003</v>
      </c>
      <c r="H681" s="1">
        <v>1.5264E-7</v>
      </c>
      <c r="I681" s="1">
        <f t="shared" si="90"/>
        <v>1.5264E-7</v>
      </c>
      <c r="J681" s="4">
        <f t="shared" si="91"/>
        <v>-1.4168899168038827E-8</v>
      </c>
      <c r="K681" s="4">
        <f t="shared" si="92"/>
        <v>-2.2882966760537115E-8</v>
      </c>
      <c r="L681" s="4">
        <f t="shared" si="93"/>
        <v>-8.6465018336157181E-9</v>
      </c>
      <c r="M681" s="4">
        <f t="shared" si="95"/>
        <v>-9.4340666119328182E-9</v>
      </c>
      <c r="N681" s="5">
        <f t="shared" si="96"/>
        <v>3.756771137248301E-8</v>
      </c>
      <c r="O681" s="5">
        <f t="shared" si="97"/>
        <v>1.1742054739186737E-6</v>
      </c>
      <c r="P681" s="5">
        <f t="shared" si="98"/>
        <v>5.8822681470884408E-7</v>
      </c>
      <c r="Q681" s="1">
        <f t="shared" si="94"/>
        <v>1.800000000000001E-6</v>
      </c>
    </row>
    <row r="682" spans="1:17" x14ac:dyDescent="0.25">
      <c r="A682" s="1">
        <v>34</v>
      </c>
      <c r="B682" s="1">
        <v>2.4726999999999999E-2</v>
      </c>
      <c r="C682" s="1">
        <v>4.3235000000000001E-3</v>
      </c>
      <c r="D682" s="1">
        <v>2.0487999999999999E-2</v>
      </c>
      <c r="E682" s="1">
        <v>2.8466000000000002E-2</v>
      </c>
      <c r="F682" s="1">
        <v>1.9427999999999998E-6</v>
      </c>
      <c r="G682" s="1">
        <v>6.8334000000000001</v>
      </c>
      <c r="H682" s="1">
        <v>1.5274E-7</v>
      </c>
      <c r="I682" s="1">
        <f t="shared" si="90"/>
        <v>1.5274E-7</v>
      </c>
      <c r="J682" s="4">
        <f t="shared" si="91"/>
        <v>-1.418712646102591E-8</v>
      </c>
      <c r="K682" s="4">
        <f t="shared" si="92"/>
        <v>-2.2897006741412837E-8</v>
      </c>
      <c r="L682" s="4">
        <f t="shared" si="93"/>
        <v>-8.6419771521296649E-9</v>
      </c>
      <c r="M682" s="4">
        <f t="shared" si="95"/>
        <v>-9.4276288047010486E-9</v>
      </c>
      <c r="N682" s="5">
        <f t="shared" si="96"/>
        <v>3.7635614500740272E-8</v>
      </c>
      <c r="O682" s="5">
        <f t="shared" si="97"/>
        <v>1.174923222442988E-6</v>
      </c>
      <c r="P682" s="5">
        <f t="shared" si="98"/>
        <v>5.8744116305627275E-7</v>
      </c>
      <c r="Q682" s="1">
        <f t="shared" si="94"/>
        <v>1.800000000000001E-6</v>
      </c>
    </row>
    <row r="683" spans="1:17" x14ac:dyDescent="0.25">
      <c r="A683" s="1">
        <v>34.049999999999997</v>
      </c>
      <c r="B683" s="1">
        <v>2.4677999999999999E-2</v>
      </c>
      <c r="C683" s="1">
        <v>4.3191999999999996E-3</v>
      </c>
      <c r="D683" s="1">
        <v>2.0514999999999999E-2</v>
      </c>
      <c r="E683" s="1">
        <v>2.8407000000000002E-2</v>
      </c>
      <c r="F683" s="1">
        <v>1.9421999999999998E-6</v>
      </c>
      <c r="G683" s="1">
        <v>6.8331</v>
      </c>
      <c r="H683" s="1">
        <v>1.5285E-7</v>
      </c>
      <c r="I683" s="1">
        <f t="shared" si="90"/>
        <v>1.5285E-7</v>
      </c>
      <c r="J683" s="4">
        <f t="shared" si="91"/>
        <v>-1.4205456711413171E-8</v>
      </c>
      <c r="K683" s="4">
        <f t="shared" si="92"/>
        <v>-2.2911002837636966E-8</v>
      </c>
      <c r="L683" s="4">
        <f t="shared" si="93"/>
        <v>-8.6377702419210044E-9</v>
      </c>
      <c r="M683" s="4">
        <f t="shared" si="95"/>
        <v>-9.4212051407470506E-9</v>
      </c>
      <c r="N683" s="5">
        <f t="shared" si="96"/>
        <v>3.7703390385043061E-8</v>
      </c>
      <c r="O683" s="5">
        <f t="shared" si="97"/>
        <v>1.1756388814575112E-6</v>
      </c>
      <c r="P683" s="5">
        <f t="shared" si="98"/>
        <v>5.866577281574467E-7</v>
      </c>
      <c r="Q683" s="1">
        <f t="shared" si="94"/>
        <v>1.800000000000001E-6</v>
      </c>
    </row>
    <row r="684" spans="1:17" x14ac:dyDescent="0.25">
      <c r="A684" s="1">
        <v>34.1</v>
      </c>
      <c r="B684" s="1">
        <v>2.4629000000000002E-2</v>
      </c>
      <c r="C684" s="1">
        <v>4.3147999999999997E-3</v>
      </c>
      <c r="D684" s="1">
        <v>2.0541E-2</v>
      </c>
      <c r="E684" s="1">
        <v>2.8348999999999999E-2</v>
      </c>
      <c r="F684" s="1">
        <v>1.9417E-6</v>
      </c>
      <c r="G684" s="1">
        <v>6.8327</v>
      </c>
      <c r="H684" s="1">
        <v>1.5295E-7</v>
      </c>
      <c r="I684" s="1">
        <f t="shared" si="90"/>
        <v>1.5295E-7</v>
      </c>
      <c r="J684" s="4">
        <f t="shared" si="91"/>
        <v>-1.4222249867789635E-8</v>
      </c>
      <c r="K684" s="4">
        <f t="shared" si="92"/>
        <v>-2.2924958188423424E-8</v>
      </c>
      <c r="L684" s="4">
        <f t="shared" si="93"/>
        <v>-8.6327233332115445E-9</v>
      </c>
      <c r="M684" s="4">
        <f t="shared" si="95"/>
        <v>-9.4154165436317034E-9</v>
      </c>
      <c r="N684" s="5">
        <f t="shared" si="96"/>
        <v>3.7773375372465309E-8</v>
      </c>
      <c r="O684" s="5">
        <f t="shared" si="97"/>
        <v>1.1763515896805091E-6</v>
      </c>
      <c r="P684" s="5">
        <f t="shared" si="98"/>
        <v>5.858750349470266E-7</v>
      </c>
      <c r="Q684" s="1">
        <f t="shared" si="94"/>
        <v>1.800000000000001E-6</v>
      </c>
    </row>
    <row r="685" spans="1:17" x14ac:dyDescent="0.25">
      <c r="A685" s="1">
        <v>34.15</v>
      </c>
      <c r="B685" s="1">
        <v>2.4580999999999999E-2</v>
      </c>
      <c r="C685" s="1">
        <v>4.3103999999999998E-3</v>
      </c>
      <c r="D685" s="1">
        <v>2.0567999999999999E-2</v>
      </c>
      <c r="E685" s="1">
        <v>2.8291E-2</v>
      </c>
      <c r="F685" s="1">
        <v>1.9410999999999999E-6</v>
      </c>
      <c r="G685" s="1">
        <v>6.8323999999999998</v>
      </c>
      <c r="H685" s="1">
        <v>1.5305000000000001E-7</v>
      </c>
      <c r="I685" s="1">
        <f t="shared" si="90"/>
        <v>1.5305000000000001E-7</v>
      </c>
      <c r="J685" s="4">
        <f t="shared" si="91"/>
        <v>-1.4241313790081394E-8</v>
      </c>
      <c r="K685" s="4">
        <f t="shared" si="92"/>
        <v>-2.2938855998768624E-8</v>
      </c>
      <c r="L685" s="4">
        <f t="shared" si="93"/>
        <v>-8.6288668137988479E-9</v>
      </c>
      <c r="M685" s="4">
        <f t="shared" si="95"/>
        <v>-9.4090065924899765E-9</v>
      </c>
      <c r="N685" s="5">
        <f t="shared" si="96"/>
        <v>3.7842050767353688E-8</v>
      </c>
      <c r="O685" s="5">
        <f t="shared" si="97"/>
        <v>1.177063054064312E-6</v>
      </c>
      <c r="P685" s="5">
        <f t="shared" si="98"/>
        <v>5.8509489516833554E-7</v>
      </c>
      <c r="Q685" s="1">
        <f t="shared" si="94"/>
        <v>1.8000000000000014E-6</v>
      </c>
    </row>
    <row r="686" spans="1:17" x14ac:dyDescent="0.25">
      <c r="A686" s="1">
        <v>34.200000000000003</v>
      </c>
      <c r="B686" s="1">
        <v>2.4532000000000002E-2</v>
      </c>
      <c r="C686" s="1">
        <v>4.3059999999999999E-3</v>
      </c>
      <c r="D686" s="1">
        <v>2.0594000000000001E-2</v>
      </c>
      <c r="E686" s="1">
        <v>2.8232E-2</v>
      </c>
      <c r="F686" s="1">
        <v>1.9404999999999999E-6</v>
      </c>
      <c r="G686" s="1">
        <v>6.8320999999999996</v>
      </c>
      <c r="H686" s="1">
        <v>1.5314999999999999E-7</v>
      </c>
      <c r="I686" s="1">
        <f t="shared" si="90"/>
        <v>1.5314999999999999E-7</v>
      </c>
      <c r="J686" s="4">
        <f t="shared" si="91"/>
        <v>-1.4258389792958097E-8</v>
      </c>
      <c r="K686" s="4">
        <f t="shared" si="92"/>
        <v>-2.2952729554256042E-8</v>
      </c>
      <c r="L686" s="4">
        <f t="shared" si="93"/>
        <v>-8.6242029693225331E-9</v>
      </c>
      <c r="M686" s="4">
        <f t="shared" si="95"/>
        <v>-9.4026212390797459E-9</v>
      </c>
      <c r="N686" s="5">
        <f t="shared" si="96"/>
        <v>3.79121875593291E-8</v>
      </c>
      <c r="O686" s="5">
        <f t="shared" si="97"/>
        <v>1.1777713355420937E-6</v>
      </c>
      <c r="P686" s="5">
        <f t="shared" si="98"/>
        <v>5.843164768985783E-7</v>
      </c>
      <c r="Q686" s="1">
        <f t="shared" si="94"/>
        <v>1.800000000000001E-6</v>
      </c>
    </row>
    <row r="687" spans="1:17" x14ac:dyDescent="0.25">
      <c r="A687" s="1">
        <v>34.25</v>
      </c>
      <c r="B687" s="1">
        <v>2.4483999999999999E-2</v>
      </c>
      <c r="C687" s="1">
        <v>4.3014999999999998E-3</v>
      </c>
      <c r="D687" s="1">
        <v>2.0621E-2</v>
      </c>
      <c r="E687" s="1">
        <v>2.8174000000000001E-2</v>
      </c>
      <c r="F687" s="1">
        <v>1.9400000000000001E-6</v>
      </c>
      <c r="G687" s="1">
        <v>6.8318000000000003</v>
      </c>
      <c r="H687" s="1">
        <v>1.5325E-7</v>
      </c>
      <c r="I687" s="1">
        <f t="shared" si="90"/>
        <v>1.5325E-7</v>
      </c>
      <c r="J687" s="4">
        <f t="shared" si="91"/>
        <v>-1.4275986822019484E-8</v>
      </c>
      <c r="K687" s="4">
        <f t="shared" si="92"/>
        <v>-2.2966541043069523E-8</v>
      </c>
      <c r="L687" s="4">
        <f t="shared" si="93"/>
        <v>-8.6195031632615548E-9</v>
      </c>
      <c r="M687" s="4">
        <f t="shared" si="95"/>
        <v>-9.3962471858862784E-9</v>
      </c>
      <c r="N687" s="5">
        <f t="shared" si="96"/>
        <v>3.7983238617117586E-8</v>
      </c>
      <c r="O687" s="5">
        <f t="shared" si="97"/>
        <v>1.1784770285069301E-6</v>
      </c>
      <c r="P687" s="5">
        <f t="shared" si="98"/>
        <v>5.8353973287595365E-7</v>
      </c>
      <c r="Q687" s="1">
        <f t="shared" si="94"/>
        <v>1.8000000000000014E-6</v>
      </c>
    </row>
    <row r="688" spans="1:17" x14ac:dyDescent="0.25">
      <c r="A688" s="1">
        <v>34.299999999999997</v>
      </c>
      <c r="B688" s="1">
        <v>2.4434999999999998E-2</v>
      </c>
      <c r="C688" s="1">
        <v>4.2970999999999999E-3</v>
      </c>
      <c r="D688" s="1">
        <v>2.0646999999999999E-2</v>
      </c>
      <c r="E688" s="1">
        <v>2.8115999999999999E-2</v>
      </c>
      <c r="F688" s="1">
        <v>1.9392999999999998E-6</v>
      </c>
      <c r="G688" s="1">
        <v>6.8315000000000001</v>
      </c>
      <c r="H688" s="1">
        <v>1.5335000000000001E-7</v>
      </c>
      <c r="I688" s="1">
        <f t="shared" si="90"/>
        <v>1.5335000000000001E-7</v>
      </c>
      <c r="J688" s="4">
        <f t="shared" si="91"/>
        <v>-1.4295371685937562E-8</v>
      </c>
      <c r="K688" s="4">
        <f t="shared" si="92"/>
        <v>-2.2980302055883831E-8</v>
      </c>
      <c r="L688" s="4">
        <f t="shared" si="93"/>
        <v>-8.6156952463936088E-9</v>
      </c>
      <c r="M688" s="4">
        <f t="shared" si="95"/>
        <v>-9.3898837266396554E-9</v>
      </c>
      <c r="N688" s="5">
        <f t="shared" si="96"/>
        <v>3.805247374067025E-8</v>
      </c>
      <c r="O688" s="5">
        <f t="shared" si="97"/>
        <v>1.1791819818636234E-6</v>
      </c>
      <c r="P688" s="5">
        <f t="shared" si="98"/>
        <v>5.8276554439570765E-7</v>
      </c>
      <c r="Q688" s="1">
        <f t="shared" si="94"/>
        <v>1.8000000000000014E-6</v>
      </c>
    </row>
    <row r="689" spans="1:17" x14ac:dyDescent="0.25">
      <c r="A689" s="1">
        <v>34.35</v>
      </c>
      <c r="B689" s="1">
        <v>2.4386999999999999E-2</v>
      </c>
      <c r="C689" s="1">
        <v>4.2925999999999997E-3</v>
      </c>
      <c r="D689" s="1">
        <v>2.0673E-2</v>
      </c>
      <c r="E689" s="1">
        <v>2.8058E-2</v>
      </c>
      <c r="F689" s="1">
        <v>1.9387000000000002E-6</v>
      </c>
      <c r="G689" s="1">
        <v>6.8311999999999999</v>
      </c>
      <c r="H689" s="1">
        <v>1.5344999999999999E-7</v>
      </c>
      <c r="I689" s="1">
        <f t="shared" si="90"/>
        <v>1.5344999999999999E-7</v>
      </c>
      <c r="J689" s="4">
        <f t="shared" si="91"/>
        <v>-1.4311095829743118E-8</v>
      </c>
      <c r="K689" s="4">
        <f t="shared" si="92"/>
        <v>-2.2994048646342618E-8</v>
      </c>
      <c r="L689" s="4">
        <f t="shared" si="93"/>
        <v>-8.6105228533418703E-9</v>
      </c>
      <c r="M689" s="4">
        <f t="shared" si="95"/>
        <v>-9.3835451044743858E-9</v>
      </c>
      <c r="N689" s="5">
        <f t="shared" si="96"/>
        <v>3.812490370392788E-8</v>
      </c>
      <c r="O689" s="5">
        <f t="shared" si="97"/>
        <v>1.179882574151498E-6</v>
      </c>
      <c r="P689" s="5">
        <f t="shared" si="98"/>
        <v>5.8199252214457516E-7</v>
      </c>
      <c r="Q689" s="1">
        <f t="shared" si="94"/>
        <v>1.800000000000001E-6</v>
      </c>
    </row>
    <row r="690" spans="1:17" x14ac:dyDescent="0.25">
      <c r="A690" s="1">
        <v>34.4</v>
      </c>
      <c r="B690" s="1">
        <v>2.4339E-2</v>
      </c>
      <c r="C690" s="1">
        <v>4.2881000000000004E-3</v>
      </c>
      <c r="D690" s="1">
        <v>2.07E-2</v>
      </c>
      <c r="E690" s="1">
        <v>2.8000000000000001E-2</v>
      </c>
      <c r="F690" s="1">
        <v>1.9381000000000001E-6</v>
      </c>
      <c r="G690" s="1">
        <v>6.8308</v>
      </c>
      <c r="H690" s="1">
        <v>1.5355E-7</v>
      </c>
      <c r="I690" s="1">
        <f t="shared" si="90"/>
        <v>1.5355E-7</v>
      </c>
      <c r="J690" s="4">
        <f t="shared" si="91"/>
        <v>-1.4329464999689951E-8</v>
      </c>
      <c r="K690" s="4">
        <f t="shared" si="92"/>
        <v>-2.3007710195952903E-8</v>
      </c>
      <c r="L690" s="4">
        <f t="shared" si="93"/>
        <v>-8.6064524433352112E-9</v>
      </c>
      <c r="M690" s="4">
        <f t="shared" si="95"/>
        <v>-9.3772090149233977E-9</v>
      </c>
      <c r="N690" s="5">
        <f t="shared" si="96"/>
        <v>3.8196696456855628E-8</v>
      </c>
      <c r="O690" s="5">
        <f t="shared" si="97"/>
        <v>1.1805815379701585E-6</v>
      </c>
      <c r="P690" s="5">
        <f t="shared" si="98"/>
        <v>5.8122176557298699E-7</v>
      </c>
      <c r="Q690" s="1">
        <f t="shared" si="94"/>
        <v>1.8000000000000012E-6</v>
      </c>
    </row>
    <row r="691" spans="1:17" x14ac:dyDescent="0.25">
      <c r="A691" s="1">
        <v>34.450000000000003</v>
      </c>
      <c r="B691" s="1">
        <v>2.4291E-2</v>
      </c>
      <c r="C691" s="1">
        <v>4.2836000000000003E-3</v>
      </c>
      <c r="D691" s="1">
        <v>2.0726000000000001E-2</v>
      </c>
      <c r="E691" s="1">
        <v>2.7942000000000002E-2</v>
      </c>
      <c r="F691" s="1">
        <v>1.9375000000000001E-6</v>
      </c>
      <c r="G691" s="1">
        <v>6.8304999999999998</v>
      </c>
      <c r="H691" s="1">
        <v>1.5365999999999999E-7</v>
      </c>
      <c r="I691" s="1">
        <f t="shared" si="90"/>
        <v>1.5365999999999999E-7</v>
      </c>
      <c r="J691" s="4">
        <f t="shared" si="91"/>
        <v>-1.4347563862882838E-8</v>
      </c>
      <c r="K691" s="4">
        <f t="shared" si="92"/>
        <v>-2.3021339990420055E-8</v>
      </c>
      <c r="L691" s="4">
        <f t="shared" si="93"/>
        <v>-8.60217182223304E-9</v>
      </c>
      <c r="M691" s="4">
        <f t="shared" si="95"/>
        <v>-9.3708932208926755E-9</v>
      </c>
      <c r="N691" s="5">
        <f t="shared" si="96"/>
        <v>3.8268300762159808E-8</v>
      </c>
      <c r="O691" s="5">
        <f t="shared" si="97"/>
        <v>1.1812786550635141E-6</v>
      </c>
      <c r="P691" s="5">
        <f t="shared" si="98"/>
        <v>5.8045304417432734E-7</v>
      </c>
      <c r="Q691" s="1">
        <f t="shared" si="94"/>
        <v>1.8000000000000012E-6</v>
      </c>
    </row>
    <row r="692" spans="1:17" x14ac:dyDescent="0.25">
      <c r="A692" s="1">
        <v>34.5</v>
      </c>
      <c r="B692" s="1">
        <v>2.4243000000000001E-2</v>
      </c>
      <c r="C692" s="1">
        <v>4.2791000000000001E-3</v>
      </c>
      <c r="D692" s="1">
        <v>2.0752E-2</v>
      </c>
      <c r="E692" s="1">
        <v>2.7885E-2</v>
      </c>
      <c r="F692" s="1">
        <v>1.9367999999999998E-6</v>
      </c>
      <c r="G692" s="1">
        <v>6.8301999999999996</v>
      </c>
      <c r="H692" s="1">
        <v>1.5376E-7</v>
      </c>
      <c r="I692" s="1">
        <f t="shared" si="90"/>
        <v>1.5376E-7</v>
      </c>
      <c r="J692" s="4">
        <f t="shared" si="91"/>
        <v>-1.4365561340794331E-8</v>
      </c>
      <c r="K692" s="4">
        <f t="shared" si="92"/>
        <v>-2.3034933773737217E-8</v>
      </c>
      <c r="L692" s="4">
        <f t="shared" si="93"/>
        <v>-8.5977829016029525E-9</v>
      </c>
      <c r="M692" s="4">
        <f t="shared" si="95"/>
        <v>-9.3652035506213162E-9</v>
      </c>
      <c r="N692" s="5">
        <f t="shared" si="96"/>
        <v>3.8339890293499744E-8</v>
      </c>
      <c r="O692" s="5">
        <f t="shared" si="97"/>
        <v>1.1819744861811925E-6</v>
      </c>
      <c r="P692" s="5">
        <f t="shared" si="98"/>
        <v>5.7968562352530895E-7</v>
      </c>
      <c r="Q692" s="1">
        <f t="shared" si="94"/>
        <v>1.800000000000001E-6</v>
      </c>
    </row>
    <row r="693" spans="1:17" x14ac:dyDescent="0.25">
      <c r="A693" s="1">
        <v>34.549999999999997</v>
      </c>
      <c r="B693" s="1">
        <v>2.4195000000000001E-2</v>
      </c>
      <c r="C693" s="1">
        <v>4.2745999999999999E-3</v>
      </c>
      <c r="D693" s="1">
        <v>2.0778999999999999E-2</v>
      </c>
      <c r="E693" s="1">
        <v>2.7827000000000001E-2</v>
      </c>
      <c r="F693" s="1">
        <v>1.9361E-6</v>
      </c>
      <c r="G693" s="1">
        <v>6.8299000000000003</v>
      </c>
      <c r="H693" s="1">
        <v>1.5386E-7</v>
      </c>
      <c r="I693" s="1">
        <f t="shared" si="90"/>
        <v>1.5386E-7</v>
      </c>
      <c r="J693" s="4">
        <f t="shared" si="91"/>
        <v>-1.4382037563119993E-8</v>
      </c>
      <c r="K693" s="4">
        <f t="shared" si="92"/>
        <v>-2.3048502480531942E-8</v>
      </c>
      <c r="L693" s="4">
        <f t="shared" si="93"/>
        <v>-8.593189474429702E-9</v>
      </c>
      <c r="M693" s="4">
        <f t="shared" si="95"/>
        <v>-9.3589084546908761E-9</v>
      </c>
      <c r="N693" s="5">
        <f t="shared" si="96"/>
        <v>3.8413165736481983E-8</v>
      </c>
      <c r="O693" s="5">
        <f t="shared" si="97"/>
        <v>1.1826669297184715E-6</v>
      </c>
      <c r="P693" s="5">
        <f t="shared" si="98"/>
        <v>5.7891990454504778E-7</v>
      </c>
      <c r="Q693" s="1">
        <f t="shared" si="94"/>
        <v>1.8000000000000012E-6</v>
      </c>
    </row>
    <row r="694" spans="1:17" x14ac:dyDescent="0.25">
      <c r="A694" s="1">
        <v>34.6</v>
      </c>
      <c r="B694" s="1">
        <v>2.4146999999999998E-2</v>
      </c>
      <c r="C694" s="1">
        <v>4.2700000000000004E-3</v>
      </c>
      <c r="D694" s="1">
        <v>2.0805000000000001E-2</v>
      </c>
      <c r="E694" s="1">
        <v>2.7768999999999999E-2</v>
      </c>
      <c r="F694" s="1">
        <v>1.9354000000000001E-6</v>
      </c>
      <c r="G694" s="1">
        <v>6.8296000000000001</v>
      </c>
      <c r="H694" s="1">
        <v>1.5396000000000001E-7</v>
      </c>
      <c r="I694" s="1">
        <f t="shared" si="90"/>
        <v>1.5396000000000001E-7</v>
      </c>
      <c r="J694" s="4">
        <f t="shared" si="91"/>
        <v>-1.4399110680616228E-8</v>
      </c>
      <c r="K694" s="4">
        <f t="shared" si="92"/>
        <v>-2.3062005129512161E-8</v>
      </c>
      <c r="L694" s="4">
        <f t="shared" si="93"/>
        <v>-8.5885998635114782E-9</v>
      </c>
      <c r="M694" s="4">
        <f t="shared" si="95"/>
        <v>-9.3526247338974088E-9</v>
      </c>
      <c r="N694" s="5">
        <f t="shared" si="96"/>
        <v>3.8487460321866439E-8</v>
      </c>
      <c r="O694" s="5">
        <f t="shared" si="97"/>
        <v>1.1833566600034729E-6</v>
      </c>
      <c r="P694" s="5">
        <f t="shared" si="98"/>
        <v>5.7815587967466181E-7</v>
      </c>
      <c r="Q694" s="1">
        <f t="shared" si="94"/>
        <v>1.800000000000001E-6</v>
      </c>
    </row>
    <row r="695" spans="1:17" x14ac:dyDescent="0.25">
      <c r="A695" s="1">
        <v>34.65</v>
      </c>
      <c r="B695" s="1">
        <v>2.4098999999999999E-2</v>
      </c>
      <c r="C695" s="1">
        <v>4.2653999999999999E-3</v>
      </c>
      <c r="D695" s="1">
        <v>2.0830999999999999E-2</v>
      </c>
      <c r="E695" s="1">
        <v>2.7712000000000001E-2</v>
      </c>
      <c r="F695" s="1">
        <v>1.9348000000000001E-6</v>
      </c>
      <c r="G695" s="1">
        <v>6.8292999999999999</v>
      </c>
      <c r="H695" s="1">
        <v>1.5405999999999999E-7</v>
      </c>
      <c r="I695" s="1">
        <f t="shared" si="90"/>
        <v>1.5405999999999999E-7</v>
      </c>
      <c r="J695" s="4">
        <f t="shared" si="91"/>
        <v>-1.4416529587020411E-8</v>
      </c>
      <c r="K695" s="4">
        <f t="shared" si="92"/>
        <v>-2.3075454870066412E-8</v>
      </c>
      <c r="L695" s="4">
        <f t="shared" si="93"/>
        <v>-8.5841703623187673E-9</v>
      </c>
      <c r="M695" s="4">
        <f t="shared" si="95"/>
        <v>-9.3463523196441164E-9</v>
      </c>
      <c r="N695" s="5">
        <f t="shared" si="96"/>
        <v>3.8562215242593674E-8</v>
      </c>
      <c r="O695" s="5">
        <f t="shared" si="97"/>
        <v>1.184044087040071E-6</v>
      </c>
      <c r="P695" s="5">
        <f t="shared" si="98"/>
        <v>5.773936977173364E-7</v>
      </c>
      <c r="Q695" s="1">
        <f t="shared" si="94"/>
        <v>1.800000000000001E-6</v>
      </c>
    </row>
    <row r="696" spans="1:17" x14ac:dyDescent="0.25">
      <c r="A696" s="1">
        <v>34.700000000000003</v>
      </c>
      <c r="B696" s="1">
        <v>2.4050999999999999E-2</v>
      </c>
      <c r="C696" s="1">
        <v>4.2608000000000004E-3</v>
      </c>
      <c r="D696" s="1">
        <v>2.0857000000000001E-2</v>
      </c>
      <c r="E696" s="1">
        <v>2.7654999999999999E-2</v>
      </c>
      <c r="F696" s="1">
        <v>1.934E-6</v>
      </c>
      <c r="G696" s="1">
        <v>6.8289999999999997</v>
      </c>
      <c r="H696" s="1">
        <v>1.5416E-7</v>
      </c>
      <c r="I696" s="1">
        <f t="shared" si="90"/>
        <v>1.5416E-7</v>
      </c>
      <c r="J696" s="4">
        <f t="shared" si="91"/>
        <v>-1.4435576475460345E-8</v>
      </c>
      <c r="K696" s="4">
        <f t="shared" si="92"/>
        <v>-2.3088859697283353E-8</v>
      </c>
      <c r="L696" s="4">
        <f t="shared" si="93"/>
        <v>-8.5805281447437571E-9</v>
      </c>
      <c r="M696" s="4">
        <f t="shared" si="95"/>
        <v>-9.3400936723857446E-9</v>
      </c>
      <c r="N696" s="5">
        <f t="shared" si="96"/>
        <v>3.863497031967292E-8</v>
      </c>
      <c r="O696" s="5">
        <f t="shared" si="97"/>
        <v>1.1847308974906335E-6</v>
      </c>
      <c r="P696" s="5">
        <f t="shared" si="98"/>
        <v>5.7663413218969435E-7</v>
      </c>
      <c r="Q696" s="1">
        <f t="shared" si="94"/>
        <v>1.8000000000000008E-6</v>
      </c>
    </row>
    <row r="697" spans="1:17" x14ac:dyDescent="0.25">
      <c r="A697" s="1">
        <v>34.75</v>
      </c>
      <c r="B697" s="1">
        <v>2.4004000000000001E-2</v>
      </c>
      <c r="C697" s="1">
        <v>4.2561999999999999E-3</v>
      </c>
      <c r="D697" s="1">
        <v>2.0882999999999999E-2</v>
      </c>
      <c r="E697" s="1">
        <v>2.7597E-2</v>
      </c>
      <c r="F697" s="1">
        <v>1.9333000000000002E-6</v>
      </c>
      <c r="G697" s="1">
        <v>6.8287000000000004</v>
      </c>
      <c r="H697" s="1">
        <v>1.5426000000000001E-7</v>
      </c>
      <c r="I697" s="1">
        <f t="shared" si="90"/>
        <v>1.5426000000000001E-7</v>
      </c>
      <c r="J697" s="4">
        <f t="shared" si="91"/>
        <v>-1.4450854304500231E-8</v>
      </c>
      <c r="K697" s="4">
        <f t="shared" si="92"/>
        <v>-2.3102252501066041E-8</v>
      </c>
      <c r="L697" s="4">
        <f t="shared" si="93"/>
        <v>-8.5754873812433228E-9</v>
      </c>
      <c r="M697" s="4">
        <f t="shared" si="95"/>
        <v>-9.3338613709276123E-9</v>
      </c>
      <c r="N697" s="5">
        <f t="shared" si="96"/>
        <v>3.87108811349954E-8</v>
      </c>
      <c r="O697" s="5">
        <f t="shared" si="97"/>
        <v>1.1854133606649951E-6</v>
      </c>
      <c r="P697" s="5">
        <f t="shared" si="98"/>
        <v>5.7587575820001001E-7</v>
      </c>
      <c r="Q697" s="1">
        <f t="shared" si="94"/>
        <v>1.8000000000000006E-6</v>
      </c>
    </row>
    <row r="698" spans="1:17" x14ac:dyDescent="0.25">
      <c r="A698" s="1">
        <v>34.799999999999997</v>
      </c>
      <c r="B698" s="1">
        <v>2.3956000000000002E-2</v>
      </c>
      <c r="C698" s="1">
        <v>4.2516000000000003E-3</v>
      </c>
      <c r="D698" s="1">
        <v>2.0909000000000001E-2</v>
      </c>
      <c r="E698" s="1">
        <v>2.7539999999999999E-2</v>
      </c>
      <c r="F698" s="1">
        <v>1.9325999999999999E-6</v>
      </c>
      <c r="G698" s="1">
        <v>6.8284000000000002</v>
      </c>
      <c r="H698" s="1">
        <v>1.5435999999999999E-7</v>
      </c>
      <c r="I698" s="1">
        <f t="shared" si="90"/>
        <v>1.5435999999999999E-7</v>
      </c>
      <c r="J698" s="4">
        <f t="shared" si="91"/>
        <v>-1.4468768190512931E-8</v>
      </c>
      <c r="K698" s="4">
        <f t="shared" si="92"/>
        <v>-2.3115560532966089E-8</v>
      </c>
      <c r="L698" s="4">
        <f t="shared" si="93"/>
        <v>-8.5712128090693582E-9</v>
      </c>
      <c r="M698" s="4">
        <f t="shared" si="95"/>
        <v>-9.3276324182924933E-9</v>
      </c>
      <c r="N698" s="5">
        <f t="shared" si="96"/>
        <v>3.8786460668379195E-8</v>
      </c>
      <c r="O698" s="5">
        <f t="shared" si="97"/>
        <v>1.1860942007408346E-6</v>
      </c>
      <c r="P698" s="5">
        <f t="shared" si="98"/>
        <v>5.751193385907868E-7</v>
      </c>
      <c r="Q698" s="1">
        <f t="shared" si="94"/>
        <v>1.8000000000000006E-6</v>
      </c>
    </row>
    <row r="699" spans="1:17" x14ac:dyDescent="0.25">
      <c r="A699" s="1">
        <v>34.85</v>
      </c>
      <c r="B699" s="1">
        <v>2.3909E-2</v>
      </c>
      <c r="C699" s="1">
        <v>4.2468999999999996E-3</v>
      </c>
      <c r="D699" s="1">
        <v>2.0936E-2</v>
      </c>
      <c r="E699" s="1">
        <v>2.7483E-2</v>
      </c>
      <c r="F699" s="1">
        <v>1.9319000000000001E-6</v>
      </c>
      <c r="G699" s="1">
        <v>6.8281000000000001</v>
      </c>
      <c r="H699" s="1">
        <v>1.5445999999999999E-7</v>
      </c>
      <c r="I699" s="1">
        <f t="shared" si="90"/>
        <v>1.5445999999999999E-7</v>
      </c>
      <c r="J699" s="4">
        <f t="shared" si="91"/>
        <v>-1.4486521045939997E-8</v>
      </c>
      <c r="K699" s="4">
        <f t="shared" si="92"/>
        <v>-2.3128836914448249E-8</v>
      </c>
      <c r="L699" s="4">
        <f t="shared" si="93"/>
        <v>-8.5671063689409503E-9</v>
      </c>
      <c r="M699" s="4">
        <f t="shared" si="95"/>
        <v>-9.3214192160125499E-9</v>
      </c>
      <c r="N699" s="5">
        <f t="shared" si="96"/>
        <v>3.8861670167946498E-8</v>
      </c>
      <c r="O699" s="5">
        <f t="shared" si="97"/>
        <v>1.1867733040883389E-6</v>
      </c>
      <c r="P699" s="5">
        <f t="shared" si="98"/>
        <v>5.7436502574371529E-7</v>
      </c>
      <c r="Q699" s="1">
        <f t="shared" si="94"/>
        <v>1.8000000000000008E-6</v>
      </c>
    </row>
    <row r="700" spans="1:17" x14ac:dyDescent="0.25">
      <c r="A700" s="1">
        <v>34.9</v>
      </c>
      <c r="B700" s="1">
        <v>2.3861E-2</v>
      </c>
      <c r="C700" s="1">
        <v>4.2423000000000001E-3</v>
      </c>
      <c r="D700" s="1">
        <v>2.0962000000000001E-2</v>
      </c>
      <c r="E700" s="1">
        <v>2.7425999999999999E-2</v>
      </c>
      <c r="F700" s="1">
        <v>1.9311E-6</v>
      </c>
      <c r="G700" s="1">
        <v>6.8277999999999999</v>
      </c>
      <c r="H700" s="1">
        <v>1.5456E-7</v>
      </c>
      <c r="I700" s="1">
        <f t="shared" si="90"/>
        <v>1.5456E-7</v>
      </c>
      <c r="J700" s="4">
        <f t="shared" si="91"/>
        <v>-1.4504098698821672E-8</v>
      </c>
      <c r="K700" s="4">
        <f t="shared" si="92"/>
        <v>-2.3142079429721293E-8</v>
      </c>
      <c r="L700" s="4">
        <f t="shared" si="93"/>
        <v>-8.5628500431690115E-9</v>
      </c>
      <c r="M700" s="4">
        <f t="shared" si="95"/>
        <v>-9.315224297018768E-9</v>
      </c>
      <c r="N700" s="5">
        <f t="shared" si="96"/>
        <v>3.8936800855677106E-8</v>
      </c>
      <c r="O700" s="5">
        <f t="shared" si="97"/>
        <v>1.187450547654458E-6</v>
      </c>
      <c r="P700" s="5">
        <f t="shared" si="98"/>
        <v>5.7361265148986546E-7</v>
      </c>
      <c r="Q700" s="1">
        <f t="shared" si="94"/>
        <v>1.8000000000000006E-6</v>
      </c>
    </row>
    <row r="701" spans="1:17" x14ac:dyDescent="0.25">
      <c r="A701" s="1">
        <v>34.950000000000003</v>
      </c>
      <c r="B701" s="1">
        <v>2.3813999999999998E-2</v>
      </c>
      <c r="C701" s="1">
        <v>4.2376000000000002E-3</v>
      </c>
      <c r="D701" s="1">
        <v>2.0988E-2</v>
      </c>
      <c r="E701" s="1">
        <v>2.7369000000000001E-2</v>
      </c>
      <c r="F701" s="1">
        <v>1.9303E-6</v>
      </c>
      <c r="G701" s="1">
        <v>6.8273999999999999</v>
      </c>
      <c r="H701" s="1">
        <v>1.5466000000000001E-7</v>
      </c>
      <c r="I701" s="1">
        <f t="shared" si="90"/>
        <v>1.5466000000000001E-7</v>
      </c>
      <c r="J701" s="4">
        <f t="shared" si="91"/>
        <v>-1.4520106227728627E-8</v>
      </c>
      <c r="K701" s="4">
        <f t="shared" si="92"/>
        <v>-2.3155285679263907E-8</v>
      </c>
      <c r="L701" s="4">
        <f t="shared" si="93"/>
        <v>-8.5580653441923994E-9</v>
      </c>
      <c r="M701" s="4">
        <f t="shared" si="95"/>
        <v>-9.3090449984995228E-9</v>
      </c>
      <c r="N701" s="5">
        <f t="shared" si="96"/>
        <v>3.9013914963019981E-8</v>
      </c>
      <c r="O701" s="5">
        <f t="shared" si="97"/>
        <v>1.1881244132014222E-6</v>
      </c>
      <c r="P701" s="5">
        <f t="shared" si="98"/>
        <v>5.7286167183555833E-7</v>
      </c>
      <c r="Q701" s="1">
        <f t="shared" si="94"/>
        <v>1.8000000000000006E-6</v>
      </c>
    </row>
    <row r="702" spans="1:17" x14ac:dyDescent="0.25">
      <c r="A702" s="1">
        <v>35</v>
      </c>
      <c r="B702" s="1">
        <v>2.3767E-2</v>
      </c>
      <c r="C702" s="1">
        <v>4.2329000000000004E-3</v>
      </c>
      <c r="D702" s="1">
        <v>2.1014000000000001E-2</v>
      </c>
      <c r="E702" s="1">
        <v>2.7311999999999999E-2</v>
      </c>
      <c r="F702" s="1">
        <v>1.9294999999999999E-6</v>
      </c>
      <c r="G702" s="1">
        <v>6.8270999999999997</v>
      </c>
      <c r="H702" s="1">
        <v>1.5475000000000001E-7</v>
      </c>
      <c r="I702" s="1">
        <f t="shared" si="90"/>
        <v>1.5475000000000001E-7</v>
      </c>
      <c r="J702" s="4">
        <f t="shared" si="91"/>
        <v>-1.4536811347052438E-8</v>
      </c>
      <c r="K702" s="4">
        <f t="shared" si="92"/>
        <v>-2.3168426057426415E-8</v>
      </c>
      <c r="L702" s="4">
        <f t="shared" si="93"/>
        <v>-8.5536479173886685E-9</v>
      </c>
      <c r="M702" s="4">
        <f t="shared" si="95"/>
        <v>-9.3028725474386556E-9</v>
      </c>
      <c r="N702" s="5">
        <f t="shared" si="96"/>
        <v>3.909188175600529E-8</v>
      </c>
      <c r="O702" s="5">
        <f t="shared" si="97"/>
        <v>1.1887956710384869E-6</v>
      </c>
      <c r="P702" s="5">
        <f t="shared" si="98"/>
        <v>5.7211244720550834E-7</v>
      </c>
      <c r="Q702" s="1">
        <f t="shared" si="94"/>
        <v>1.8000000000000006E-6</v>
      </c>
    </row>
    <row r="703" spans="1:17" x14ac:dyDescent="0.25">
      <c r="A703" s="1">
        <v>35.049999999999997</v>
      </c>
      <c r="B703" s="1">
        <v>2.3720000000000001E-2</v>
      </c>
      <c r="C703" s="1">
        <v>4.2281999999999997E-3</v>
      </c>
      <c r="D703" s="1">
        <v>2.104E-2</v>
      </c>
      <c r="E703" s="1">
        <v>2.7255000000000001E-2</v>
      </c>
      <c r="F703" s="1">
        <v>1.9286999999999998E-6</v>
      </c>
      <c r="G703" s="1">
        <v>6.8268000000000004</v>
      </c>
      <c r="H703" s="1">
        <v>1.5484999999999999E-7</v>
      </c>
      <c r="I703" s="1">
        <f t="shared" si="90"/>
        <v>1.5484999999999999E-7</v>
      </c>
      <c r="J703" s="4">
        <f t="shared" si="91"/>
        <v>-1.4553791279411718E-8</v>
      </c>
      <c r="K703" s="4">
        <f t="shared" si="92"/>
        <v>-2.3181515585249179E-8</v>
      </c>
      <c r="L703" s="4">
        <f t="shared" si="93"/>
        <v>-8.5493473014079549E-9</v>
      </c>
      <c r="M703" s="4">
        <f t="shared" si="95"/>
        <v>-9.2961121265299772E-9</v>
      </c>
      <c r="N703" s="5">
        <f t="shared" si="96"/>
        <v>3.9170258760434796E-8</v>
      </c>
      <c r="O703" s="5">
        <f t="shared" si="97"/>
        <v>1.1894640588591793E-6</v>
      </c>
      <c r="P703" s="5">
        <f t="shared" si="98"/>
        <v>5.7136568238038637E-7</v>
      </c>
      <c r="Q703" s="1">
        <f t="shared" si="94"/>
        <v>1.8000000000000003E-6</v>
      </c>
    </row>
    <row r="704" spans="1:17" x14ac:dyDescent="0.25">
      <c r="A704" s="1">
        <v>35.1</v>
      </c>
      <c r="B704" s="1">
        <v>2.3671999999999999E-2</v>
      </c>
      <c r="C704" s="1">
        <v>4.2234000000000004E-3</v>
      </c>
      <c r="D704" s="1">
        <v>2.1066000000000001E-2</v>
      </c>
      <c r="E704" s="1">
        <v>2.7198E-2</v>
      </c>
      <c r="F704" s="1">
        <v>1.9279000000000002E-6</v>
      </c>
      <c r="G704" s="1">
        <v>6.8265000000000002</v>
      </c>
      <c r="H704" s="1">
        <v>1.5494999999999999E-7</v>
      </c>
      <c r="I704" s="1">
        <f t="shared" si="90"/>
        <v>1.5494999999999999E-7</v>
      </c>
      <c r="J704" s="4">
        <f t="shared" si="91"/>
        <v>-1.4570880669603343E-8</v>
      </c>
      <c r="K704" s="4">
        <f t="shared" si="92"/>
        <v>-2.3194549147755973E-8</v>
      </c>
      <c r="L704" s="4">
        <f t="shared" si="93"/>
        <v>-8.5450656582032593E-9</v>
      </c>
      <c r="M704" s="4">
        <f t="shared" si="95"/>
        <v>-9.2899774712440886E-9</v>
      </c>
      <c r="N704" s="5">
        <f t="shared" si="96"/>
        <v>3.9248861580384165E-8</v>
      </c>
      <c r="O704" s="5">
        <f t="shared" si="97"/>
        <v>1.1901303678522708E-6</v>
      </c>
      <c r="P704" s="5">
        <f t="shared" si="98"/>
        <v>5.7062077056734558E-7</v>
      </c>
      <c r="Q704" s="1">
        <f t="shared" si="94"/>
        <v>1.8000000000000006E-6</v>
      </c>
    </row>
    <row r="705" spans="1:17" x14ac:dyDescent="0.25">
      <c r="A705" s="1">
        <v>35.15</v>
      </c>
      <c r="B705" s="1">
        <v>2.3625E-2</v>
      </c>
      <c r="C705" s="1">
        <v>4.2186999999999997E-3</v>
      </c>
      <c r="D705" s="1">
        <v>2.1090999999999999E-2</v>
      </c>
      <c r="E705" s="1">
        <v>2.7140999999999998E-2</v>
      </c>
      <c r="F705" s="1">
        <v>1.9271000000000002E-6</v>
      </c>
      <c r="G705" s="1">
        <v>6.8262</v>
      </c>
      <c r="H705" s="1">
        <v>1.5505E-7</v>
      </c>
      <c r="I705" s="1">
        <f t="shared" si="90"/>
        <v>1.5505E-7</v>
      </c>
      <c r="J705" s="4">
        <f t="shared" si="91"/>
        <v>-1.458801063162737E-8</v>
      </c>
      <c r="K705" s="4">
        <f t="shared" si="92"/>
        <v>-2.3207542173117962E-8</v>
      </c>
      <c r="L705" s="4">
        <f t="shared" si="93"/>
        <v>-8.5407622781775747E-9</v>
      </c>
      <c r="M705" s="4">
        <f t="shared" si="95"/>
        <v>-9.2838572819375433E-9</v>
      </c>
      <c r="N705" s="5">
        <f t="shared" si="96"/>
        <v>3.9327630843697187E-8</v>
      </c>
      <c r="O705" s="5">
        <f t="shared" si="97"/>
        <v>1.1907946935927177E-6</v>
      </c>
      <c r="P705" s="5">
        <f t="shared" si="98"/>
        <v>5.698776755635856E-7</v>
      </c>
      <c r="Q705" s="1">
        <f t="shared" si="94"/>
        <v>1.8000000000000006E-6</v>
      </c>
    </row>
    <row r="706" spans="1:17" x14ac:dyDescent="0.25">
      <c r="A706" s="1">
        <v>35.200000000000003</v>
      </c>
      <c r="B706" s="1">
        <v>2.3578000000000002E-2</v>
      </c>
      <c r="C706" s="1">
        <v>4.2138999999999996E-3</v>
      </c>
      <c r="D706" s="1">
        <v>2.1117E-2</v>
      </c>
      <c r="E706" s="1">
        <v>2.7084E-2</v>
      </c>
      <c r="F706" s="1">
        <v>1.9263000000000001E-6</v>
      </c>
      <c r="G706" s="1">
        <v>6.8258999999999999</v>
      </c>
      <c r="H706" s="1">
        <v>1.5515000000000001E-7</v>
      </c>
      <c r="I706" s="1">
        <f t="shared" si="90"/>
        <v>1.5515000000000001E-7</v>
      </c>
      <c r="J706" s="4">
        <f t="shared" si="91"/>
        <v>-1.4605158937541119E-8</v>
      </c>
      <c r="K706" s="4">
        <f t="shared" si="92"/>
        <v>-2.3220496525059976E-8</v>
      </c>
      <c r="L706" s="4">
        <f t="shared" si="93"/>
        <v>-8.536423993066184E-9</v>
      </c>
      <c r="M706" s="4">
        <f t="shared" si="95"/>
        <v>-9.2777510275948549E-9</v>
      </c>
      <c r="N706" s="5">
        <f t="shared" si="96"/>
        <v>3.9406544438149858E-8</v>
      </c>
      <c r="O706" s="5">
        <f t="shared" si="97"/>
        <v>1.1914571070327936E-6</v>
      </c>
      <c r="P706" s="5">
        <f t="shared" si="98"/>
        <v>5.691363485290569E-7</v>
      </c>
      <c r="Q706" s="1">
        <f t="shared" si="94"/>
        <v>1.8000000000000003E-6</v>
      </c>
    </row>
    <row r="707" spans="1:17" x14ac:dyDescent="0.25">
      <c r="A707" s="1">
        <v>35.25</v>
      </c>
      <c r="B707" s="1">
        <v>2.3532000000000001E-2</v>
      </c>
      <c r="C707" s="1">
        <v>4.2091000000000003E-3</v>
      </c>
      <c r="D707" s="1">
        <v>2.1142999999999999E-2</v>
      </c>
      <c r="E707" s="1">
        <v>2.7028E-2</v>
      </c>
      <c r="F707" s="1">
        <v>1.9253999999999998E-6</v>
      </c>
      <c r="G707" s="1">
        <v>6.8255999999999997</v>
      </c>
      <c r="H707" s="1">
        <v>1.5524999999999999E-7</v>
      </c>
      <c r="I707" s="1">
        <f t="shared" ref="I707:I770" si="99">H707</f>
        <v>1.5524999999999999E-7</v>
      </c>
      <c r="J707" s="4">
        <f t="shared" ref="J707:J770" si="100">(-$T$4*F706^2*N706)*(A707-A706)</f>
        <v>-1.4622317258558381E-8</v>
      </c>
      <c r="K707" s="4">
        <f t="shared" ref="K707:K770" si="101">-O706*$T$7*(A707-A706)</f>
        <v>-2.3233413587138155E-8</v>
      </c>
      <c r="L707" s="4">
        <f t="shared" ref="L707:L770" si="102">-$T$5*F706*E706*(A707-A706)*N706</f>
        <v>-8.5320458319981317E-9</v>
      </c>
      <c r="M707" s="4">
        <f t="shared" si="95"/>
        <v>-9.2716579697992061E-9</v>
      </c>
      <c r="N707" s="5">
        <f t="shared" si="96"/>
        <v>3.9485594934731506E-8</v>
      </c>
      <c r="O707" s="5">
        <f t="shared" si="97"/>
        <v>1.192117668674013E-6</v>
      </c>
      <c r="P707" s="5">
        <f t="shared" si="98"/>
        <v>5.6839673639125579E-7</v>
      </c>
      <c r="Q707" s="1">
        <f t="shared" ref="Q707:Q770" si="103">N707+O707+P707</f>
        <v>1.8000000000000006E-6</v>
      </c>
    </row>
    <row r="708" spans="1:17" x14ac:dyDescent="0.25">
      <c r="A708" s="1">
        <v>35.299999999999997</v>
      </c>
      <c r="B708" s="1">
        <v>2.3484999999999999E-2</v>
      </c>
      <c r="C708" s="1">
        <v>4.2043000000000002E-3</v>
      </c>
      <c r="D708" s="1">
        <v>2.1169E-2</v>
      </c>
      <c r="E708" s="1">
        <v>2.6970999999999998E-2</v>
      </c>
      <c r="F708" s="1">
        <v>1.9246000000000002E-6</v>
      </c>
      <c r="G708" s="1">
        <v>6.8253000000000004</v>
      </c>
      <c r="H708" s="1">
        <v>1.5535E-7</v>
      </c>
      <c r="I708" s="1">
        <f t="shared" si="99"/>
        <v>1.5535E-7</v>
      </c>
      <c r="J708" s="4">
        <f t="shared" si="100"/>
        <v>-1.4637962186390078E-8</v>
      </c>
      <c r="K708" s="4">
        <f t="shared" si="101"/>
        <v>-2.3246294539141933E-8</v>
      </c>
      <c r="L708" s="4">
        <f t="shared" si="102"/>
        <v>-8.5274986713984976E-9</v>
      </c>
      <c r="M708" s="4">
        <f t="shared" ref="M708:M771" si="104">-P707*$T$8*I707*(A708-A707)</f>
        <v>-9.2655772990974311E-9</v>
      </c>
      <c r="N708" s="5">
        <f t="shared" ref="N708:N771" si="105">N707+J708-K708+L708</f>
        <v>3.9566428616084864E-8</v>
      </c>
      <c r="O708" s="5">
        <f t="shared" ref="O708:O771" si="106">-J708+O707+K708-M708</f>
        <v>1.1927749136203587E-6</v>
      </c>
      <c r="P708" s="5">
        <f t="shared" ref="P708:P771" si="107">P707-L708+M708</f>
        <v>5.6765865776355683E-7</v>
      </c>
      <c r="Q708" s="1">
        <f t="shared" si="103"/>
        <v>1.8000000000000006E-6</v>
      </c>
    </row>
    <row r="709" spans="1:17" x14ac:dyDescent="0.25">
      <c r="A709" s="1">
        <v>35.35</v>
      </c>
      <c r="B709" s="1">
        <v>2.3438000000000001E-2</v>
      </c>
      <c r="C709" s="1">
        <v>4.1995000000000001E-3</v>
      </c>
      <c r="D709" s="1">
        <v>2.1194999999999999E-2</v>
      </c>
      <c r="E709" s="1">
        <v>2.6915000000000001E-2</v>
      </c>
      <c r="F709" s="1">
        <v>1.9236999999999999E-6</v>
      </c>
      <c r="G709" s="1">
        <v>6.8250000000000002</v>
      </c>
      <c r="H709" s="1">
        <v>1.5545000000000001E-7</v>
      </c>
      <c r="I709" s="1">
        <f t="shared" si="99"/>
        <v>1.5545000000000001E-7</v>
      </c>
      <c r="J709" s="4">
        <f t="shared" si="100"/>
        <v>-1.4655742107105183E-8</v>
      </c>
      <c r="K709" s="4">
        <f t="shared" si="101"/>
        <v>-2.3259110815598978E-8</v>
      </c>
      <c r="L709" s="4">
        <f t="shared" si="102"/>
        <v>-8.523392312888626E-9</v>
      </c>
      <c r="M709" s="4">
        <f t="shared" si="104"/>
        <v>-9.2595061107754879E-9</v>
      </c>
      <c r="N709" s="5">
        <f t="shared" si="105"/>
        <v>3.9646405011690031E-8</v>
      </c>
      <c r="O709" s="5">
        <f t="shared" si="106"/>
        <v>1.1934310510226405E-6</v>
      </c>
      <c r="P709" s="5">
        <f t="shared" si="107"/>
        <v>5.6692254396566993E-7</v>
      </c>
      <c r="Q709" s="1">
        <f t="shared" si="103"/>
        <v>1.8000000000000006E-6</v>
      </c>
    </row>
    <row r="710" spans="1:17" x14ac:dyDescent="0.25">
      <c r="A710" s="1">
        <v>35.4</v>
      </c>
      <c r="B710" s="1">
        <v>2.3390999999999999E-2</v>
      </c>
      <c r="C710" s="1">
        <v>4.1947E-3</v>
      </c>
      <c r="D710" s="1">
        <v>2.1219999999999999E-2</v>
      </c>
      <c r="E710" s="1">
        <v>2.6859000000000001E-2</v>
      </c>
      <c r="F710" s="1">
        <v>1.9228E-6</v>
      </c>
      <c r="G710" s="1">
        <v>6.8247</v>
      </c>
      <c r="H710" s="1">
        <v>1.5554E-7</v>
      </c>
      <c r="I710" s="1">
        <f t="shared" si="99"/>
        <v>1.5554E-7</v>
      </c>
      <c r="J710" s="4">
        <f t="shared" si="100"/>
        <v>-1.4671634631677649E-8</v>
      </c>
      <c r="K710" s="4">
        <f t="shared" si="101"/>
        <v>-2.3271905494940165E-8</v>
      </c>
      <c r="L710" s="4">
        <f t="shared" si="102"/>
        <v>-8.5189023307332558E-9</v>
      </c>
      <c r="M710" s="4">
        <f t="shared" si="104"/>
        <v>-9.2534514932431307E-9</v>
      </c>
      <c r="N710" s="5">
        <f t="shared" si="105"/>
        <v>3.9727773544219298E-8</v>
      </c>
      <c r="O710" s="5">
        <f t="shared" si="106"/>
        <v>1.1940842316526211E-6</v>
      </c>
      <c r="P710" s="5">
        <f t="shared" si="107"/>
        <v>5.6618799480316007E-7</v>
      </c>
      <c r="Q710" s="1">
        <f t="shared" si="103"/>
        <v>1.8000000000000006E-6</v>
      </c>
    </row>
    <row r="711" spans="1:17" x14ac:dyDescent="0.25">
      <c r="A711" s="1">
        <v>35.450000000000003</v>
      </c>
      <c r="B711" s="1">
        <v>2.3345000000000001E-2</v>
      </c>
      <c r="C711" s="1">
        <v>4.1897999999999996E-3</v>
      </c>
      <c r="D711" s="1">
        <v>2.1246000000000001E-2</v>
      </c>
      <c r="E711" s="1">
        <v>2.6801999999999999E-2</v>
      </c>
      <c r="F711" s="1">
        <v>1.9219000000000002E-6</v>
      </c>
      <c r="G711" s="1">
        <v>6.8243999999999998</v>
      </c>
      <c r="H711" s="1">
        <v>1.5564000000000001E-7</v>
      </c>
      <c r="I711" s="1">
        <f t="shared" si="99"/>
        <v>1.5564000000000001E-7</v>
      </c>
      <c r="J711" s="4">
        <f t="shared" si="100"/>
        <v>-1.4687992888031457E-8</v>
      </c>
      <c r="K711" s="4">
        <f t="shared" si="101"/>
        <v>-2.3284642517228098E-8</v>
      </c>
      <c r="L711" s="4">
        <f t="shared" si="102"/>
        <v>-8.5146397132592749E-9</v>
      </c>
      <c r="M711" s="4">
        <f t="shared" si="104"/>
        <v>-9.2468124747275575E-9</v>
      </c>
      <c r="N711" s="5">
        <f t="shared" si="105"/>
        <v>3.9809783460156668E-8</v>
      </c>
      <c r="O711" s="5">
        <f t="shared" si="106"/>
        <v>1.1947343944981519E-6</v>
      </c>
      <c r="P711" s="5">
        <f t="shared" si="107"/>
        <v>5.6545582204169178E-7</v>
      </c>
      <c r="Q711" s="1">
        <f t="shared" si="103"/>
        <v>1.8000000000000003E-6</v>
      </c>
    </row>
    <row r="712" spans="1:17" x14ac:dyDescent="0.25">
      <c r="A712" s="1">
        <v>35.5</v>
      </c>
      <c r="B712" s="1">
        <v>2.3297999999999999E-2</v>
      </c>
      <c r="C712" s="1">
        <v>4.1850000000000004E-3</v>
      </c>
      <c r="D712" s="1">
        <v>2.1271999999999999E-2</v>
      </c>
      <c r="E712" s="1">
        <v>2.6745999999999999E-2</v>
      </c>
      <c r="F712" s="1">
        <v>1.9209999999999999E-6</v>
      </c>
      <c r="G712" s="1">
        <v>6.8240999999999996</v>
      </c>
      <c r="H712" s="1">
        <v>1.5573999999999999E-7</v>
      </c>
      <c r="I712" s="1">
        <f t="shared" si="99"/>
        <v>1.5573999999999999E-7</v>
      </c>
      <c r="J712" s="4">
        <f t="shared" si="100"/>
        <v>-1.4704538164095681E-8</v>
      </c>
      <c r="K712" s="4">
        <f t="shared" si="101"/>
        <v>-2.3297320692712639E-8</v>
      </c>
      <c r="L712" s="4">
        <f t="shared" si="102"/>
        <v>-8.5101242638924145E-9</v>
      </c>
      <c r="M712" s="4">
        <f t="shared" si="104"/>
        <v>-9.2407921349692107E-9</v>
      </c>
      <c r="N712" s="5">
        <f t="shared" si="105"/>
        <v>3.989244172488121E-8</v>
      </c>
      <c r="O712" s="5">
        <f t="shared" si="106"/>
        <v>1.1953824041045041E-6</v>
      </c>
      <c r="P712" s="5">
        <f t="shared" si="107"/>
        <v>5.6472515417061493E-7</v>
      </c>
      <c r="Q712" s="1">
        <f t="shared" si="103"/>
        <v>1.8000000000000003E-6</v>
      </c>
    </row>
    <row r="713" spans="1:17" x14ac:dyDescent="0.25">
      <c r="A713" s="1">
        <v>35.549999999999997</v>
      </c>
      <c r="B713" s="1">
        <v>2.3251999999999998E-2</v>
      </c>
      <c r="C713" s="1">
        <v>4.1801E-3</v>
      </c>
      <c r="D713" s="1">
        <v>2.1298000000000001E-2</v>
      </c>
      <c r="E713" s="1">
        <v>2.6689999999999998E-2</v>
      </c>
      <c r="F713" s="1">
        <v>1.9201E-6</v>
      </c>
      <c r="G713" s="1">
        <v>6.8238000000000003</v>
      </c>
      <c r="H713" s="1">
        <v>1.5584E-7</v>
      </c>
      <c r="I713" s="1">
        <f t="shared" si="99"/>
        <v>1.5584E-7</v>
      </c>
      <c r="J713" s="4">
        <f t="shared" si="100"/>
        <v>-1.4721272404325899E-8</v>
      </c>
      <c r="K713" s="4">
        <f t="shared" si="101"/>
        <v>-2.3309956880036505E-8</v>
      </c>
      <c r="L713" s="4">
        <f t="shared" si="102"/>
        <v>-8.5059910445773909E-9</v>
      </c>
      <c r="M713" s="4">
        <f t="shared" si="104"/>
        <v>-9.2347810286052896E-9</v>
      </c>
      <c r="N713" s="5">
        <f t="shared" si="105"/>
        <v>3.9975135156014428E-8</v>
      </c>
      <c r="O713" s="5">
        <f t="shared" si="106"/>
        <v>1.1960285006573987E-6</v>
      </c>
      <c r="P713" s="5">
        <f t="shared" si="107"/>
        <v>5.6399636418658703E-7</v>
      </c>
      <c r="Q713" s="1">
        <f t="shared" si="103"/>
        <v>1.8000000000000001E-6</v>
      </c>
    </row>
    <row r="714" spans="1:17" x14ac:dyDescent="0.25">
      <c r="A714" s="1">
        <v>35.6</v>
      </c>
      <c r="B714" s="1">
        <v>2.3206000000000001E-2</v>
      </c>
      <c r="C714" s="1">
        <v>4.1751999999999996E-3</v>
      </c>
      <c r="D714" s="1">
        <v>2.1323000000000002E-2</v>
      </c>
      <c r="E714" s="1">
        <v>2.6634000000000001E-2</v>
      </c>
      <c r="F714" s="1">
        <v>1.9192000000000002E-6</v>
      </c>
      <c r="G714" s="1">
        <v>6.8235000000000001</v>
      </c>
      <c r="H714" s="1">
        <v>1.5594000000000001E-7</v>
      </c>
      <c r="I714" s="1">
        <f t="shared" si="99"/>
        <v>1.5594000000000001E-7</v>
      </c>
      <c r="J714" s="4">
        <f t="shared" si="100"/>
        <v>-1.4737968909079544E-8</v>
      </c>
      <c r="K714" s="4">
        <f t="shared" si="101"/>
        <v>-2.3322555762821263E-8</v>
      </c>
      <c r="L714" s="4">
        <f t="shared" si="102"/>
        <v>-8.5017916736671639E-9</v>
      </c>
      <c r="M714" s="4">
        <f t="shared" si="104"/>
        <v>-9.2287853064587475E-9</v>
      </c>
      <c r="N714" s="5">
        <f t="shared" si="105"/>
        <v>4.005793033608898E-8</v>
      </c>
      <c r="O714" s="5">
        <f t="shared" si="106"/>
        <v>1.1966726991101158E-6</v>
      </c>
      <c r="P714" s="5">
        <f t="shared" si="107"/>
        <v>5.6326937055379547E-7</v>
      </c>
      <c r="Q714" s="1">
        <f t="shared" si="103"/>
        <v>1.8000000000000003E-6</v>
      </c>
    </row>
    <row r="715" spans="1:17" x14ac:dyDescent="0.25">
      <c r="A715" s="1">
        <v>35.65</v>
      </c>
      <c r="B715" s="1">
        <v>2.3158999999999999E-2</v>
      </c>
      <c r="C715" s="1">
        <v>4.1703E-3</v>
      </c>
      <c r="D715" s="1">
        <v>2.1349E-2</v>
      </c>
      <c r="E715" s="1">
        <v>2.6578000000000001E-2</v>
      </c>
      <c r="F715" s="1">
        <v>1.9182000000000001E-6</v>
      </c>
      <c r="G715" s="1">
        <v>6.8231999999999999</v>
      </c>
      <c r="H715" s="1">
        <v>1.5603E-7</v>
      </c>
      <c r="I715" s="1">
        <f t="shared" si="99"/>
        <v>1.5603E-7</v>
      </c>
      <c r="J715" s="4">
        <f t="shared" si="100"/>
        <v>-1.4754652206603301E-8</v>
      </c>
      <c r="K715" s="4">
        <f t="shared" si="101"/>
        <v>-2.3335117632645935E-8</v>
      </c>
      <c r="L715" s="4">
        <f t="shared" si="102"/>
        <v>-8.4975403215573691E-9</v>
      </c>
      <c r="M715" s="4">
        <f t="shared" si="104"/>
        <v>-9.2228036926361582E-9</v>
      </c>
      <c r="N715" s="5">
        <f t="shared" si="105"/>
        <v>4.014085544057424E-8</v>
      </c>
      <c r="O715" s="5">
        <f t="shared" si="106"/>
        <v>1.1973150373767092E-6</v>
      </c>
      <c r="P715" s="5">
        <f t="shared" si="107"/>
        <v>5.6254410718271668E-7</v>
      </c>
      <c r="Q715" s="1">
        <f t="shared" si="103"/>
        <v>1.8000000000000001E-6</v>
      </c>
    </row>
    <row r="716" spans="1:17" x14ac:dyDescent="0.25">
      <c r="A716" s="1">
        <v>35.700000000000003</v>
      </c>
      <c r="B716" s="1">
        <v>2.3113000000000002E-2</v>
      </c>
      <c r="C716" s="1">
        <v>4.1653000000000003E-3</v>
      </c>
      <c r="D716" s="1">
        <v>2.1374000000000001E-2</v>
      </c>
      <c r="E716" s="1">
        <v>2.6522E-2</v>
      </c>
      <c r="F716" s="1">
        <v>1.9172999999999998E-6</v>
      </c>
      <c r="G716" s="1">
        <v>6.8228999999999997</v>
      </c>
      <c r="H716" s="1">
        <v>1.5613000000000001E-7</v>
      </c>
      <c r="I716" s="1">
        <f t="shared" si="99"/>
        <v>1.5613000000000001E-7</v>
      </c>
      <c r="J716" s="4">
        <f t="shared" si="100"/>
        <v>-1.4769792595971188E-8</v>
      </c>
      <c r="K716" s="4">
        <f t="shared" si="101"/>
        <v>-2.3347643228847822E-8</v>
      </c>
      <c r="L716" s="4">
        <f t="shared" si="102"/>
        <v>-8.4928001386990257E-9</v>
      </c>
      <c r="M716" s="4">
        <f t="shared" si="104"/>
        <v>-9.2162444895913115E-9</v>
      </c>
      <c r="N716" s="5">
        <f t="shared" si="105"/>
        <v>4.0225905934751843E-8</v>
      </c>
      <c r="O716" s="5">
        <f t="shared" si="106"/>
        <v>1.197953431233424E-6</v>
      </c>
      <c r="P716" s="5">
        <f t="shared" si="107"/>
        <v>5.6182066283182442E-7</v>
      </c>
      <c r="Q716" s="1">
        <f t="shared" si="103"/>
        <v>1.8000000000000001E-6</v>
      </c>
    </row>
    <row r="717" spans="1:17" x14ac:dyDescent="0.25">
      <c r="A717" s="1">
        <v>35.75</v>
      </c>
      <c r="B717" s="1">
        <v>2.3067000000000001E-2</v>
      </c>
      <c r="C717" s="1">
        <v>4.1603999999999999E-3</v>
      </c>
      <c r="D717" s="1">
        <v>2.1399999999999999E-2</v>
      </c>
      <c r="E717" s="1">
        <v>2.6466E-2</v>
      </c>
      <c r="F717" s="1">
        <v>1.9163000000000002E-6</v>
      </c>
      <c r="G717" s="1">
        <v>6.8226000000000004</v>
      </c>
      <c r="H717" s="1">
        <v>1.5622999999999999E-7</v>
      </c>
      <c r="I717" s="1">
        <f t="shared" si="99"/>
        <v>1.5622999999999999E-7</v>
      </c>
      <c r="J717" s="4">
        <f t="shared" si="100"/>
        <v>-1.4787201069198355E-8</v>
      </c>
      <c r="K717" s="4">
        <f t="shared" si="101"/>
        <v>-2.3360091909050441E-8</v>
      </c>
      <c r="L717" s="4">
        <f t="shared" si="102"/>
        <v>-8.4888776354389335E-9</v>
      </c>
      <c r="M717" s="4">
        <f t="shared" si="104"/>
        <v>-9.2102913092324156E-9</v>
      </c>
      <c r="N717" s="5">
        <f t="shared" si="105"/>
        <v>4.0309919139164991E-8</v>
      </c>
      <c r="O717" s="5">
        <f t="shared" si="106"/>
        <v>1.1985908317028043E-6</v>
      </c>
      <c r="P717" s="5">
        <f t="shared" si="107"/>
        <v>5.6109924915803098E-7</v>
      </c>
      <c r="Q717" s="1">
        <f t="shared" si="103"/>
        <v>1.8000000000000001E-6</v>
      </c>
    </row>
    <row r="718" spans="1:17" x14ac:dyDescent="0.25">
      <c r="A718" s="1">
        <v>35.799999999999997</v>
      </c>
      <c r="B718" s="1">
        <v>2.3021E-2</v>
      </c>
      <c r="C718" s="1">
        <v>4.1554000000000001E-3</v>
      </c>
      <c r="D718" s="1">
        <v>2.1425E-2</v>
      </c>
      <c r="E718" s="1">
        <v>2.6409999999999999E-2</v>
      </c>
      <c r="F718" s="1">
        <v>1.9153000000000001E-6</v>
      </c>
      <c r="G718" s="1">
        <v>6.8223000000000003</v>
      </c>
      <c r="H718" s="1">
        <v>1.5633E-7</v>
      </c>
      <c r="I718" s="1">
        <f t="shared" si="99"/>
        <v>1.5633E-7</v>
      </c>
      <c r="J718" s="4">
        <f t="shared" si="100"/>
        <v>-1.480263144262732E-8</v>
      </c>
      <c r="K718" s="4">
        <f t="shared" si="101"/>
        <v>-2.3372521218203357E-8</v>
      </c>
      <c r="L718" s="4">
        <f t="shared" si="102"/>
        <v>-8.4842182414360214E-9</v>
      </c>
      <c r="M718" s="4">
        <f t="shared" si="104"/>
        <v>-9.2043562480751899E-9</v>
      </c>
      <c r="N718" s="5">
        <f t="shared" si="105"/>
        <v>4.0395590673305009E-8</v>
      </c>
      <c r="O718" s="5">
        <f t="shared" si="106"/>
        <v>1.1992252981753036E-6</v>
      </c>
      <c r="P718" s="5">
        <f t="shared" si="107"/>
        <v>5.6037911115139178E-7</v>
      </c>
      <c r="Q718" s="1">
        <f t="shared" si="103"/>
        <v>1.8000000000000003E-6</v>
      </c>
    </row>
    <row r="719" spans="1:17" x14ac:dyDescent="0.25">
      <c r="A719" s="1">
        <v>35.85</v>
      </c>
      <c r="B719" s="1">
        <v>2.2974999999999999E-2</v>
      </c>
      <c r="C719" s="1">
        <v>4.1504000000000003E-3</v>
      </c>
      <c r="D719" s="1">
        <v>2.1451000000000001E-2</v>
      </c>
      <c r="E719" s="1">
        <v>2.6355E-2</v>
      </c>
      <c r="F719" s="1">
        <v>1.9143E-6</v>
      </c>
      <c r="G719" s="1">
        <v>6.8220000000000001</v>
      </c>
      <c r="H719" s="1">
        <v>1.5641999999999999E-7</v>
      </c>
      <c r="I719" s="1">
        <f t="shared" si="99"/>
        <v>1.5641999999999999E-7</v>
      </c>
      <c r="J719" s="4">
        <f t="shared" si="100"/>
        <v>-1.4818613817621041E-8</v>
      </c>
      <c r="K719" s="4">
        <f t="shared" si="101"/>
        <v>-2.3384893314420416E-8</v>
      </c>
      <c r="L719" s="4">
        <f t="shared" si="102"/>
        <v>-8.4798324144102357E-9</v>
      </c>
      <c r="M719" s="4">
        <f t="shared" si="104"/>
        <v>-9.198426976861976E-9</v>
      </c>
      <c r="N719" s="5">
        <f t="shared" si="105"/>
        <v>4.0482037755694155E-8</v>
      </c>
      <c r="O719" s="5">
        <f t="shared" si="106"/>
        <v>1.1998574456553664E-6</v>
      </c>
      <c r="P719" s="5">
        <f t="shared" si="107"/>
        <v>5.5966051658894004E-7</v>
      </c>
      <c r="Q719" s="1">
        <f t="shared" si="103"/>
        <v>1.8000000000000006E-6</v>
      </c>
    </row>
    <row r="720" spans="1:17" x14ac:dyDescent="0.25">
      <c r="A720" s="1">
        <v>35.9</v>
      </c>
      <c r="B720" s="1">
        <v>2.2929000000000001E-2</v>
      </c>
      <c r="C720" s="1">
        <v>4.1454999999999999E-3</v>
      </c>
      <c r="D720" s="1">
        <v>2.1475999999999999E-2</v>
      </c>
      <c r="E720" s="1">
        <v>2.6298999999999999E-2</v>
      </c>
      <c r="F720" s="1">
        <v>1.9133E-6</v>
      </c>
      <c r="G720" s="1">
        <v>6.8216999999999999</v>
      </c>
      <c r="H720" s="1">
        <v>1.5652E-7</v>
      </c>
      <c r="I720" s="1">
        <f t="shared" si="99"/>
        <v>1.5652E-7</v>
      </c>
      <c r="J720" s="4">
        <f t="shared" si="100"/>
        <v>-1.4834822840159255E-8</v>
      </c>
      <c r="K720" s="4">
        <f t="shared" si="101"/>
        <v>-2.3397220190278313E-8</v>
      </c>
      <c r="L720" s="4">
        <f t="shared" si="102"/>
        <v>-8.4758542924434412E-9</v>
      </c>
      <c r="M720" s="4">
        <f t="shared" si="104"/>
        <v>-9.1919202905078873E-9</v>
      </c>
      <c r="N720" s="5">
        <f t="shared" si="105"/>
        <v>4.0568580813369769E-8</v>
      </c>
      <c r="O720" s="5">
        <f t="shared" si="106"/>
        <v>1.2004869685957553E-6</v>
      </c>
      <c r="P720" s="5">
        <f t="shared" si="107"/>
        <v>5.5894445059087552E-7</v>
      </c>
      <c r="Q720" s="1">
        <f t="shared" si="103"/>
        <v>1.8000000000000006E-6</v>
      </c>
    </row>
    <row r="721" spans="1:17" x14ac:dyDescent="0.25">
      <c r="A721" s="1">
        <v>35.950000000000003</v>
      </c>
      <c r="B721" s="1">
        <v>2.2884000000000002E-2</v>
      </c>
      <c r="C721" s="1">
        <v>4.1403999999999998E-3</v>
      </c>
      <c r="D721" s="1">
        <v>2.1502E-2</v>
      </c>
      <c r="E721" s="1">
        <v>2.6244E-2</v>
      </c>
      <c r="F721" s="1">
        <v>1.9122999999999999E-6</v>
      </c>
      <c r="G721" s="1">
        <v>6.8215000000000003</v>
      </c>
      <c r="H721" s="1">
        <v>1.5662000000000001E-7</v>
      </c>
      <c r="I721" s="1">
        <f t="shared" si="99"/>
        <v>1.5662000000000001E-7</v>
      </c>
      <c r="J721" s="4">
        <f t="shared" si="100"/>
        <v>-1.4851008898684529E-8</v>
      </c>
      <c r="K721" s="4">
        <f t="shared" si="101"/>
        <v>-2.3409495887619226E-8</v>
      </c>
      <c r="L721" s="4">
        <f t="shared" si="102"/>
        <v>-8.4714981161343946E-9</v>
      </c>
      <c r="M721" s="4">
        <f t="shared" si="104"/>
        <v>-9.1860284676815864E-9</v>
      </c>
      <c r="N721" s="5">
        <f t="shared" si="105"/>
        <v>4.065556968617007E-8</v>
      </c>
      <c r="O721" s="5">
        <f t="shared" si="106"/>
        <v>1.2011145100745022E-6</v>
      </c>
      <c r="P721" s="5">
        <f t="shared" si="107"/>
        <v>5.5822992023932833E-7</v>
      </c>
      <c r="Q721" s="1">
        <f t="shared" si="103"/>
        <v>1.8000000000000006E-6</v>
      </c>
    </row>
    <row r="722" spans="1:17" x14ac:dyDescent="0.25">
      <c r="A722" s="1">
        <v>36</v>
      </c>
      <c r="B722" s="1">
        <v>2.2838000000000001E-2</v>
      </c>
      <c r="C722" s="1">
        <v>4.1354E-3</v>
      </c>
      <c r="D722" s="1">
        <v>2.1527000000000001E-2</v>
      </c>
      <c r="E722" s="1">
        <v>2.6187999999999999E-2</v>
      </c>
      <c r="F722" s="1">
        <v>1.9112999999999998E-6</v>
      </c>
      <c r="G722" s="1">
        <v>6.8212000000000002</v>
      </c>
      <c r="H722" s="1">
        <v>1.5671E-7</v>
      </c>
      <c r="I722" s="1">
        <f t="shared" si="99"/>
        <v>1.5671E-7</v>
      </c>
      <c r="J722" s="4">
        <f t="shared" si="100"/>
        <v>-1.4867299867533488E-8</v>
      </c>
      <c r="K722" s="4">
        <f t="shared" si="101"/>
        <v>-2.3421732946451464E-8</v>
      </c>
      <c r="L722" s="4">
        <f t="shared" si="102"/>
        <v>-8.4674804348309791E-9</v>
      </c>
      <c r="M722" s="4">
        <f t="shared" si="104"/>
        <v>-9.1801468613272589E-9</v>
      </c>
      <c r="N722" s="5">
        <f t="shared" si="105"/>
        <v>4.0742522330257064E-8</v>
      </c>
      <c r="O722" s="5">
        <f t="shared" si="106"/>
        <v>1.2017402238569114E-6</v>
      </c>
      <c r="P722" s="5">
        <f t="shared" si="107"/>
        <v>5.5751725381283205E-7</v>
      </c>
      <c r="Q722" s="1">
        <f t="shared" si="103"/>
        <v>1.8000000000000006E-6</v>
      </c>
    </row>
    <row r="723" spans="1:17" x14ac:dyDescent="0.25">
      <c r="A723" s="1">
        <v>36.049999999999997</v>
      </c>
      <c r="B723" s="1">
        <v>2.2792E-2</v>
      </c>
      <c r="C723" s="1">
        <v>4.1304000000000002E-3</v>
      </c>
      <c r="D723" s="1">
        <v>2.1552000000000002E-2</v>
      </c>
      <c r="E723" s="1">
        <v>2.6133E-2</v>
      </c>
      <c r="F723" s="1">
        <v>1.9101999999999999E-6</v>
      </c>
      <c r="G723" s="1">
        <v>6.8209</v>
      </c>
      <c r="H723" s="1">
        <v>1.5681000000000001E-7</v>
      </c>
      <c r="I723" s="1">
        <f t="shared" si="99"/>
        <v>1.5681000000000001E-7</v>
      </c>
      <c r="J723" s="4">
        <f t="shared" si="100"/>
        <v>-1.4883519193375709E-8</v>
      </c>
      <c r="K723" s="4">
        <f t="shared" si="101"/>
        <v>-2.3433934365208442E-8</v>
      </c>
      <c r="L723" s="4">
        <f t="shared" si="102"/>
        <v>-8.4630557350489766E-9</v>
      </c>
      <c r="M723" s="4">
        <f t="shared" si="104"/>
        <v>-9.1736955287254156E-9</v>
      </c>
      <c r="N723" s="5">
        <f t="shared" si="105"/>
        <v>4.0829881767040817E-8</v>
      </c>
      <c r="O723" s="5">
        <f t="shared" si="106"/>
        <v>1.2023635042138041E-6</v>
      </c>
      <c r="P723" s="5">
        <f t="shared" si="107"/>
        <v>5.5680661401915562E-7</v>
      </c>
      <c r="Q723" s="1">
        <f t="shared" si="103"/>
        <v>1.8000000000000006E-6</v>
      </c>
    </row>
    <row r="724" spans="1:17" x14ac:dyDescent="0.25">
      <c r="A724" s="1">
        <v>36.1</v>
      </c>
      <c r="B724" s="1">
        <v>2.2747E-2</v>
      </c>
      <c r="C724" s="1">
        <v>4.1253000000000001E-3</v>
      </c>
      <c r="D724" s="1">
        <v>2.1578E-2</v>
      </c>
      <c r="E724" s="1">
        <v>2.6078E-2</v>
      </c>
      <c r="F724" s="1">
        <v>1.9091999999999999E-6</v>
      </c>
      <c r="G724" s="1">
        <v>6.8205999999999998</v>
      </c>
      <c r="H724" s="1">
        <v>1.5690999999999999E-7</v>
      </c>
      <c r="I724" s="1">
        <f t="shared" si="99"/>
        <v>1.5690999999999999E-7</v>
      </c>
      <c r="J724" s="4">
        <f t="shared" si="100"/>
        <v>-1.489826873372196E-8</v>
      </c>
      <c r="K724" s="4">
        <f t="shared" si="101"/>
        <v>-2.3446088332171179E-8</v>
      </c>
      <c r="L724" s="4">
        <f t="shared" si="102"/>
        <v>-8.4585189812384936E-9</v>
      </c>
      <c r="M724" s="4">
        <f t="shared" si="104"/>
        <v>-9.1678487401568803E-9</v>
      </c>
      <c r="N724" s="5">
        <f t="shared" si="105"/>
        <v>4.0919182384251542E-8</v>
      </c>
      <c r="O724" s="5">
        <f t="shared" si="106"/>
        <v>1.2029835333555118E-6</v>
      </c>
      <c r="P724" s="5">
        <f t="shared" si="107"/>
        <v>5.5609728426023727E-7</v>
      </c>
      <c r="Q724" s="1">
        <f t="shared" si="103"/>
        <v>1.8000000000000006E-6</v>
      </c>
    </row>
    <row r="725" spans="1:17" x14ac:dyDescent="0.25">
      <c r="A725" s="1">
        <v>36.15</v>
      </c>
      <c r="B725" s="1">
        <v>2.2700999999999999E-2</v>
      </c>
      <c r="C725" s="1">
        <v>4.1202000000000001E-3</v>
      </c>
      <c r="D725" s="1">
        <v>2.1603000000000001E-2</v>
      </c>
      <c r="E725" s="1">
        <v>2.6022E-2</v>
      </c>
      <c r="F725" s="1">
        <v>1.9081E-6</v>
      </c>
      <c r="G725" s="1">
        <v>6.8202999999999996</v>
      </c>
      <c r="H725" s="1">
        <v>1.5699999999999999E-7</v>
      </c>
      <c r="I725" s="1">
        <f t="shared" si="99"/>
        <v>1.5699999999999999E-7</v>
      </c>
      <c r="J725" s="4">
        <f t="shared" si="100"/>
        <v>-1.4915224642288997E-8</v>
      </c>
      <c r="K725" s="4">
        <f t="shared" si="101"/>
        <v>-2.3458178900431149E-8</v>
      </c>
      <c r="L725" s="4">
        <f t="shared" si="102"/>
        <v>-8.4547496182678205E-9</v>
      </c>
      <c r="M725" s="4">
        <f t="shared" si="104"/>
        <v>-9.162008611693231E-9</v>
      </c>
      <c r="N725" s="5">
        <f t="shared" si="105"/>
        <v>4.1007387024125873E-8</v>
      </c>
      <c r="O725" s="5">
        <f t="shared" si="106"/>
        <v>1.2036025877090629E-6</v>
      </c>
      <c r="P725" s="5">
        <f t="shared" si="107"/>
        <v>5.5539002526681192E-7</v>
      </c>
      <c r="Q725" s="1">
        <f t="shared" si="103"/>
        <v>1.8000000000000008E-6</v>
      </c>
    </row>
    <row r="726" spans="1:17" x14ac:dyDescent="0.25">
      <c r="A726" s="1">
        <v>36.200000000000003</v>
      </c>
      <c r="B726" s="1">
        <v>2.2655999999999999E-2</v>
      </c>
      <c r="C726" s="1">
        <v>4.1152000000000003E-3</v>
      </c>
      <c r="D726" s="1">
        <v>2.1628000000000001E-2</v>
      </c>
      <c r="E726" s="1">
        <v>2.5967E-2</v>
      </c>
      <c r="F726" s="1">
        <v>1.9069999999999999E-6</v>
      </c>
      <c r="G726" s="1">
        <v>6.82</v>
      </c>
      <c r="H726" s="1">
        <v>1.571E-7</v>
      </c>
      <c r="I726" s="1">
        <f t="shared" si="99"/>
        <v>1.571E-7</v>
      </c>
      <c r="J726" s="4">
        <f t="shared" si="100"/>
        <v>-1.4930156502437239E-8</v>
      </c>
      <c r="K726" s="4">
        <f t="shared" si="101"/>
        <v>-2.3470250460328729E-8</v>
      </c>
      <c r="L726" s="4">
        <f t="shared" si="102"/>
        <v>-8.4499083376219826E-9</v>
      </c>
      <c r="M726" s="4">
        <f t="shared" si="104"/>
        <v>-9.1556045665241751E-9</v>
      </c>
      <c r="N726" s="5">
        <f t="shared" si="105"/>
        <v>4.109757264439538E-8</v>
      </c>
      <c r="O726" s="5">
        <f t="shared" si="106"/>
        <v>1.2042180983176956E-6</v>
      </c>
      <c r="P726" s="5">
        <f t="shared" si="107"/>
        <v>5.5468432903790977E-7</v>
      </c>
      <c r="Q726" s="1">
        <f t="shared" si="103"/>
        <v>1.8000000000000008E-6</v>
      </c>
    </row>
    <row r="727" spans="1:17" x14ac:dyDescent="0.25">
      <c r="A727" s="1">
        <v>36.25</v>
      </c>
      <c r="B727" s="1">
        <v>2.2610000000000002E-2</v>
      </c>
      <c r="C727" s="1">
        <v>4.1101000000000002E-3</v>
      </c>
      <c r="D727" s="1">
        <v>2.1654E-2</v>
      </c>
      <c r="E727" s="1">
        <v>2.5912000000000001E-2</v>
      </c>
      <c r="F727" s="1">
        <v>1.9059E-6</v>
      </c>
      <c r="G727" s="1">
        <v>6.8197000000000001</v>
      </c>
      <c r="H727" s="1">
        <v>1.5718999999999999E-7</v>
      </c>
      <c r="I727" s="1">
        <f t="shared" si="99"/>
        <v>1.5718999999999999E-7</v>
      </c>
      <c r="J727" s="4">
        <f t="shared" si="100"/>
        <v>-1.4945744645965932E-8</v>
      </c>
      <c r="K727" s="4">
        <f t="shared" si="101"/>
        <v>-2.3482252917193731E-8</v>
      </c>
      <c r="L727" s="4">
        <f t="shared" si="102"/>
        <v>-8.4457211723673786E-9</v>
      </c>
      <c r="M727" s="4">
        <f t="shared" si="104"/>
        <v>-9.1497953496443216E-9</v>
      </c>
      <c r="N727" s="5">
        <f t="shared" si="105"/>
        <v>4.1188359743255797E-8</v>
      </c>
      <c r="O727" s="5">
        <f t="shared" si="106"/>
        <v>1.2048313853961121E-6</v>
      </c>
      <c r="P727" s="5">
        <f t="shared" si="107"/>
        <v>5.5398025486063276E-7</v>
      </c>
      <c r="Q727" s="1">
        <f t="shared" si="103"/>
        <v>1.8000000000000008E-6</v>
      </c>
    </row>
    <row r="728" spans="1:17" x14ac:dyDescent="0.25">
      <c r="A728" s="1">
        <v>36.299999999999997</v>
      </c>
      <c r="B728" s="1">
        <v>2.2565000000000002E-2</v>
      </c>
      <c r="C728" s="1">
        <v>4.1048999999999999E-3</v>
      </c>
      <c r="D728" s="1">
        <v>2.1679E-2</v>
      </c>
      <c r="E728" s="1">
        <v>2.5857000000000002E-2</v>
      </c>
      <c r="F728" s="1">
        <v>1.9048E-6</v>
      </c>
      <c r="G728" s="1">
        <v>6.8193999999999999</v>
      </c>
      <c r="H728" s="1">
        <v>1.5729E-7</v>
      </c>
      <c r="I728" s="1">
        <f t="shared" si="99"/>
        <v>1.5729E-7</v>
      </c>
      <c r="J728" s="4">
        <f t="shared" si="100"/>
        <v>-1.4961485546539138E-8</v>
      </c>
      <c r="K728" s="4">
        <f t="shared" si="101"/>
        <v>-2.349421201522285E-8</v>
      </c>
      <c r="L728" s="4">
        <f t="shared" si="102"/>
        <v>-8.4415780258669253E-9</v>
      </c>
      <c r="M728" s="4">
        <f t="shared" si="104"/>
        <v>-9.1434164074614801E-9</v>
      </c>
      <c r="N728" s="5">
        <f t="shared" si="105"/>
        <v>4.1279508186072583E-8</v>
      </c>
      <c r="O728" s="5">
        <f t="shared" si="106"/>
        <v>1.2054420753348897E-6</v>
      </c>
      <c r="P728" s="5">
        <f t="shared" si="107"/>
        <v>5.5327841647903823E-7</v>
      </c>
      <c r="Q728" s="1">
        <f t="shared" si="103"/>
        <v>1.8000000000000006E-6</v>
      </c>
    </row>
    <row r="729" spans="1:17" x14ac:dyDescent="0.25">
      <c r="A729" s="1">
        <v>36.35</v>
      </c>
      <c r="B729" s="1">
        <v>2.2519999999999998E-2</v>
      </c>
      <c r="C729" s="1">
        <v>4.0997999999999998E-3</v>
      </c>
      <c r="D729" s="1">
        <v>2.1704000000000001E-2</v>
      </c>
      <c r="E729" s="1">
        <v>2.5801999999999999E-2</v>
      </c>
      <c r="F729" s="1">
        <v>1.9037000000000001E-6</v>
      </c>
      <c r="G729" s="1">
        <v>6.8190999999999997</v>
      </c>
      <c r="H729" s="1">
        <v>1.5738E-7</v>
      </c>
      <c r="I729" s="1">
        <f t="shared" si="99"/>
        <v>1.5738E-7</v>
      </c>
      <c r="J729" s="4">
        <f t="shared" si="100"/>
        <v>-1.4977291386091738E-8</v>
      </c>
      <c r="K729" s="4">
        <f t="shared" si="101"/>
        <v>-2.3506120469032352E-8</v>
      </c>
      <c r="L729" s="4">
        <f t="shared" si="102"/>
        <v>-8.4374289530986037E-9</v>
      </c>
      <c r="M729" s="4">
        <f t="shared" si="104"/>
        <v>-9.1376420234395115E-9</v>
      </c>
      <c r="N729" s="5">
        <f t="shared" si="105"/>
        <v>4.13709083159146E-8</v>
      </c>
      <c r="O729" s="5">
        <f t="shared" si="106"/>
        <v>1.2060508882753887E-6</v>
      </c>
      <c r="P729" s="5">
        <f t="shared" si="107"/>
        <v>5.5257820340869735E-7</v>
      </c>
      <c r="Q729" s="1">
        <f t="shared" si="103"/>
        <v>1.8000000000000006E-6</v>
      </c>
    </row>
    <row r="730" spans="1:17" x14ac:dyDescent="0.25">
      <c r="A730" s="1">
        <v>36.4</v>
      </c>
      <c r="B730" s="1">
        <v>2.2474999999999998E-2</v>
      </c>
      <c r="C730" s="1">
        <v>4.0946999999999997E-3</v>
      </c>
      <c r="D730" s="1">
        <v>2.1728999999999998E-2</v>
      </c>
      <c r="E730" s="1">
        <v>2.5748E-2</v>
      </c>
      <c r="F730" s="1">
        <v>1.9026E-6</v>
      </c>
      <c r="G730" s="1">
        <v>6.8188000000000004</v>
      </c>
      <c r="H730" s="1">
        <v>1.5748E-7</v>
      </c>
      <c r="I730" s="1">
        <f t="shared" si="99"/>
        <v>1.5748E-7</v>
      </c>
      <c r="J730" s="4">
        <f t="shared" si="100"/>
        <v>-1.4993122035909981E-8</v>
      </c>
      <c r="K730" s="4">
        <f t="shared" si="101"/>
        <v>-2.3517992321368744E-8</v>
      </c>
      <c r="L730" s="4">
        <f t="shared" si="102"/>
        <v>-8.4332511388232364E-9</v>
      </c>
      <c r="M730" s="4">
        <f t="shared" si="104"/>
        <v>-9.1312995535078641E-9</v>
      </c>
      <c r="N730" s="5">
        <f t="shared" si="105"/>
        <v>4.1462527462550124E-8</v>
      </c>
      <c r="O730" s="5">
        <f t="shared" si="106"/>
        <v>1.206657317543438E-6</v>
      </c>
      <c r="P730" s="5">
        <f t="shared" si="107"/>
        <v>5.5188015499401272E-7</v>
      </c>
      <c r="Q730" s="1">
        <f t="shared" si="103"/>
        <v>1.800000000000001E-6</v>
      </c>
    </row>
    <row r="731" spans="1:17" x14ac:dyDescent="0.25">
      <c r="A731" s="1">
        <v>36.450000000000003</v>
      </c>
      <c r="B731" s="1">
        <v>2.2429999999999999E-2</v>
      </c>
      <c r="C731" s="1">
        <v>4.0895000000000003E-3</v>
      </c>
      <c r="D731" s="1">
        <v>2.1753999999999999E-2</v>
      </c>
      <c r="E731" s="1">
        <v>2.5693000000000001E-2</v>
      </c>
      <c r="F731" s="1">
        <v>1.9014999999999999E-6</v>
      </c>
      <c r="G731" s="1">
        <v>6.8185000000000002</v>
      </c>
      <c r="H731" s="1">
        <v>1.5758000000000001E-7</v>
      </c>
      <c r="I731" s="1">
        <f t="shared" si="99"/>
        <v>1.5758000000000001E-7</v>
      </c>
      <c r="J731" s="4">
        <f t="shared" si="100"/>
        <v>-1.5008965419783438E-8</v>
      </c>
      <c r="K731" s="4">
        <f t="shared" si="101"/>
        <v>-2.3529817692099048E-8</v>
      </c>
      <c r="L731" s="4">
        <f t="shared" si="102"/>
        <v>-8.4293650413046545E-9</v>
      </c>
      <c r="M731" s="4">
        <f t="shared" si="104"/>
        <v>-9.1255591148887764E-9</v>
      </c>
      <c r="N731" s="5">
        <f t="shared" si="105"/>
        <v>4.1554014693561086E-8</v>
      </c>
      <c r="O731" s="5">
        <f t="shared" si="106"/>
        <v>1.2072620243860111E-6</v>
      </c>
      <c r="P731" s="5">
        <f t="shared" si="107"/>
        <v>5.5118396092042852E-7</v>
      </c>
      <c r="Q731" s="1">
        <f t="shared" si="103"/>
        <v>1.8000000000000008E-6</v>
      </c>
    </row>
    <row r="732" spans="1:17" x14ac:dyDescent="0.25">
      <c r="A732" s="1">
        <v>36.5</v>
      </c>
      <c r="B732" s="1">
        <v>2.2384999999999999E-2</v>
      </c>
      <c r="C732" s="1">
        <v>4.0842999999999999E-3</v>
      </c>
      <c r="D732" s="1">
        <v>2.1779E-2</v>
      </c>
      <c r="E732" s="1">
        <v>2.5638000000000001E-2</v>
      </c>
      <c r="F732" s="1">
        <v>1.9003E-6</v>
      </c>
      <c r="G732" s="1">
        <v>6.8182999999999998</v>
      </c>
      <c r="H732" s="1">
        <v>1.5767000000000001E-7</v>
      </c>
      <c r="I732" s="1">
        <f t="shared" si="99"/>
        <v>1.5767000000000001E-7</v>
      </c>
      <c r="J732" s="4">
        <f t="shared" si="100"/>
        <v>-1.5024694442403332E-8</v>
      </c>
      <c r="K732" s="4">
        <f t="shared" si="101"/>
        <v>-2.3541609475525879E-8</v>
      </c>
      <c r="L732" s="4">
        <f t="shared" si="102"/>
        <v>-8.4250450611673714E-9</v>
      </c>
      <c r="M732" s="4">
        <f t="shared" si="104"/>
        <v>-9.1198346989928003E-9</v>
      </c>
      <c r="N732" s="5">
        <f t="shared" si="105"/>
        <v>4.1645884665516265E-8</v>
      </c>
      <c r="O732" s="5">
        <f t="shared" si="106"/>
        <v>1.2078649440518812E-6</v>
      </c>
      <c r="P732" s="5">
        <f t="shared" si="107"/>
        <v>5.5048917128260308E-7</v>
      </c>
      <c r="Q732" s="1">
        <f t="shared" si="103"/>
        <v>1.8000000000000006E-6</v>
      </c>
    </row>
    <row r="733" spans="1:17" x14ac:dyDescent="0.25">
      <c r="A733" s="1">
        <v>36.549999999999997</v>
      </c>
      <c r="B733" s="1">
        <v>2.2339999999999999E-2</v>
      </c>
      <c r="C733" s="1">
        <v>4.0790999999999996E-3</v>
      </c>
      <c r="D733" s="1">
        <v>2.1804E-2</v>
      </c>
      <c r="E733" s="1">
        <v>2.5583999999999999E-2</v>
      </c>
      <c r="F733" s="1">
        <v>1.8991E-6</v>
      </c>
      <c r="G733" s="1">
        <v>6.8179999999999996</v>
      </c>
      <c r="H733" s="1">
        <v>1.5776999999999999E-7</v>
      </c>
      <c r="I733" s="1">
        <f t="shared" si="99"/>
        <v>1.5776999999999999E-7</v>
      </c>
      <c r="J733" s="4">
        <f t="shared" si="100"/>
        <v>-1.503891236991535E-8</v>
      </c>
      <c r="K733" s="4">
        <f t="shared" si="101"/>
        <v>-2.3553366409010346E-8</v>
      </c>
      <c r="L733" s="4">
        <f t="shared" si="102"/>
        <v>-8.4202793593671645E-9</v>
      </c>
      <c r="M733" s="4">
        <f t="shared" si="104"/>
        <v>-9.1135409017929245E-9</v>
      </c>
      <c r="N733" s="5">
        <f t="shared" si="105"/>
        <v>4.1740059345244095E-8</v>
      </c>
      <c r="O733" s="5">
        <f t="shared" si="106"/>
        <v>1.2084640309145793E-6</v>
      </c>
      <c r="P733" s="5">
        <f t="shared" si="107"/>
        <v>5.497959097401773E-7</v>
      </c>
      <c r="Q733" s="1">
        <f t="shared" si="103"/>
        <v>1.8000000000000008E-6</v>
      </c>
    </row>
    <row r="734" spans="1:17" x14ac:dyDescent="0.25">
      <c r="A734" s="1">
        <v>36.6</v>
      </c>
      <c r="B734" s="1">
        <v>2.2294999999999999E-2</v>
      </c>
      <c r="C734" s="1">
        <v>4.0739000000000001E-3</v>
      </c>
      <c r="D734" s="1">
        <v>2.1829000000000001E-2</v>
      </c>
      <c r="E734" s="1">
        <v>2.5529E-2</v>
      </c>
      <c r="F734" s="1">
        <v>1.8980000000000001E-6</v>
      </c>
      <c r="G734" s="1">
        <v>6.8177000000000003</v>
      </c>
      <c r="H734" s="1">
        <v>1.5786000000000001E-7</v>
      </c>
      <c r="I734" s="1">
        <f t="shared" si="99"/>
        <v>1.5786000000000001E-7</v>
      </c>
      <c r="J734" s="4">
        <f t="shared" si="100"/>
        <v>-1.5053889704283135E-8</v>
      </c>
      <c r="K734" s="4">
        <f t="shared" si="101"/>
        <v>-2.3565048602836308E-8</v>
      </c>
      <c r="L734" s="4">
        <f t="shared" si="102"/>
        <v>-8.416226970178905E-9</v>
      </c>
      <c r="M734" s="4">
        <f t="shared" si="104"/>
        <v>-9.1078365713700916E-9</v>
      </c>
      <c r="N734" s="5">
        <f t="shared" si="105"/>
        <v>4.1834991273618367E-8</v>
      </c>
      <c r="O734" s="5">
        <f t="shared" si="106"/>
        <v>1.2090607085873964E-6</v>
      </c>
      <c r="P734" s="5">
        <f t="shared" si="107"/>
        <v>5.4910430013898614E-7</v>
      </c>
      <c r="Q734" s="1">
        <f t="shared" si="103"/>
        <v>1.8000000000000008E-6</v>
      </c>
    </row>
    <row r="735" spans="1:17" x14ac:dyDescent="0.25">
      <c r="A735" s="1">
        <v>36.65</v>
      </c>
      <c r="B735" s="1">
        <v>2.2251E-2</v>
      </c>
      <c r="C735" s="1">
        <v>4.0686999999999997E-3</v>
      </c>
      <c r="D735" s="1">
        <v>2.1853999999999998E-2</v>
      </c>
      <c r="E735" s="1">
        <v>2.5475000000000001E-2</v>
      </c>
      <c r="F735" s="1">
        <v>1.8968E-6</v>
      </c>
      <c r="G735" s="1">
        <v>6.8174000000000001</v>
      </c>
      <c r="H735" s="1">
        <v>1.5795999999999999E-7</v>
      </c>
      <c r="I735" s="1">
        <f t="shared" si="99"/>
        <v>1.5795999999999999E-7</v>
      </c>
      <c r="J735" s="4">
        <f t="shared" si="100"/>
        <v>-1.5070653990403936E-8</v>
      </c>
      <c r="K735" s="4">
        <f t="shared" si="101"/>
        <v>-2.3576683817452891E-8</v>
      </c>
      <c r="L735" s="4">
        <f t="shared" si="102"/>
        <v>-8.4123588606019066E-9</v>
      </c>
      <c r="M735" s="4">
        <f t="shared" si="104"/>
        <v>-9.10156850609322E-9</v>
      </c>
      <c r="N735" s="5">
        <f t="shared" si="105"/>
        <v>4.1928662240065412E-8</v>
      </c>
      <c r="O735" s="5">
        <f t="shared" si="106"/>
        <v>1.2096562472664406E-6</v>
      </c>
      <c r="P735" s="5">
        <f t="shared" si="107"/>
        <v>5.4841509049349485E-7</v>
      </c>
      <c r="Q735" s="1">
        <f t="shared" si="103"/>
        <v>1.800000000000001E-6</v>
      </c>
    </row>
    <row r="736" spans="1:17" x14ac:dyDescent="0.25">
      <c r="A736" s="1">
        <v>36.700000000000003</v>
      </c>
      <c r="B736" s="1">
        <v>2.2206E-2</v>
      </c>
      <c r="C736" s="1">
        <v>4.0635000000000003E-3</v>
      </c>
      <c r="D736" s="1">
        <v>2.1878999999999999E-2</v>
      </c>
      <c r="E736" s="1">
        <v>2.5420000000000002E-2</v>
      </c>
      <c r="F736" s="1">
        <v>1.8955999999999999E-6</v>
      </c>
      <c r="G736" s="1">
        <v>6.8170999999999999</v>
      </c>
      <c r="H736" s="1">
        <v>1.5804999999999999E-7</v>
      </c>
      <c r="I736" s="1">
        <f t="shared" si="99"/>
        <v>1.5804999999999999E-7</v>
      </c>
      <c r="J736" s="4">
        <f t="shared" si="100"/>
        <v>-1.5085304750331117E-8</v>
      </c>
      <c r="K736" s="4">
        <f t="shared" si="101"/>
        <v>-2.3588296821697604E-8</v>
      </c>
      <c r="L736" s="4">
        <f t="shared" si="102"/>
        <v>-8.4080413055458852E-9</v>
      </c>
      <c r="M736" s="4">
        <f t="shared" si="104"/>
        <v>-9.0959030079077835E-9</v>
      </c>
      <c r="N736" s="5">
        <f t="shared" si="105"/>
        <v>4.2023613005886011E-8</v>
      </c>
      <c r="O736" s="5">
        <f t="shared" si="106"/>
        <v>1.210249158202982E-6</v>
      </c>
      <c r="P736" s="5">
        <f t="shared" si="107"/>
        <v>5.4772722879113295E-7</v>
      </c>
      <c r="Q736" s="1">
        <f t="shared" si="103"/>
        <v>1.800000000000001E-6</v>
      </c>
    </row>
    <row r="737" spans="1:17" x14ac:dyDescent="0.25">
      <c r="A737" s="1">
        <v>36.75</v>
      </c>
      <c r="B737" s="1">
        <v>2.2161E-2</v>
      </c>
      <c r="C737" s="1">
        <v>4.0581999999999997E-3</v>
      </c>
      <c r="D737" s="1">
        <v>2.1904E-2</v>
      </c>
      <c r="E737" s="1">
        <v>2.5366E-2</v>
      </c>
      <c r="F737" s="1">
        <v>1.8944E-6</v>
      </c>
      <c r="G737" s="1">
        <v>6.8167999999999997</v>
      </c>
      <c r="H737" s="1">
        <v>1.5815E-7</v>
      </c>
      <c r="I737" s="1">
        <f t="shared" si="99"/>
        <v>1.5815E-7</v>
      </c>
      <c r="J737" s="4">
        <f t="shared" si="100"/>
        <v>-1.5100342171892928E-8</v>
      </c>
      <c r="K737" s="4">
        <f t="shared" si="101"/>
        <v>-2.3599858584956808E-8</v>
      </c>
      <c r="L737" s="4">
        <f t="shared" si="102"/>
        <v>-8.4035682461463434E-9</v>
      </c>
      <c r="M737" s="4">
        <f t="shared" si="104"/>
        <v>-9.0896702935955324E-9</v>
      </c>
      <c r="N737" s="5">
        <f t="shared" si="105"/>
        <v>4.2119561172803554E-8</v>
      </c>
      <c r="O737" s="5">
        <f t="shared" si="106"/>
        <v>1.2108393120835136E-6</v>
      </c>
      <c r="P737" s="5">
        <f t="shared" si="107"/>
        <v>5.4704112674368372E-7</v>
      </c>
      <c r="Q737" s="1">
        <f t="shared" si="103"/>
        <v>1.800000000000001E-6</v>
      </c>
    </row>
    <row r="738" spans="1:17" x14ac:dyDescent="0.25">
      <c r="A738" s="1">
        <v>36.799999999999997</v>
      </c>
      <c r="B738" s="1">
        <v>2.2117000000000001E-2</v>
      </c>
      <c r="C738" s="1">
        <v>4.0530000000000002E-3</v>
      </c>
      <c r="D738" s="1">
        <v>2.1929000000000001E-2</v>
      </c>
      <c r="E738" s="1">
        <v>2.5312000000000001E-2</v>
      </c>
      <c r="F738" s="1">
        <v>1.8931999999999999E-6</v>
      </c>
      <c r="G738" s="1">
        <v>6.8164999999999996</v>
      </c>
      <c r="H738" s="1">
        <v>1.5823999999999999E-7</v>
      </c>
      <c r="I738" s="1">
        <f t="shared" si="99"/>
        <v>1.5823999999999999E-7</v>
      </c>
      <c r="J738" s="4">
        <f t="shared" si="100"/>
        <v>-1.5115663244149339E-8</v>
      </c>
      <c r="K738" s="4">
        <f t="shared" si="101"/>
        <v>-2.3611366585627174E-8</v>
      </c>
      <c r="L738" s="4">
        <f t="shared" si="102"/>
        <v>-8.3995420316830229E-9</v>
      </c>
      <c r="M738" s="4">
        <f t="shared" si="104"/>
        <v>-9.0840281904234103E-9</v>
      </c>
      <c r="N738" s="5">
        <f t="shared" si="105"/>
        <v>4.2215722482598361E-8</v>
      </c>
      <c r="O738" s="5">
        <f t="shared" si="106"/>
        <v>1.2114276369324592E-6</v>
      </c>
      <c r="P738" s="5">
        <f t="shared" si="107"/>
        <v>5.4635664058494329E-7</v>
      </c>
      <c r="Q738" s="1">
        <f t="shared" si="103"/>
        <v>1.800000000000001E-6</v>
      </c>
    </row>
    <row r="739" spans="1:17" x14ac:dyDescent="0.25">
      <c r="A739" s="1">
        <v>36.85</v>
      </c>
      <c r="B739" s="1">
        <v>2.2072000000000001E-2</v>
      </c>
      <c r="C739" s="1">
        <v>4.0477000000000004E-3</v>
      </c>
      <c r="D739" s="1">
        <v>2.1954000000000001E-2</v>
      </c>
      <c r="E739" s="1">
        <v>2.5257999999999999E-2</v>
      </c>
      <c r="F739" s="1">
        <v>1.8919E-6</v>
      </c>
      <c r="G739" s="1">
        <v>6.8163</v>
      </c>
      <c r="H739" s="1">
        <v>1.5832999999999999E-7</v>
      </c>
      <c r="I739" s="1">
        <f t="shared" si="99"/>
        <v>1.5832999999999999E-7</v>
      </c>
      <c r="J739" s="4">
        <f t="shared" si="100"/>
        <v>-1.5130985594825026E-8</v>
      </c>
      <c r="K739" s="4">
        <f t="shared" si="101"/>
        <v>-2.362283892018497E-8</v>
      </c>
      <c r="L739" s="4">
        <f t="shared" si="102"/>
        <v>-8.3954751511265358E-9</v>
      </c>
      <c r="M739" s="4">
        <f t="shared" si="104"/>
        <v>-9.0778248546477226E-9</v>
      </c>
      <c r="N739" s="5">
        <f t="shared" si="105"/>
        <v>4.2312100656831772E-8</v>
      </c>
      <c r="O739" s="5">
        <f t="shared" si="106"/>
        <v>1.2120136084617469E-6</v>
      </c>
      <c r="P739" s="5">
        <f t="shared" si="107"/>
        <v>5.456742908814221E-7</v>
      </c>
      <c r="Q739" s="1">
        <f t="shared" si="103"/>
        <v>1.8000000000000008E-6</v>
      </c>
    </row>
    <row r="740" spans="1:17" x14ac:dyDescent="0.25">
      <c r="A740" s="1">
        <v>36.9</v>
      </c>
      <c r="B740" s="1">
        <v>2.2027999999999999E-2</v>
      </c>
      <c r="C740" s="1">
        <v>4.0423999999999998E-3</v>
      </c>
      <c r="D740" s="1">
        <v>2.1978999999999999E-2</v>
      </c>
      <c r="E740" s="1">
        <v>2.5204000000000001E-2</v>
      </c>
      <c r="F740" s="1">
        <v>1.8907E-6</v>
      </c>
      <c r="G740" s="1">
        <v>6.8159999999999998</v>
      </c>
      <c r="H740" s="1">
        <v>1.5843E-7</v>
      </c>
      <c r="I740" s="1">
        <f t="shared" si="99"/>
        <v>1.5843E-7</v>
      </c>
      <c r="J740" s="4">
        <f t="shared" si="100"/>
        <v>-1.5144709300986091E-8</v>
      </c>
      <c r="K740" s="4">
        <f t="shared" si="101"/>
        <v>-2.3634265365002723E-8</v>
      </c>
      <c r="L740" s="4">
        <f t="shared" si="102"/>
        <v>-8.3909246272312106E-9</v>
      </c>
      <c r="M740" s="4">
        <f t="shared" si="104"/>
        <v>-9.0716440999013182E-9</v>
      </c>
      <c r="N740" s="5">
        <f t="shared" si="105"/>
        <v>4.2410732093617194E-8</v>
      </c>
      <c r="O740" s="5">
        <f t="shared" si="106"/>
        <v>1.2125956964976315E-6</v>
      </c>
      <c r="P740" s="5">
        <f t="shared" si="107"/>
        <v>5.44993571408752E-7</v>
      </c>
      <c r="Q740" s="1">
        <f t="shared" si="103"/>
        <v>1.8000000000000008E-6</v>
      </c>
    </row>
    <row r="741" spans="1:17" x14ac:dyDescent="0.25">
      <c r="A741" s="1">
        <v>36.950000000000003</v>
      </c>
      <c r="B741" s="1">
        <v>2.1984E-2</v>
      </c>
      <c r="C741" s="1">
        <v>4.0371000000000001E-3</v>
      </c>
      <c r="D741" s="1">
        <v>2.2003999999999999E-2</v>
      </c>
      <c r="E741" s="1">
        <v>2.5149999999999999E-2</v>
      </c>
      <c r="F741" s="1">
        <v>1.8894000000000001E-6</v>
      </c>
      <c r="G741" s="1">
        <v>6.8156999999999996</v>
      </c>
      <c r="H741" s="1">
        <v>1.5851999999999999E-7</v>
      </c>
      <c r="I741" s="1">
        <f t="shared" si="99"/>
        <v>1.5851999999999999E-7</v>
      </c>
      <c r="J741" s="4">
        <f t="shared" si="100"/>
        <v>-1.5160761569000132E-8</v>
      </c>
      <c r="K741" s="4">
        <f t="shared" si="101"/>
        <v>-2.3645616081705833E-8</v>
      </c>
      <c r="L741" s="4">
        <f t="shared" si="102"/>
        <v>-8.3871799520181912E-9</v>
      </c>
      <c r="M741" s="4">
        <f t="shared" si="104"/>
        <v>-9.0660498094210736E-9</v>
      </c>
      <c r="N741" s="5">
        <f t="shared" si="105"/>
        <v>4.2508406654304705E-8</v>
      </c>
      <c r="O741" s="5">
        <f t="shared" si="106"/>
        <v>1.2131768917943469E-6</v>
      </c>
      <c r="P741" s="5">
        <f t="shared" si="107"/>
        <v>5.4431470155134909E-7</v>
      </c>
      <c r="Q741" s="1">
        <f t="shared" si="103"/>
        <v>1.8000000000000008E-6</v>
      </c>
    </row>
    <row r="742" spans="1:17" x14ac:dyDescent="0.25">
      <c r="A742" s="1">
        <v>37</v>
      </c>
      <c r="B742" s="1">
        <v>2.1940000000000001E-2</v>
      </c>
      <c r="C742" s="1">
        <v>4.0318000000000003E-3</v>
      </c>
      <c r="D742" s="1">
        <v>2.2027999999999999E-2</v>
      </c>
      <c r="E742" s="1">
        <v>2.5096E-2</v>
      </c>
      <c r="F742" s="1">
        <v>1.8882E-6</v>
      </c>
      <c r="G742" s="1">
        <v>6.8154000000000003</v>
      </c>
      <c r="H742" s="1">
        <v>1.5862E-7</v>
      </c>
      <c r="I742" s="1">
        <f t="shared" si="99"/>
        <v>1.5862E-7</v>
      </c>
      <c r="J742" s="4">
        <f t="shared" si="100"/>
        <v>-1.5174788564656767E-8</v>
      </c>
      <c r="K742" s="4">
        <f t="shared" si="101"/>
        <v>-2.365694938998842E-8</v>
      </c>
      <c r="L742" s="4">
        <f t="shared" si="102"/>
        <v>-8.3827173677603368E-9</v>
      </c>
      <c r="M742" s="4">
        <f t="shared" si="104"/>
        <v>-9.0599004814410692E-9</v>
      </c>
      <c r="N742" s="5">
        <f t="shared" si="105"/>
        <v>4.2607850111876024E-8</v>
      </c>
      <c r="O742" s="5">
        <f t="shared" si="106"/>
        <v>1.2137546314504563E-6</v>
      </c>
      <c r="P742" s="5">
        <f t="shared" si="107"/>
        <v>5.4363751843766829E-7</v>
      </c>
      <c r="Q742" s="1">
        <f t="shared" si="103"/>
        <v>1.8000000000000006E-6</v>
      </c>
    </row>
    <row r="743" spans="1:17" x14ac:dyDescent="0.25">
      <c r="A743" s="1">
        <v>37.049999999999997</v>
      </c>
      <c r="B743" s="1">
        <v>2.1895999999999999E-2</v>
      </c>
      <c r="C743" s="1">
        <v>4.0264000000000003E-3</v>
      </c>
      <c r="D743" s="1">
        <v>2.2053E-2</v>
      </c>
      <c r="E743" s="1">
        <v>2.5041999999999998E-2</v>
      </c>
      <c r="F743" s="1">
        <v>1.8869000000000001E-6</v>
      </c>
      <c r="G743" s="1">
        <v>6.8151000000000002</v>
      </c>
      <c r="H743" s="1">
        <v>1.5871E-7</v>
      </c>
      <c r="I743" s="1">
        <f t="shared" si="99"/>
        <v>1.5871E-7</v>
      </c>
      <c r="J743" s="4">
        <f t="shared" si="100"/>
        <v>-1.5190973562189685E-8</v>
      </c>
      <c r="K743" s="4">
        <f t="shared" si="101"/>
        <v>-2.3668215313282553E-8</v>
      </c>
      <c r="L743" s="4">
        <f t="shared" si="102"/>
        <v>-8.3789619264079888E-9</v>
      </c>
      <c r="M743" s="4">
        <f t="shared" si="104"/>
        <v>-9.0543372333306947E-9</v>
      </c>
      <c r="N743" s="5">
        <f t="shared" si="105"/>
        <v>4.2706129936560899E-8</v>
      </c>
      <c r="O743" s="5">
        <f t="shared" si="106"/>
        <v>1.2143317269326941E-6</v>
      </c>
      <c r="P743" s="5">
        <f t="shared" si="107"/>
        <v>5.429621431307456E-7</v>
      </c>
      <c r="Q743" s="1">
        <f t="shared" si="103"/>
        <v>1.8000000000000006E-6</v>
      </c>
    </row>
    <row r="744" spans="1:17" x14ac:dyDescent="0.25">
      <c r="A744" s="1">
        <v>37.1</v>
      </c>
      <c r="B744" s="1">
        <v>2.1852E-2</v>
      </c>
      <c r="C744" s="1">
        <v>4.0210999999999997E-3</v>
      </c>
      <c r="D744" s="1">
        <v>2.2078E-2</v>
      </c>
      <c r="E744" s="1">
        <v>2.4988E-2</v>
      </c>
      <c r="F744" s="1">
        <v>1.8856E-6</v>
      </c>
      <c r="G744" s="1">
        <v>6.8148999999999997</v>
      </c>
      <c r="H744" s="1">
        <v>1.5879999999999999E-7</v>
      </c>
      <c r="I744" s="1">
        <f t="shared" si="99"/>
        <v>1.5879999999999999E-7</v>
      </c>
      <c r="J744" s="4">
        <f t="shared" si="100"/>
        <v>-1.5205054672171423E-8</v>
      </c>
      <c r="K744" s="4">
        <f t="shared" si="101"/>
        <v>-2.3679468675189553E-8</v>
      </c>
      <c r="L744" s="4">
        <f t="shared" si="102"/>
        <v>-8.3744483717586759E-9</v>
      </c>
      <c r="M744" s="4">
        <f t="shared" si="104"/>
        <v>-9.0482197823102396E-9</v>
      </c>
      <c r="N744" s="5">
        <f t="shared" si="105"/>
        <v>4.2806095567820355E-8</v>
      </c>
      <c r="O744" s="5">
        <f t="shared" si="106"/>
        <v>1.2149055327119862E-6</v>
      </c>
      <c r="P744" s="5">
        <f t="shared" si="107"/>
        <v>5.4228837172019404E-7</v>
      </c>
      <c r="Q744" s="1">
        <f t="shared" si="103"/>
        <v>1.8000000000000006E-6</v>
      </c>
    </row>
    <row r="745" spans="1:17" x14ac:dyDescent="0.25">
      <c r="A745" s="1">
        <v>37.15</v>
      </c>
      <c r="B745" s="1">
        <v>2.1808000000000001E-2</v>
      </c>
      <c r="C745" s="1">
        <v>4.0156999999999997E-3</v>
      </c>
      <c r="D745" s="1">
        <v>2.2102E-2</v>
      </c>
      <c r="E745" s="1">
        <v>2.4934000000000001E-2</v>
      </c>
      <c r="F745" s="1">
        <v>1.8842999999999999E-6</v>
      </c>
      <c r="G745" s="1">
        <v>6.8146000000000004</v>
      </c>
      <c r="H745" s="1">
        <v>1.589E-7</v>
      </c>
      <c r="I745" s="1">
        <f t="shared" si="99"/>
        <v>1.589E-7</v>
      </c>
      <c r="J745" s="4">
        <f t="shared" si="100"/>
        <v>-1.5219653172232866E-8</v>
      </c>
      <c r="K745" s="4">
        <f t="shared" si="101"/>
        <v>-2.3690657887882385E-8</v>
      </c>
      <c r="L745" s="4">
        <f t="shared" si="102"/>
        <v>-8.370179666372414E-9</v>
      </c>
      <c r="M745" s="4">
        <f t="shared" si="104"/>
        <v>-9.0421163100620018E-9</v>
      </c>
      <c r="N745" s="5">
        <f t="shared" si="105"/>
        <v>4.2906920617097459E-8</v>
      </c>
      <c r="O745" s="5">
        <f t="shared" si="106"/>
        <v>1.2154766443063987E-6</v>
      </c>
      <c r="P745" s="5">
        <f t="shared" si="107"/>
        <v>5.4161643507650448E-7</v>
      </c>
      <c r="Q745" s="1">
        <f t="shared" si="103"/>
        <v>1.8000000000000008E-6</v>
      </c>
    </row>
    <row r="746" spans="1:17" x14ac:dyDescent="0.25">
      <c r="A746" s="1">
        <v>37.200000000000003</v>
      </c>
      <c r="B746" s="1">
        <v>2.1763999999999999E-2</v>
      </c>
      <c r="C746" s="1">
        <v>4.0103999999999999E-3</v>
      </c>
      <c r="D746" s="1">
        <v>2.2127000000000001E-2</v>
      </c>
      <c r="E746" s="1">
        <v>2.4881E-2</v>
      </c>
      <c r="F746" s="1">
        <v>1.883E-6</v>
      </c>
      <c r="G746" s="1">
        <v>6.8143000000000002</v>
      </c>
      <c r="H746" s="1">
        <v>1.5899E-7</v>
      </c>
      <c r="I746" s="1">
        <f t="shared" si="99"/>
        <v>1.5899E-7</v>
      </c>
      <c r="J746" s="4">
        <f t="shared" si="100"/>
        <v>-1.5234473267058167E-8</v>
      </c>
      <c r="K746" s="4">
        <f t="shared" si="101"/>
        <v>-2.3701794563976797E-8</v>
      </c>
      <c r="L746" s="4">
        <f t="shared" si="102"/>
        <v>-8.3659920353947765E-9</v>
      </c>
      <c r="M746" s="4">
        <f t="shared" si="104"/>
        <v>-9.0365994110347099E-9</v>
      </c>
      <c r="N746" s="5">
        <f t="shared" si="105"/>
        <v>4.3008249878621314E-8</v>
      </c>
      <c r="O746" s="5">
        <f t="shared" si="106"/>
        <v>1.2160459224205148E-6</v>
      </c>
      <c r="P746" s="5">
        <f t="shared" si="107"/>
        <v>5.4094582770086448E-7</v>
      </c>
      <c r="Q746" s="1">
        <f t="shared" si="103"/>
        <v>1.8000000000000006E-6</v>
      </c>
    </row>
    <row r="747" spans="1:17" x14ac:dyDescent="0.25">
      <c r="A747" s="1">
        <v>37.25</v>
      </c>
      <c r="B747" s="1">
        <v>2.172E-2</v>
      </c>
      <c r="C747" s="1">
        <v>4.0049999999999999E-3</v>
      </c>
      <c r="D747" s="1">
        <v>2.2152000000000002E-2</v>
      </c>
      <c r="E747" s="1">
        <v>2.4826999999999998E-2</v>
      </c>
      <c r="F747" s="1">
        <v>1.8816999999999999E-6</v>
      </c>
      <c r="G747" s="1">
        <v>6.8140000000000001</v>
      </c>
      <c r="H747" s="1">
        <v>1.5907999999999999E-7</v>
      </c>
      <c r="I747" s="1">
        <f t="shared" si="99"/>
        <v>1.5907999999999999E-7</v>
      </c>
      <c r="J747" s="4">
        <f t="shared" si="100"/>
        <v>-1.5249387850387026E-8</v>
      </c>
      <c r="K747" s="4">
        <f t="shared" si="101"/>
        <v>-2.3712895487198692E-8</v>
      </c>
      <c r="L747" s="4">
        <f t="shared" si="102"/>
        <v>-8.3621512442259171E-9</v>
      </c>
      <c r="M747" s="4">
        <f t="shared" si="104"/>
        <v>-9.0305226003463322E-9</v>
      </c>
      <c r="N747" s="5">
        <f t="shared" si="105"/>
        <v>4.3109606271207066E-8</v>
      </c>
      <c r="O747" s="5">
        <f t="shared" si="106"/>
        <v>1.2166129373840493E-6</v>
      </c>
      <c r="P747" s="5">
        <f t="shared" si="107"/>
        <v>5.40277456344744E-7</v>
      </c>
      <c r="Q747" s="1">
        <f t="shared" si="103"/>
        <v>1.8000000000000003E-6</v>
      </c>
    </row>
    <row r="748" spans="1:17" x14ac:dyDescent="0.25">
      <c r="A748" s="1">
        <v>37.299999999999997</v>
      </c>
      <c r="B748" s="1">
        <v>2.1676000000000001E-2</v>
      </c>
      <c r="C748" s="1">
        <v>3.9995999999999999E-3</v>
      </c>
      <c r="D748" s="1">
        <v>2.2176000000000001E-2</v>
      </c>
      <c r="E748" s="1">
        <v>2.4774000000000001E-2</v>
      </c>
      <c r="F748" s="1">
        <v>1.8803E-6</v>
      </c>
      <c r="G748" s="1">
        <v>6.8136999999999999</v>
      </c>
      <c r="H748" s="1">
        <v>1.5918E-7</v>
      </c>
      <c r="I748" s="1">
        <f t="shared" si="99"/>
        <v>1.5918E-7</v>
      </c>
      <c r="J748" s="4">
        <f t="shared" si="100"/>
        <v>-1.5264227359499325E-8</v>
      </c>
      <c r="K748" s="4">
        <f t="shared" si="101"/>
        <v>-2.3723952278987615E-8</v>
      </c>
      <c r="L748" s="4">
        <f t="shared" si="102"/>
        <v>-8.3578925254573121E-9</v>
      </c>
      <c r="M748" s="4">
        <f t="shared" si="104"/>
        <v>-9.0244704643082829E-9</v>
      </c>
      <c r="N748" s="5">
        <f t="shared" si="105"/>
        <v>4.3211438665238047E-8</v>
      </c>
      <c r="O748" s="5">
        <f t="shared" si="106"/>
        <v>1.2171776829288691E-6</v>
      </c>
      <c r="P748" s="5">
        <f t="shared" si="107"/>
        <v>5.3961087840589306E-7</v>
      </c>
      <c r="Q748" s="1">
        <f t="shared" si="103"/>
        <v>1.8000000000000003E-6</v>
      </c>
    </row>
    <row r="749" spans="1:17" x14ac:dyDescent="0.25">
      <c r="A749" s="1">
        <v>37.35</v>
      </c>
      <c r="B749" s="1">
        <v>2.1632999999999999E-2</v>
      </c>
      <c r="C749" s="1">
        <v>3.9941999999999998E-3</v>
      </c>
      <c r="D749" s="1">
        <v>2.2200999999999999E-2</v>
      </c>
      <c r="E749" s="1">
        <v>2.4721E-2</v>
      </c>
      <c r="F749" s="1">
        <v>1.8789999999999999E-6</v>
      </c>
      <c r="G749" s="1">
        <v>6.8135000000000003</v>
      </c>
      <c r="H749" s="1">
        <v>1.5927E-7</v>
      </c>
      <c r="I749" s="1">
        <f t="shared" si="99"/>
        <v>1.5927E-7</v>
      </c>
      <c r="J749" s="4">
        <f t="shared" si="100"/>
        <v>-1.5277525521027426E-8</v>
      </c>
      <c r="K749" s="4">
        <f t="shared" si="101"/>
        <v>-2.3734964817114972E-8</v>
      </c>
      <c r="L749" s="4">
        <f t="shared" si="102"/>
        <v>-8.3535312536319931E-9</v>
      </c>
      <c r="M749" s="4">
        <f t="shared" si="104"/>
        <v>-9.0190022605890247E-9</v>
      </c>
      <c r="N749" s="5">
        <f t="shared" si="105"/>
        <v>4.3315346707693598E-8</v>
      </c>
      <c r="O749" s="5">
        <f t="shared" si="106"/>
        <v>1.2177392458933707E-6</v>
      </c>
      <c r="P749" s="5">
        <f t="shared" si="107"/>
        <v>5.3894540739893611E-7</v>
      </c>
      <c r="Q749" s="1">
        <f t="shared" si="103"/>
        <v>1.8000000000000003E-6</v>
      </c>
    </row>
    <row r="750" spans="1:17" x14ac:dyDescent="0.25">
      <c r="A750" s="1">
        <v>37.4</v>
      </c>
      <c r="B750" s="1">
        <v>2.1589000000000001E-2</v>
      </c>
      <c r="C750" s="1">
        <v>3.9887000000000004E-3</v>
      </c>
      <c r="D750" s="1">
        <v>2.2225000000000002E-2</v>
      </c>
      <c r="E750" s="1">
        <v>2.4667000000000001E-2</v>
      </c>
      <c r="F750" s="1">
        <v>1.8776E-6</v>
      </c>
      <c r="G750" s="1">
        <v>6.8132000000000001</v>
      </c>
      <c r="H750" s="1">
        <v>1.5935999999999999E-7</v>
      </c>
      <c r="I750" s="1">
        <f t="shared" si="99"/>
        <v>1.5935999999999999E-7</v>
      </c>
      <c r="J750" s="4">
        <f t="shared" si="100"/>
        <v>-1.5293093901538932E-8</v>
      </c>
      <c r="K750" s="4">
        <f t="shared" si="101"/>
        <v>-2.3745915294919378E-8</v>
      </c>
      <c r="L750" s="4">
        <f t="shared" si="102"/>
        <v>-8.3499275333196775E-9</v>
      </c>
      <c r="M750" s="4">
        <f t="shared" si="104"/>
        <v>-9.0129726788244863E-9</v>
      </c>
      <c r="N750" s="5">
        <f t="shared" si="105"/>
        <v>4.3418240567754368E-8</v>
      </c>
      <c r="O750" s="5">
        <f t="shared" si="106"/>
        <v>1.2182993971788149E-6</v>
      </c>
      <c r="P750" s="5">
        <f t="shared" si="107"/>
        <v>5.3828236225343138E-7</v>
      </c>
      <c r="Q750" s="1">
        <f t="shared" si="103"/>
        <v>1.8000000000000006E-6</v>
      </c>
    </row>
    <row r="751" spans="1:17" x14ac:dyDescent="0.25">
      <c r="A751" s="1">
        <v>37.450000000000003</v>
      </c>
      <c r="B751" s="1">
        <v>2.1545999999999999E-2</v>
      </c>
      <c r="C751" s="1">
        <v>3.9833000000000004E-3</v>
      </c>
      <c r="D751" s="1">
        <v>2.2249999999999999E-2</v>
      </c>
      <c r="E751" s="1">
        <v>2.4614E-2</v>
      </c>
      <c r="F751" s="1">
        <v>1.8762999999999999E-6</v>
      </c>
      <c r="G751" s="1">
        <v>6.8129</v>
      </c>
      <c r="H751" s="1">
        <v>1.5946E-7</v>
      </c>
      <c r="I751" s="1">
        <f t="shared" si="99"/>
        <v>1.5946E-7</v>
      </c>
      <c r="J751" s="4">
        <f t="shared" si="100"/>
        <v>-1.5306587334886635E-8</v>
      </c>
      <c r="K751" s="4">
        <f t="shared" si="101"/>
        <v>-2.3756838244988918E-8</v>
      </c>
      <c r="L751" s="4">
        <f t="shared" si="102"/>
        <v>-8.3452572306510541E-9</v>
      </c>
      <c r="M751" s="4">
        <f t="shared" si="104"/>
        <v>-9.006971111114983E-9</v>
      </c>
      <c r="N751" s="5">
        <f t="shared" si="105"/>
        <v>4.3523234247205593E-8</v>
      </c>
      <c r="O751" s="5">
        <f t="shared" si="106"/>
        <v>1.2188561173798278E-6</v>
      </c>
      <c r="P751" s="5">
        <f t="shared" si="107"/>
        <v>5.3762064837296744E-7</v>
      </c>
      <c r="Q751" s="1">
        <f t="shared" si="103"/>
        <v>1.800000000000001E-6</v>
      </c>
    </row>
    <row r="752" spans="1:17" x14ac:dyDescent="0.25">
      <c r="A752" s="1">
        <v>37.5</v>
      </c>
      <c r="B752" s="1">
        <v>2.1502E-2</v>
      </c>
      <c r="C752" s="1">
        <v>3.9778000000000001E-3</v>
      </c>
      <c r="D752" s="1">
        <v>2.2273999999999999E-2</v>
      </c>
      <c r="E752" s="1">
        <v>2.4560999999999999E-2</v>
      </c>
      <c r="F752" s="1">
        <v>1.8749E-6</v>
      </c>
      <c r="G752" s="1">
        <v>6.8125999999999998</v>
      </c>
      <c r="H752" s="1">
        <v>1.5955E-7</v>
      </c>
      <c r="I752" s="1">
        <f t="shared" si="99"/>
        <v>1.5955E-7</v>
      </c>
      <c r="J752" s="4">
        <f t="shared" si="100"/>
        <v>-1.5322361972154446E-8</v>
      </c>
      <c r="K752" s="4">
        <f t="shared" si="101"/>
        <v>-2.3767694288905293E-8</v>
      </c>
      <c r="L752" s="4">
        <f t="shared" si="102"/>
        <v>-8.3416839682770855E-9</v>
      </c>
      <c r="M752" s="4">
        <f t="shared" si="104"/>
        <v>-9.0015438019025935E-9</v>
      </c>
      <c r="N752" s="5">
        <f t="shared" si="105"/>
        <v>4.3626882595679354E-8</v>
      </c>
      <c r="O752" s="5">
        <f t="shared" si="106"/>
        <v>1.2194123288649796E-6</v>
      </c>
      <c r="P752" s="5">
        <f t="shared" si="107"/>
        <v>5.3696078853934194E-7</v>
      </c>
      <c r="Q752" s="1">
        <f t="shared" si="103"/>
        <v>1.800000000000001E-6</v>
      </c>
    </row>
    <row r="753" spans="1:17" x14ac:dyDescent="0.25">
      <c r="A753" s="1">
        <v>37.549999999999997</v>
      </c>
      <c r="B753" s="1">
        <v>2.1458999999999999E-2</v>
      </c>
      <c r="C753" s="1">
        <v>3.9724000000000001E-3</v>
      </c>
      <c r="D753" s="1">
        <v>2.2298999999999999E-2</v>
      </c>
      <c r="E753" s="1">
        <v>2.4507999999999999E-2</v>
      </c>
      <c r="F753" s="1">
        <v>1.8734999999999999E-6</v>
      </c>
      <c r="G753" s="1">
        <v>6.8124000000000002</v>
      </c>
      <c r="H753" s="1">
        <v>1.5963999999999999E-7</v>
      </c>
      <c r="I753" s="1">
        <f t="shared" si="99"/>
        <v>1.5963999999999999E-7</v>
      </c>
      <c r="J753" s="4">
        <f t="shared" si="100"/>
        <v>-1.5335939948072195E-8</v>
      </c>
      <c r="K753" s="4">
        <f t="shared" si="101"/>
        <v>-2.3778540412865752E-8</v>
      </c>
      <c r="L753" s="4">
        <f t="shared" si="102"/>
        <v>-8.3373192565901915E-9</v>
      </c>
      <c r="M753" s="4">
        <f t="shared" si="104"/>
        <v>-8.9955698502019488E-9</v>
      </c>
      <c r="N753" s="5">
        <f t="shared" si="105"/>
        <v>4.373216380388272E-8</v>
      </c>
      <c r="O753" s="5">
        <f t="shared" si="106"/>
        <v>1.2199652982503879E-6</v>
      </c>
      <c r="P753" s="5">
        <f t="shared" si="107"/>
        <v>5.3630253794573012E-7</v>
      </c>
      <c r="Q753" s="1">
        <f t="shared" si="103"/>
        <v>1.8000000000000008E-6</v>
      </c>
    </row>
    <row r="754" spans="1:17" x14ac:dyDescent="0.25">
      <c r="A754" s="1">
        <v>37.6</v>
      </c>
      <c r="B754" s="1">
        <v>2.1415E-2</v>
      </c>
      <c r="C754" s="1">
        <v>3.9668999999999998E-3</v>
      </c>
      <c r="D754" s="1">
        <v>2.2322999999999999E-2</v>
      </c>
      <c r="E754" s="1">
        <v>2.4455000000000001E-2</v>
      </c>
      <c r="F754" s="1">
        <v>1.8721E-6</v>
      </c>
      <c r="G754" s="1">
        <v>6.8121</v>
      </c>
      <c r="H754" s="1">
        <v>1.5972999999999999E-7</v>
      </c>
      <c r="I754" s="1">
        <f t="shared" si="99"/>
        <v>1.5972999999999999E-7</v>
      </c>
      <c r="J754" s="4">
        <f t="shared" si="100"/>
        <v>-1.5349999334900997E-8</v>
      </c>
      <c r="K754" s="4">
        <f t="shared" si="101"/>
        <v>-2.3789323315884592E-8</v>
      </c>
      <c r="L754" s="4">
        <f t="shared" si="102"/>
        <v>-8.3331774878781839E-9</v>
      </c>
      <c r="M754" s="4">
        <f t="shared" si="104"/>
        <v>-8.989610401554684E-9</v>
      </c>
      <c r="N754" s="5">
        <f t="shared" si="105"/>
        <v>4.3838310296988133E-8</v>
      </c>
      <c r="O754" s="5">
        <f t="shared" si="106"/>
        <v>1.2205155846709589E-6</v>
      </c>
      <c r="P754" s="5">
        <f t="shared" si="107"/>
        <v>5.356461050320537E-7</v>
      </c>
      <c r="Q754" s="1">
        <f t="shared" si="103"/>
        <v>1.8000000000000008E-6</v>
      </c>
    </row>
    <row r="755" spans="1:17" x14ac:dyDescent="0.25">
      <c r="A755" s="1">
        <v>37.65</v>
      </c>
      <c r="B755" s="1">
        <v>2.1371999999999999E-2</v>
      </c>
      <c r="C755" s="1">
        <v>3.9614000000000003E-3</v>
      </c>
      <c r="D755" s="1">
        <v>2.2346999999999999E-2</v>
      </c>
      <c r="E755" s="1">
        <v>2.4402E-2</v>
      </c>
      <c r="F755" s="1">
        <v>1.8706999999999999E-6</v>
      </c>
      <c r="G755" s="1">
        <v>6.8117999999999999</v>
      </c>
      <c r="H755" s="1">
        <v>1.5983E-7</v>
      </c>
      <c r="I755" s="1">
        <f t="shared" si="99"/>
        <v>1.5983E-7</v>
      </c>
      <c r="J755" s="4">
        <f t="shared" si="100"/>
        <v>-1.5364268669355002E-8</v>
      </c>
      <c r="K755" s="4">
        <f t="shared" si="101"/>
        <v>-2.3800053901082346E-8</v>
      </c>
      <c r="L755" s="4">
        <f t="shared" si="102"/>
        <v>-8.3291103027758544E-9</v>
      </c>
      <c r="M755" s="4">
        <f t="shared" si="104"/>
        <v>-8.9836689974603338E-9</v>
      </c>
      <c r="N755" s="5">
        <f t="shared" si="105"/>
        <v>4.3944985225939619E-8</v>
      </c>
      <c r="O755" s="5">
        <f t="shared" si="106"/>
        <v>1.2210634684366919E-6</v>
      </c>
      <c r="P755" s="5">
        <f t="shared" si="107"/>
        <v>5.349915463373692E-7</v>
      </c>
      <c r="Q755" s="1">
        <f t="shared" si="103"/>
        <v>1.8000000000000008E-6</v>
      </c>
    </row>
    <row r="756" spans="1:17" x14ac:dyDescent="0.25">
      <c r="A756" s="1">
        <v>37.700000000000003</v>
      </c>
      <c r="B756" s="1">
        <v>2.1329000000000001E-2</v>
      </c>
      <c r="C756" s="1">
        <v>3.9559E-3</v>
      </c>
      <c r="D756" s="1">
        <v>2.2372E-2</v>
      </c>
      <c r="E756" s="1">
        <v>2.4348999999999999E-2</v>
      </c>
      <c r="F756" s="1">
        <v>1.8693E-6</v>
      </c>
      <c r="G756" s="1">
        <v>6.8114999999999997</v>
      </c>
      <c r="H756" s="1">
        <v>1.5991999999999999E-7</v>
      </c>
      <c r="I756" s="1">
        <f t="shared" si="99"/>
        <v>1.5991999999999999E-7</v>
      </c>
      <c r="J756" s="4">
        <f t="shared" si="100"/>
        <v>-1.5378628834096563E-8</v>
      </c>
      <c r="K756" s="4">
        <f t="shared" si="101"/>
        <v>-2.3810737634517522E-8</v>
      </c>
      <c r="L756" s="4">
        <f t="shared" si="102"/>
        <v>-8.3250526453196197E-9</v>
      </c>
      <c r="M756" s="4">
        <f t="shared" si="104"/>
        <v>-8.9783083793664462E-9</v>
      </c>
      <c r="N756" s="5">
        <f t="shared" si="105"/>
        <v>4.405204138104096E-8</v>
      </c>
      <c r="O756" s="5">
        <f t="shared" si="106"/>
        <v>1.2216096680156375E-6</v>
      </c>
      <c r="P756" s="5">
        <f t="shared" si="107"/>
        <v>5.3433829060332229E-7</v>
      </c>
      <c r="Q756" s="1">
        <f t="shared" si="103"/>
        <v>1.8000000000000006E-6</v>
      </c>
    </row>
    <row r="757" spans="1:17" x14ac:dyDescent="0.25">
      <c r="A757" s="1">
        <v>37.75</v>
      </c>
      <c r="B757" s="1">
        <v>2.1285999999999999E-2</v>
      </c>
      <c r="C757" s="1">
        <v>3.9503999999999997E-3</v>
      </c>
      <c r="D757" s="1">
        <v>2.2395999999999999E-2</v>
      </c>
      <c r="E757" s="1">
        <v>2.4296999999999999E-2</v>
      </c>
      <c r="F757" s="1">
        <v>1.8677999999999999E-6</v>
      </c>
      <c r="G757" s="1">
        <v>6.8113000000000001</v>
      </c>
      <c r="H757" s="1">
        <v>1.6000999999999999E-7</v>
      </c>
      <c r="I757" s="1">
        <f t="shared" si="99"/>
        <v>1.6000999999999999E-7</v>
      </c>
      <c r="J757" s="4">
        <f t="shared" si="100"/>
        <v>-1.5393027684651811E-8</v>
      </c>
      <c r="K757" s="4">
        <f t="shared" si="101"/>
        <v>-2.3821388526303578E-8</v>
      </c>
      <c r="L757" s="4">
        <f t="shared" si="102"/>
        <v>-8.3209760286651992E-9</v>
      </c>
      <c r="M757" s="4">
        <f t="shared" si="104"/>
        <v>-8.9723948404942358E-9</v>
      </c>
      <c r="N757" s="5">
        <f t="shared" si="105"/>
        <v>4.4159426194027523E-8</v>
      </c>
      <c r="O757" s="5">
        <f t="shared" si="106"/>
        <v>1.2221537020144799E-6</v>
      </c>
      <c r="P757" s="5">
        <f t="shared" si="107"/>
        <v>5.336868717914933E-7</v>
      </c>
      <c r="Q757" s="1">
        <f t="shared" si="103"/>
        <v>1.8000000000000006E-6</v>
      </c>
    </row>
    <row r="758" spans="1:17" x14ac:dyDescent="0.25">
      <c r="A758" s="1">
        <v>37.799999999999997</v>
      </c>
      <c r="B758" s="1">
        <v>2.1243000000000001E-2</v>
      </c>
      <c r="C758" s="1">
        <v>3.9449000000000003E-3</v>
      </c>
      <c r="D758" s="1">
        <v>2.2419999999999999E-2</v>
      </c>
      <c r="E758" s="1">
        <v>2.4244000000000002E-2</v>
      </c>
      <c r="F758" s="1">
        <v>1.8664E-6</v>
      </c>
      <c r="G758" s="1">
        <v>6.8109999999999999</v>
      </c>
      <c r="H758" s="1">
        <v>1.6010000000000001E-7</v>
      </c>
      <c r="I758" s="1">
        <f t="shared" si="99"/>
        <v>1.6010000000000001E-7</v>
      </c>
      <c r="J758" s="4">
        <f t="shared" si="100"/>
        <v>-1.540579674307844E-8</v>
      </c>
      <c r="K758" s="4">
        <f t="shared" si="101"/>
        <v>-2.3831997189281004E-8</v>
      </c>
      <c r="L758" s="4">
        <f t="shared" si="102"/>
        <v>-8.3167671612929331E-9</v>
      </c>
      <c r="M758" s="4">
        <f t="shared" si="104"/>
        <v>-8.9664998173119583E-9</v>
      </c>
      <c r="N758" s="5">
        <f t="shared" si="105"/>
        <v>4.4268859478937153E-8</v>
      </c>
      <c r="O758" s="5">
        <f t="shared" si="106"/>
        <v>1.2226940013855894E-6</v>
      </c>
      <c r="P758" s="5">
        <f t="shared" si="107"/>
        <v>5.330371391354742E-7</v>
      </c>
      <c r="Q758" s="1">
        <f t="shared" si="103"/>
        <v>1.8000000000000008E-6</v>
      </c>
    </row>
    <row r="759" spans="1:17" x14ac:dyDescent="0.25">
      <c r="A759" s="1">
        <v>37.85</v>
      </c>
      <c r="B759" s="1">
        <v>2.12E-2</v>
      </c>
      <c r="C759" s="1">
        <v>3.9392999999999997E-3</v>
      </c>
      <c r="D759" s="1">
        <v>2.2445E-2</v>
      </c>
      <c r="E759" s="1">
        <v>2.4191000000000001E-2</v>
      </c>
      <c r="F759" s="1">
        <v>1.8648999999999999E-6</v>
      </c>
      <c r="G759" s="1">
        <v>6.8106999999999998</v>
      </c>
      <c r="H759" s="1">
        <v>1.6019000000000001E-7</v>
      </c>
      <c r="I759" s="1">
        <f t="shared" si="99"/>
        <v>1.6019000000000001E-7</v>
      </c>
      <c r="J759" s="4">
        <f t="shared" si="100"/>
        <v>-1.5420831251230292E-8</v>
      </c>
      <c r="K759" s="4">
        <f t="shared" si="101"/>
        <v>-2.384253302702103E-8</v>
      </c>
      <c r="L759" s="4">
        <f t="shared" si="102"/>
        <v>-8.3129550275800101E-9</v>
      </c>
      <c r="M759" s="4">
        <f t="shared" si="104"/>
        <v>-8.9606208274376536E-9</v>
      </c>
      <c r="N759" s="5">
        <f t="shared" si="105"/>
        <v>4.4377606227147875E-8</v>
      </c>
      <c r="O759" s="5">
        <f t="shared" si="106"/>
        <v>1.2232329204372363E-6</v>
      </c>
      <c r="P759" s="5">
        <f t="shared" si="107"/>
        <v>5.3238947333561659E-7</v>
      </c>
      <c r="Q759" s="1">
        <f t="shared" si="103"/>
        <v>1.8000000000000006E-6</v>
      </c>
    </row>
    <row r="760" spans="1:17" x14ac:dyDescent="0.25">
      <c r="A760" s="1">
        <v>37.9</v>
      </c>
      <c r="B760" s="1">
        <v>2.1156999999999999E-2</v>
      </c>
      <c r="C760" s="1">
        <v>3.9338000000000003E-3</v>
      </c>
      <c r="D760" s="1">
        <v>2.2468999999999999E-2</v>
      </c>
      <c r="E760" s="1">
        <v>2.4139000000000001E-2</v>
      </c>
      <c r="F760" s="1">
        <v>1.8635E-6</v>
      </c>
      <c r="G760" s="1">
        <v>6.8103999999999996</v>
      </c>
      <c r="H760" s="1">
        <v>1.6028999999999999E-7</v>
      </c>
      <c r="I760" s="1">
        <f t="shared" si="99"/>
        <v>1.6028999999999999E-7</v>
      </c>
      <c r="J760" s="4">
        <f t="shared" si="100"/>
        <v>-1.5433874701606599E-8</v>
      </c>
      <c r="K760" s="4">
        <f t="shared" si="101"/>
        <v>-2.3853041948524754E-8</v>
      </c>
      <c r="L760" s="4">
        <f t="shared" si="102"/>
        <v>-8.3084754199273186E-9</v>
      </c>
      <c r="M760" s="4">
        <f t="shared" si="104"/>
        <v>-8.9547643220308959E-9</v>
      </c>
      <c r="N760" s="5">
        <f t="shared" si="105"/>
        <v>4.448829805413871E-8</v>
      </c>
      <c r="O760" s="5">
        <f t="shared" si="106"/>
        <v>1.2237685175123491E-6</v>
      </c>
      <c r="P760" s="5">
        <f t="shared" si="107"/>
        <v>5.3174318443351303E-7</v>
      </c>
      <c r="Q760" s="1">
        <f t="shared" si="103"/>
        <v>1.800000000000001E-6</v>
      </c>
    </row>
    <row r="761" spans="1:17" x14ac:dyDescent="0.25">
      <c r="A761" s="1">
        <v>37.950000000000003</v>
      </c>
      <c r="B761" s="1">
        <v>2.1114999999999998E-2</v>
      </c>
      <c r="C761" s="1">
        <v>3.9281999999999997E-3</v>
      </c>
      <c r="D761" s="1">
        <v>2.2492999999999999E-2</v>
      </c>
      <c r="E761" s="1">
        <v>2.4086E-2</v>
      </c>
      <c r="F761" s="1">
        <v>1.8619999999999999E-6</v>
      </c>
      <c r="G761" s="1">
        <v>6.8102</v>
      </c>
      <c r="H761" s="1">
        <v>1.6038000000000001E-7</v>
      </c>
      <c r="I761" s="1">
        <f t="shared" si="99"/>
        <v>1.6038000000000001E-7</v>
      </c>
      <c r="J761" s="4">
        <f t="shared" si="100"/>
        <v>-1.5449149857042752E-8</v>
      </c>
      <c r="K761" s="4">
        <f t="shared" si="101"/>
        <v>-2.3863486091492846E-8</v>
      </c>
      <c r="L761" s="4">
        <f t="shared" si="102"/>
        <v>-8.3050559047839712E-9</v>
      </c>
      <c r="M761" s="4">
        <f t="shared" si="104"/>
        <v>-8.9494770784497806E-9</v>
      </c>
      <c r="N761" s="5">
        <f t="shared" si="105"/>
        <v>4.4597578383804827E-8</v>
      </c>
      <c r="O761" s="5">
        <f t="shared" si="106"/>
        <v>1.2243036583563487E-6</v>
      </c>
      <c r="P761" s="5">
        <f t="shared" si="107"/>
        <v>5.3109876325984721E-7</v>
      </c>
      <c r="Q761" s="1">
        <f t="shared" si="103"/>
        <v>1.8000000000000008E-6</v>
      </c>
    </row>
    <row r="762" spans="1:17" x14ac:dyDescent="0.25">
      <c r="A762" s="1">
        <v>38</v>
      </c>
      <c r="B762" s="1">
        <v>2.1072E-2</v>
      </c>
      <c r="C762" s="1">
        <v>3.9226E-3</v>
      </c>
      <c r="D762" s="1">
        <v>2.2516999999999999E-2</v>
      </c>
      <c r="E762" s="1">
        <v>2.4034E-2</v>
      </c>
      <c r="F762" s="1">
        <v>1.8605E-6</v>
      </c>
      <c r="G762" s="1">
        <v>6.8098999999999998</v>
      </c>
      <c r="H762" s="1">
        <v>1.6047000000000001E-7</v>
      </c>
      <c r="I762" s="1">
        <f t="shared" si="99"/>
        <v>1.6047000000000001E-7</v>
      </c>
      <c r="J762" s="4">
        <f t="shared" si="100"/>
        <v>-1.5462176655009142E-8</v>
      </c>
      <c r="K762" s="4">
        <f t="shared" si="101"/>
        <v>-2.3873921337947442E-8</v>
      </c>
      <c r="L762" s="4">
        <f t="shared" si="102"/>
        <v>-8.3004900412840142E-9</v>
      </c>
      <c r="M762" s="4">
        <f t="shared" si="104"/>
        <v>-8.9436500634189927E-9</v>
      </c>
      <c r="N762" s="5">
        <f t="shared" si="105"/>
        <v>4.4708833025459114E-8</v>
      </c>
      <c r="O762" s="5">
        <f t="shared" si="106"/>
        <v>1.2248355637368296E-6</v>
      </c>
      <c r="P762" s="5">
        <f t="shared" si="107"/>
        <v>5.3045560323771221E-7</v>
      </c>
      <c r="Q762" s="1">
        <f t="shared" si="103"/>
        <v>1.800000000000001E-6</v>
      </c>
    </row>
    <row r="763" spans="1:17" x14ac:dyDescent="0.25">
      <c r="A763" s="1">
        <v>38.049999999999997</v>
      </c>
      <c r="B763" s="1">
        <v>2.1028999999999999E-2</v>
      </c>
      <c r="C763" s="1">
        <v>3.9170000000000003E-3</v>
      </c>
      <c r="D763" s="1">
        <v>2.2540999999999999E-2</v>
      </c>
      <c r="E763" s="1">
        <v>2.3982E-2</v>
      </c>
      <c r="F763" s="1">
        <v>1.8589999999999999E-6</v>
      </c>
      <c r="G763" s="1">
        <v>6.8095999999999997</v>
      </c>
      <c r="H763" s="1">
        <v>1.6056E-7</v>
      </c>
      <c r="I763" s="1">
        <f t="shared" si="99"/>
        <v>1.6056E-7</v>
      </c>
      <c r="J763" s="4">
        <f t="shared" si="100"/>
        <v>-1.5475784834150516E-8</v>
      </c>
      <c r="K763" s="4">
        <f t="shared" si="101"/>
        <v>-2.3884293492866821E-8</v>
      </c>
      <c r="L763" s="4">
        <f t="shared" si="102"/>
        <v>-8.2965428794490199E-9</v>
      </c>
      <c r="M763" s="4">
        <f t="shared" si="104"/>
        <v>-8.9378321184128384E-9</v>
      </c>
      <c r="N763" s="5">
        <f t="shared" si="105"/>
        <v>4.4820798804726401E-8</v>
      </c>
      <c r="O763" s="5">
        <f t="shared" si="106"/>
        <v>1.2253648871965262E-6</v>
      </c>
      <c r="P763" s="5">
        <f t="shared" si="107"/>
        <v>5.2981431399874844E-7</v>
      </c>
      <c r="Q763" s="1">
        <f t="shared" si="103"/>
        <v>1.800000000000001E-6</v>
      </c>
    </row>
    <row r="764" spans="1:17" x14ac:dyDescent="0.25">
      <c r="A764" s="1">
        <v>38.1</v>
      </c>
      <c r="B764" s="1">
        <v>2.0986999999999999E-2</v>
      </c>
      <c r="C764" s="1">
        <v>3.9113999999999998E-3</v>
      </c>
      <c r="D764" s="1">
        <v>2.2565000000000002E-2</v>
      </c>
      <c r="E764" s="1">
        <v>2.393E-2</v>
      </c>
      <c r="F764" s="1">
        <v>1.8575E-6</v>
      </c>
      <c r="G764" s="1">
        <v>6.8094000000000001</v>
      </c>
      <c r="H764" s="1">
        <v>1.6065E-7</v>
      </c>
      <c r="I764" s="1">
        <f t="shared" si="99"/>
        <v>1.6065E-7</v>
      </c>
      <c r="J764" s="4">
        <f t="shared" si="100"/>
        <v>-1.5489534699408987E-8</v>
      </c>
      <c r="K764" s="4">
        <f t="shared" si="101"/>
        <v>-2.3894615300334298E-8</v>
      </c>
      <c r="L764" s="4">
        <f t="shared" si="102"/>
        <v>-8.2926336084942938E-9</v>
      </c>
      <c r="M764" s="4">
        <f t="shared" si="104"/>
        <v>-8.9320335568428633E-9</v>
      </c>
      <c r="N764" s="5">
        <f t="shared" si="105"/>
        <v>4.4933245797157422E-8</v>
      </c>
      <c r="O764" s="5">
        <f t="shared" si="106"/>
        <v>1.2258918401524437E-6</v>
      </c>
      <c r="P764" s="5">
        <f t="shared" si="107"/>
        <v>5.2917491405039995E-7</v>
      </c>
      <c r="Q764" s="1">
        <f t="shared" si="103"/>
        <v>1.8000000000000012E-6</v>
      </c>
    </row>
    <row r="765" spans="1:17" x14ac:dyDescent="0.25">
      <c r="A765" s="1">
        <v>38.15</v>
      </c>
      <c r="B765" s="1">
        <v>2.0944000000000001E-2</v>
      </c>
      <c r="C765" s="1">
        <v>3.9058000000000001E-3</v>
      </c>
      <c r="D765" s="1">
        <v>2.2589000000000001E-2</v>
      </c>
      <c r="E765" s="1">
        <v>2.3876999999999999E-2</v>
      </c>
      <c r="F765" s="1">
        <v>1.8560000000000001E-6</v>
      </c>
      <c r="G765" s="1">
        <v>6.8090999999999999</v>
      </c>
      <c r="H765" s="1">
        <v>1.6074E-7</v>
      </c>
      <c r="I765" s="1">
        <f t="shared" si="99"/>
        <v>1.6074E-7</v>
      </c>
      <c r="J765" s="4">
        <f t="shared" si="100"/>
        <v>-1.5503345880670969E-8</v>
      </c>
      <c r="K765" s="4">
        <f t="shared" si="101"/>
        <v>-2.3904890882971297E-8</v>
      </c>
      <c r="L765" s="4">
        <f t="shared" si="102"/>
        <v>-8.2887188572624153E-9</v>
      </c>
      <c r="M765" s="4">
        <f t="shared" si="104"/>
        <v>-8.9262547439301496E-9</v>
      </c>
      <c r="N765" s="5">
        <f t="shared" si="105"/>
        <v>4.5046071942195337E-8</v>
      </c>
      <c r="O765" s="5">
        <f t="shared" si="106"/>
        <v>1.2264165498940736E-6</v>
      </c>
      <c r="P765" s="5">
        <f t="shared" si="107"/>
        <v>5.2853737816373217E-7</v>
      </c>
      <c r="Q765" s="1">
        <f t="shared" si="103"/>
        <v>1.800000000000001E-6</v>
      </c>
    </row>
    <row r="766" spans="1:17" x14ac:dyDescent="0.25">
      <c r="A766" s="1">
        <v>38.200000000000003</v>
      </c>
      <c r="B766" s="1">
        <v>2.0902E-2</v>
      </c>
      <c r="C766" s="1">
        <v>3.9001999999999999E-3</v>
      </c>
      <c r="D766" s="1">
        <v>2.2613000000000001E-2</v>
      </c>
      <c r="E766" s="1">
        <v>2.3824999999999999E-2</v>
      </c>
      <c r="F766" s="1">
        <v>1.8545E-6</v>
      </c>
      <c r="G766" s="1">
        <v>6.8087999999999997</v>
      </c>
      <c r="H766" s="1">
        <v>1.6082999999999999E-7</v>
      </c>
      <c r="I766" s="1">
        <f t="shared" si="99"/>
        <v>1.6082999999999999E-7</v>
      </c>
      <c r="J766" s="4">
        <f t="shared" si="100"/>
        <v>-1.5517182567788344E-8</v>
      </c>
      <c r="K766" s="4">
        <f t="shared" si="101"/>
        <v>-2.3915122722936475E-8</v>
      </c>
      <c r="L766" s="4">
        <f t="shared" si="102"/>
        <v>-8.2844323163253842E-9</v>
      </c>
      <c r="M766" s="4">
        <f t="shared" si="104"/>
        <v>-8.9204953074347842E-9</v>
      </c>
      <c r="N766" s="5">
        <f t="shared" si="105"/>
        <v>4.5159579781018081E-8</v>
      </c>
      <c r="O766" s="5">
        <f t="shared" si="106"/>
        <v>1.2269391050463604E-6</v>
      </c>
      <c r="P766" s="5">
        <f t="shared" si="107"/>
        <v>5.2790131517262274E-7</v>
      </c>
      <c r="Q766" s="1">
        <f t="shared" si="103"/>
        <v>1.800000000000001E-6</v>
      </c>
    </row>
    <row r="767" spans="1:17" x14ac:dyDescent="0.25">
      <c r="A767" s="1">
        <v>38.25</v>
      </c>
      <c r="B767" s="1">
        <v>2.086E-2</v>
      </c>
      <c r="C767" s="1">
        <v>3.8945E-3</v>
      </c>
      <c r="D767" s="1">
        <v>2.2637000000000001E-2</v>
      </c>
      <c r="E767" s="1">
        <v>2.3772999999999999E-2</v>
      </c>
      <c r="F767" s="1">
        <v>1.8529000000000001E-6</v>
      </c>
      <c r="G767" s="1">
        <v>6.8086000000000002</v>
      </c>
      <c r="H767" s="1">
        <v>1.6091999999999999E-7</v>
      </c>
      <c r="I767" s="1">
        <f t="shared" si="99"/>
        <v>1.6091999999999999E-7</v>
      </c>
      <c r="J767" s="4">
        <f t="shared" si="100"/>
        <v>-1.5531148328537008E-8</v>
      </c>
      <c r="K767" s="4">
        <f t="shared" si="101"/>
        <v>-2.3925312548402668E-8</v>
      </c>
      <c r="L767" s="4">
        <f t="shared" si="102"/>
        <v>-8.2805223890465668E-9</v>
      </c>
      <c r="M767" s="4">
        <f t="shared" si="104"/>
        <v>-8.9147486945168497E-9</v>
      </c>
      <c r="N767" s="5">
        <f t="shared" si="105"/>
        <v>4.5273221611837175E-8</v>
      </c>
      <c r="O767" s="5">
        <f t="shared" si="106"/>
        <v>1.2274596895210115E-6</v>
      </c>
      <c r="P767" s="5">
        <f t="shared" si="107"/>
        <v>5.2726708886715237E-7</v>
      </c>
      <c r="Q767" s="1">
        <f t="shared" si="103"/>
        <v>1.8000000000000012E-6</v>
      </c>
    </row>
    <row r="768" spans="1:17" x14ac:dyDescent="0.25">
      <c r="A768" s="1">
        <v>38.299999999999997</v>
      </c>
      <c r="B768" s="1">
        <v>2.0818E-2</v>
      </c>
      <c r="C768" s="1">
        <v>3.8888999999999998E-3</v>
      </c>
      <c r="D768" s="1">
        <v>2.2661000000000001E-2</v>
      </c>
      <c r="E768" s="1">
        <v>2.3722E-2</v>
      </c>
      <c r="F768" s="1">
        <v>1.8514E-6</v>
      </c>
      <c r="G768" s="1">
        <v>6.8083</v>
      </c>
      <c r="H768" s="1">
        <v>1.6101000000000001E-7</v>
      </c>
      <c r="I768" s="1">
        <f t="shared" si="99"/>
        <v>1.6101000000000001E-7</v>
      </c>
      <c r="J768" s="4">
        <f t="shared" si="100"/>
        <v>-1.554337633821927E-8</v>
      </c>
      <c r="K768" s="4">
        <f t="shared" si="101"/>
        <v>-2.3935463945658368E-8</v>
      </c>
      <c r="L768" s="4">
        <f t="shared" si="102"/>
        <v>-8.2760950164996456E-9</v>
      </c>
      <c r="M768" s="4">
        <f t="shared" si="104"/>
        <v>-8.9090210937522195E-9</v>
      </c>
      <c r="N768" s="5">
        <f t="shared" si="105"/>
        <v>4.5389214202776623E-8</v>
      </c>
      <c r="O768" s="5">
        <f t="shared" si="106"/>
        <v>1.2279766230073247E-6</v>
      </c>
      <c r="P768" s="5">
        <f t="shared" si="107"/>
        <v>5.2663416278989984E-7</v>
      </c>
      <c r="Q768" s="1">
        <f t="shared" si="103"/>
        <v>1.800000000000001E-6</v>
      </c>
    </row>
    <row r="769" spans="1:17" x14ac:dyDescent="0.25">
      <c r="A769" s="1">
        <v>38.35</v>
      </c>
      <c r="B769" s="1">
        <v>2.0774999999999998E-2</v>
      </c>
      <c r="C769" s="1">
        <v>3.8831999999999998E-3</v>
      </c>
      <c r="D769" s="1">
        <v>2.2685E-2</v>
      </c>
      <c r="E769" s="1">
        <v>2.367E-2</v>
      </c>
      <c r="F769" s="1">
        <v>1.8498000000000001E-6</v>
      </c>
      <c r="G769" s="1">
        <v>6.8079999999999998</v>
      </c>
      <c r="H769" s="1">
        <v>1.6110000000000001E-7</v>
      </c>
      <c r="I769" s="1">
        <f t="shared" si="99"/>
        <v>1.6110000000000001E-7</v>
      </c>
      <c r="J769" s="4">
        <f t="shared" si="100"/>
        <v>-1.5557979070144647E-8</v>
      </c>
      <c r="K769" s="4">
        <f t="shared" si="101"/>
        <v>-2.3945544148644871E-8</v>
      </c>
      <c r="L769" s="4">
        <f t="shared" si="102"/>
        <v>-8.27279612689414E-9</v>
      </c>
      <c r="M769" s="4">
        <f t="shared" si="104"/>
        <v>-8.9033034878349454E-9</v>
      </c>
      <c r="N769" s="5">
        <f t="shared" si="105"/>
        <v>4.5503983154382713E-8</v>
      </c>
      <c r="O769" s="5">
        <f t="shared" si="106"/>
        <v>1.2284923614166594E-6</v>
      </c>
      <c r="P769" s="5">
        <f t="shared" si="107"/>
        <v>5.2600365542895903E-7</v>
      </c>
      <c r="Q769" s="1">
        <f t="shared" si="103"/>
        <v>1.8000000000000012E-6</v>
      </c>
    </row>
    <row r="770" spans="1:17" x14ac:dyDescent="0.25">
      <c r="A770" s="1">
        <v>38.4</v>
      </c>
      <c r="B770" s="1">
        <v>2.0733000000000001E-2</v>
      </c>
      <c r="C770" s="1">
        <v>3.8776000000000001E-3</v>
      </c>
      <c r="D770" s="1">
        <v>2.2709E-2</v>
      </c>
      <c r="E770" s="1">
        <v>2.3618E-2</v>
      </c>
      <c r="F770" s="1">
        <v>1.8481999999999999E-6</v>
      </c>
      <c r="G770" s="1">
        <v>6.8078000000000003</v>
      </c>
      <c r="H770" s="1">
        <v>1.6119E-7</v>
      </c>
      <c r="I770" s="1">
        <f t="shared" si="99"/>
        <v>1.6119E-7</v>
      </c>
      <c r="J770" s="4">
        <f t="shared" si="100"/>
        <v>-1.5570371121849106E-8</v>
      </c>
      <c r="K770" s="4">
        <f t="shared" si="101"/>
        <v>-2.3955601047623499E-8</v>
      </c>
      <c r="L770" s="4">
        <f t="shared" si="102"/>
        <v>-8.2683822061022746E-9</v>
      </c>
      <c r="M770" s="4">
        <f t="shared" si="104"/>
        <v>-8.8976148334080508E-9</v>
      </c>
      <c r="N770" s="5">
        <f t="shared" si="105"/>
        <v>4.5620830874054828E-8</v>
      </c>
      <c r="O770" s="5">
        <f t="shared" si="106"/>
        <v>1.2290047463242932E-6</v>
      </c>
      <c r="P770" s="5">
        <f t="shared" si="107"/>
        <v>5.2537442280165321E-7</v>
      </c>
      <c r="Q770" s="1">
        <f t="shared" si="103"/>
        <v>1.8000000000000012E-6</v>
      </c>
    </row>
    <row r="771" spans="1:17" x14ac:dyDescent="0.25">
      <c r="A771" s="1">
        <v>38.450000000000003</v>
      </c>
      <c r="B771" s="1">
        <v>2.0691000000000001E-2</v>
      </c>
      <c r="C771" s="1">
        <v>3.8719000000000002E-3</v>
      </c>
      <c r="D771" s="1">
        <v>2.2733E-2</v>
      </c>
      <c r="E771" s="1">
        <v>2.3566E-2</v>
      </c>
      <c r="F771" s="1">
        <v>1.8466E-6</v>
      </c>
      <c r="G771" s="1">
        <v>6.8075000000000001</v>
      </c>
      <c r="H771" s="1">
        <v>1.6128E-7</v>
      </c>
      <c r="I771" s="1">
        <f t="shared" ref="I771:I834" si="108">H771</f>
        <v>1.6128E-7</v>
      </c>
      <c r="J771" s="4">
        <f t="shared" ref="J771:J834" si="109">(-$T$4*F770^2*N770)*(A771-A770)</f>
        <v>-1.5583360674433676E-8</v>
      </c>
      <c r="K771" s="4">
        <f t="shared" ref="K771:K834" si="110">-O770*$T$7*(A771-A770)</f>
        <v>-2.3965592553325758E-8</v>
      </c>
      <c r="L771" s="4">
        <f t="shared" ref="L771:L834" si="111">-$T$5*F770*E770*(A771-A770)*N770</f>
        <v>-8.2642485742690964E-9</v>
      </c>
      <c r="M771" s="4">
        <f t="shared" si="104"/>
        <v>-8.8919358371975996E-9</v>
      </c>
      <c r="N771" s="5">
        <f t="shared" si="105"/>
        <v>4.5738814178677812E-8</v>
      </c>
      <c r="O771" s="5">
        <f t="shared" si="106"/>
        <v>1.2295144502825987E-6</v>
      </c>
      <c r="P771" s="5">
        <f t="shared" si="107"/>
        <v>5.2474673553872465E-7</v>
      </c>
      <c r="Q771" s="1">
        <f t="shared" ref="Q771:Q834" si="112">N771+O771+P771</f>
        <v>1.8000000000000012E-6</v>
      </c>
    </row>
    <row r="772" spans="1:17" x14ac:dyDescent="0.25">
      <c r="A772" s="1">
        <v>38.5</v>
      </c>
      <c r="B772" s="1">
        <v>2.0650000000000002E-2</v>
      </c>
      <c r="C772" s="1">
        <v>3.8662000000000002E-3</v>
      </c>
      <c r="D772" s="1">
        <v>2.2756999999999999E-2</v>
      </c>
      <c r="E772" s="1">
        <v>2.3515000000000001E-2</v>
      </c>
      <c r="F772" s="1">
        <v>1.8449999999999999E-6</v>
      </c>
      <c r="G772" s="1">
        <v>6.8071999999999999</v>
      </c>
      <c r="H772" s="1">
        <v>1.6137E-7</v>
      </c>
      <c r="I772" s="1">
        <f t="shared" si="108"/>
        <v>1.6137E-7</v>
      </c>
      <c r="J772" s="4">
        <f t="shared" si="109"/>
        <v>-1.5596622598484009E-8</v>
      </c>
      <c r="K772" s="4">
        <f t="shared" si="110"/>
        <v>-2.3975531780509314E-8</v>
      </c>
      <c r="L772" s="4">
        <f t="shared" si="111"/>
        <v>-8.2602216714333245E-9</v>
      </c>
      <c r="M772" s="4">
        <f t="shared" ref="M772:M835" si="113">-P771*$T$8*I771*(A772-A771)</f>
        <v>-8.8862711183064744E-9</v>
      </c>
      <c r="N772" s="5">
        <f t="shared" ref="N772:N835" si="114">N771+J772-K772+L772</f>
        <v>4.5857501689269788E-8</v>
      </c>
      <c r="O772" s="5">
        <f t="shared" ref="O772:O835" si="115">-J772+O771+K772-M772</f>
        <v>1.2300218122188799E-6</v>
      </c>
      <c r="P772" s="5">
        <f t="shared" ref="P772:P835" si="116">P771-L772+M772</f>
        <v>5.2412068609185147E-7</v>
      </c>
      <c r="Q772" s="1">
        <f t="shared" si="112"/>
        <v>1.8000000000000012E-6</v>
      </c>
    </row>
    <row r="773" spans="1:17" x14ac:dyDescent="0.25">
      <c r="A773" s="1">
        <v>38.549999999999997</v>
      </c>
      <c r="B773" s="1">
        <v>2.0608000000000001E-2</v>
      </c>
      <c r="C773" s="1">
        <v>3.8605000000000002E-3</v>
      </c>
      <c r="D773" s="1">
        <v>2.2780000000000002E-2</v>
      </c>
      <c r="E773" s="1">
        <v>2.3463000000000001E-2</v>
      </c>
      <c r="F773" s="1">
        <v>1.8434E-6</v>
      </c>
      <c r="G773" s="1">
        <v>6.8070000000000004</v>
      </c>
      <c r="H773" s="1">
        <v>1.6145999999999999E-7</v>
      </c>
      <c r="I773" s="1">
        <f t="shared" si="108"/>
        <v>1.6145999999999999E-7</v>
      </c>
      <c r="J773" s="4">
        <f t="shared" si="109"/>
        <v>-1.561000821878077E-8</v>
      </c>
      <c r="K773" s="4">
        <f t="shared" si="110"/>
        <v>-2.3985425338266796E-8</v>
      </c>
      <c r="L773" s="4">
        <f t="shared" si="111"/>
        <v>-8.2565733037843567E-9</v>
      </c>
      <c r="M773" s="4">
        <f t="shared" si="113"/>
        <v>-8.8806222870369124E-9</v>
      </c>
      <c r="N773" s="5">
        <f t="shared" si="114"/>
        <v>4.5976345504971458E-8</v>
      </c>
      <c r="O773" s="5">
        <f t="shared" si="115"/>
        <v>1.2305270173864308E-6</v>
      </c>
      <c r="P773" s="5">
        <f t="shared" si="116"/>
        <v>5.2349663710859886E-7</v>
      </c>
      <c r="Q773" s="1">
        <f t="shared" si="112"/>
        <v>1.8000000000000012E-6</v>
      </c>
    </row>
    <row r="774" spans="1:17" x14ac:dyDescent="0.25">
      <c r="A774" s="1">
        <v>38.6</v>
      </c>
      <c r="B774" s="1">
        <v>2.0566000000000001E-2</v>
      </c>
      <c r="C774" s="1">
        <v>3.8547E-3</v>
      </c>
      <c r="D774" s="1">
        <v>2.2804000000000001E-2</v>
      </c>
      <c r="E774" s="1">
        <v>2.3411999999999999E-2</v>
      </c>
      <c r="F774" s="1">
        <v>1.8418000000000001E-6</v>
      </c>
      <c r="G774" s="1">
        <v>6.8067000000000002</v>
      </c>
      <c r="H774" s="1">
        <v>1.6154999999999999E-7</v>
      </c>
      <c r="I774" s="1">
        <f t="shared" si="108"/>
        <v>1.6154999999999999E-7</v>
      </c>
      <c r="J774" s="4">
        <f t="shared" si="109"/>
        <v>-1.5623330286315694E-8</v>
      </c>
      <c r="K774" s="4">
        <f t="shared" si="110"/>
        <v>-2.3995276839037449E-8</v>
      </c>
      <c r="L774" s="4">
        <f t="shared" si="111"/>
        <v>-8.2525025702911695E-9</v>
      </c>
      <c r="M774" s="4">
        <f t="shared" si="113"/>
        <v>-8.8749955378939664E-9</v>
      </c>
      <c r="N774" s="5">
        <f t="shared" si="114"/>
        <v>4.6095789487402048E-8</v>
      </c>
      <c r="O774" s="5">
        <f t="shared" si="115"/>
        <v>1.2310300663716028E-6</v>
      </c>
      <c r="P774" s="5">
        <f t="shared" si="116"/>
        <v>5.2287414414099607E-7</v>
      </c>
      <c r="Q774" s="1">
        <f t="shared" si="112"/>
        <v>1.800000000000001E-6</v>
      </c>
    </row>
    <row r="775" spans="1:17" x14ac:dyDescent="0.25">
      <c r="A775" s="1">
        <v>38.65</v>
      </c>
      <c r="B775" s="1">
        <v>2.0524000000000001E-2</v>
      </c>
      <c r="C775" s="1">
        <v>3.849E-3</v>
      </c>
      <c r="D775" s="1">
        <v>2.2828000000000001E-2</v>
      </c>
      <c r="E775" s="1">
        <v>2.3359999999999999E-2</v>
      </c>
      <c r="F775" s="1">
        <v>1.8402E-6</v>
      </c>
      <c r="G775" s="1">
        <v>6.8064</v>
      </c>
      <c r="H775" s="1">
        <v>1.6164000000000001E-7</v>
      </c>
      <c r="I775" s="1">
        <f t="shared" si="108"/>
        <v>1.6164000000000001E-7</v>
      </c>
      <c r="J775" s="4">
        <f t="shared" si="109"/>
        <v>-1.56367392748462E-8</v>
      </c>
      <c r="K775" s="4">
        <f t="shared" si="110"/>
        <v>-2.4005086294244892E-8</v>
      </c>
      <c r="L775" s="4">
        <f t="shared" si="111"/>
        <v>-8.2487917287229978E-9</v>
      </c>
      <c r="M775" s="4">
        <f t="shared" si="113"/>
        <v>-8.869383388527175E-9</v>
      </c>
      <c r="N775" s="5">
        <f t="shared" si="114"/>
        <v>4.6215344778077746E-8</v>
      </c>
      <c r="O775" s="5">
        <f t="shared" si="115"/>
        <v>1.2315311027407313E-6</v>
      </c>
      <c r="P775" s="5">
        <f t="shared" si="116"/>
        <v>5.2225355248119193E-7</v>
      </c>
      <c r="Q775" s="1">
        <f t="shared" si="112"/>
        <v>1.800000000000001E-6</v>
      </c>
    </row>
    <row r="776" spans="1:17" x14ac:dyDescent="0.25">
      <c r="A776" s="1">
        <v>38.700000000000003</v>
      </c>
      <c r="B776" s="1">
        <v>2.0483000000000001E-2</v>
      </c>
      <c r="C776" s="1">
        <v>3.8433E-3</v>
      </c>
      <c r="D776" s="1">
        <v>2.2852000000000001E-2</v>
      </c>
      <c r="E776" s="1">
        <v>2.3309E-2</v>
      </c>
      <c r="F776" s="1">
        <v>1.8386000000000001E-6</v>
      </c>
      <c r="G776" s="1">
        <v>6.8061999999999996</v>
      </c>
      <c r="H776" s="1">
        <v>1.6173000000000001E-7</v>
      </c>
      <c r="I776" s="1">
        <f t="shared" si="108"/>
        <v>1.6173000000000001E-7</v>
      </c>
      <c r="J776" s="4">
        <f t="shared" si="109"/>
        <v>-1.565006876230438E-8</v>
      </c>
      <c r="K776" s="4">
        <f t="shared" si="110"/>
        <v>-2.4014856503446308E-8</v>
      </c>
      <c r="L776" s="4">
        <f t="shared" si="111"/>
        <v>-8.2446487669429189E-9</v>
      </c>
      <c r="M776" s="4">
        <f t="shared" si="113"/>
        <v>-8.8637917434220428E-9</v>
      </c>
      <c r="N776" s="5">
        <f t="shared" si="114"/>
        <v>4.6335483752276757E-8</v>
      </c>
      <c r="O776" s="5">
        <f t="shared" si="115"/>
        <v>1.2320301067430113E-6</v>
      </c>
      <c r="P776" s="5">
        <f t="shared" si="116"/>
        <v>5.2163440950471284E-7</v>
      </c>
      <c r="Q776" s="1">
        <f t="shared" si="112"/>
        <v>1.800000000000001E-6</v>
      </c>
    </row>
    <row r="777" spans="1:17" x14ac:dyDescent="0.25">
      <c r="A777" s="1">
        <v>38.75</v>
      </c>
      <c r="B777" s="1">
        <v>2.0441000000000001E-2</v>
      </c>
      <c r="C777" s="1">
        <v>3.8375000000000002E-3</v>
      </c>
      <c r="D777" s="1">
        <v>2.2875E-2</v>
      </c>
      <c r="E777" s="1">
        <v>2.3258000000000001E-2</v>
      </c>
      <c r="F777" s="1">
        <v>1.8368999999999999E-6</v>
      </c>
      <c r="G777" s="1">
        <v>6.8059000000000003</v>
      </c>
      <c r="H777" s="1">
        <v>1.6182E-7</v>
      </c>
      <c r="I777" s="1">
        <f t="shared" si="108"/>
        <v>1.6182E-7</v>
      </c>
      <c r="J777" s="4">
        <f t="shared" si="109"/>
        <v>-1.5663478419695574E-8</v>
      </c>
      <c r="K777" s="4">
        <f t="shared" si="110"/>
        <v>-2.4024587081487355E-8</v>
      </c>
      <c r="L777" s="4">
        <f t="shared" si="111"/>
        <v>-8.2408630300850586E-9</v>
      </c>
      <c r="M777" s="4">
        <f t="shared" si="113"/>
        <v>-8.8582129701652024E-9</v>
      </c>
      <c r="N777" s="5">
        <f t="shared" si="114"/>
        <v>4.6455729383983486E-8</v>
      </c>
      <c r="O777" s="5">
        <f t="shared" si="115"/>
        <v>1.2325272110513846E-6</v>
      </c>
      <c r="P777" s="5">
        <f t="shared" si="116"/>
        <v>5.2101705956463271E-7</v>
      </c>
      <c r="Q777" s="1">
        <f t="shared" si="112"/>
        <v>1.8000000000000008E-6</v>
      </c>
    </row>
    <row r="778" spans="1:17" x14ac:dyDescent="0.25">
      <c r="A778" s="1">
        <v>38.799999999999997</v>
      </c>
      <c r="B778" s="1">
        <v>2.0400000000000001E-2</v>
      </c>
      <c r="C778" s="1">
        <v>3.8317999999999998E-3</v>
      </c>
      <c r="D778" s="1">
        <v>2.2898999999999999E-2</v>
      </c>
      <c r="E778" s="1">
        <v>2.3206999999999998E-2</v>
      </c>
      <c r="F778" s="1">
        <v>1.8353E-6</v>
      </c>
      <c r="G778" s="1">
        <v>6.8056999999999999</v>
      </c>
      <c r="H778" s="1">
        <v>1.6191E-7</v>
      </c>
      <c r="I778" s="1">
        <f t="shared" si="108"/>
        <v>1.6191E-7</v>
      </c>
      <c r="J778" s="4">
        <f t="shared" si="109"/>
        <v>-1.5675099688115248E-8</v>
      </c>
      <c r="K778" s="4">
        <f t="shared" si="110"/>
        <v>-2.4034280615500636E-8</v>
      </c>
      <c r="L778" s="4">
        <f t="shared" si="111"/>
        <v>-8.2365485027310423E-9</v>
      </c>
      <c r="M778" s="4">
        <f t="shared" si="113"/>
        <v>-8.8526529607681273E-9</v>
      </c>
      <c r="N778" s="5">
        <f t="shared" si="114"/>
        <v>4.6578361808637825E-8</v>
      </c>
      <c r="O778" s="5">
        <f t="shared" si="115"/>
        <v>1.2330206830847673E-6</v>
      </c>
      <c r="P778" s="5">
        <f t="shared" si="116"/>
        <v>5.204009551065956E-7</v>
      </c>
      <c r="Q778" s="1">
        <f t="shared" si="112"/>
        <v>1.8000000000000008E-6</v>
      </c>
    </row>
    <row r="779" spans="1:17" x14ac:dyDescent="0.25">
      <c r="A779" s="1">
        <v>38.85</v>
      </c>
      <c r="B779" s="1">
        <v>2.0358000000000001E-2</v>
      </c>
      <c r="C779" s="1">
        <v>3.826E-3</v>
      </c>
      <c r="D779" s="1">
        <v>2.2922999999999999E-2</v>
      </c>
      <c r="E779" s="1">
        <v>2.3156E-2</v>
      </c>
      <c r="F779" s="1">
        <v>1.8335999999999999E-6</v>
      </c>
      <c r="G779" s="1">
        <v>6.8053999999999997</v>
      </c>
      <c r="H779" s="1">
        <v>1.6199999999999999E-7</v>
      </c>
      <c r="I779" s="1">
        <f t="shared" si="108"/>
        <v>1.6199999999999999E-7</v>
      </c>
      <c r="J779" s="4">
        <f t="shared" si="109"/>
        <v>-1.5689111130950776E-8</v>
      </c>
      <c r="K779" s="4">
        <f t="shared" si="110"/>
        <v>-2.4043903320155011E-8</v>
      </c>
      <c r="L779" s="4">
        <f t="shared" si="111"/>
        <v>-8.2330048949288666E-9</v>
      </c>
      <c r="M779" s="4">
        <f t="shared" si="113"/>
        <v>-8.847102457338189E-9</v>
      </c>
      <c r="N779" s="5">
        <f t="shared" si="114"/>
        <v>4.6700149102913192E-8</v>
      </c>
      <c r="O779" s="5">
        <f t="shared" si="115"/>
        <v>1.2335129933529014E-6</v>
      </c>
      <c r="P779" s="5">
        <f t="shared" si="116"/>
        <v>5.1978685754418633E-7</v>
      </c>
      <c r="Q779" s="1">
        <f t="shared" si="112"/>
        <v>1.800000000000001E-6</v>
      </c>
    </row>
    <row r="780" spans="1:17" x14ac:dyDescent="0.25">
      <c r="A780" s="1">
        <v>38.9</v>
      </c>
      <c r="B780" s="1">
        <v>2.0317000000000002E-2</v>
      </c>
      <c r="C780" s="1">
        <v>3.8202000000000002E-3</v>
      </c>
      <c r="D780" s="1">
        <v>2.2946000000000001E-2</v>
      </c>
      <c r="E780" s="1">
        <v>2.3105000000000001E-2</v>
      </c>
      <c r="F780" s="1">
        <v>1.8319E-6</v>
      </c>
      <c r="G780" s="1">
        <v>6.8051000000000004</v>
      </c>
      <c r="H780" s="1">
        <v>1.6208999999999999E-7</v>
      </c>
      <c r="I780" s="1">
        <f t="shared" si="108"/>
        <v>1.6208999999999999E-7</v>
      </c>
      <c r="J780" s="4">
        <f t="shared" si="109"/>
        <v>-1.5701005572924944E-8</v>
      </c>
      <c r="K780" s="4">
        <f t="shared" si="110"/>
        <v>-2.4053503370380209E-8</v>
      </c>
      <c r="L780" s="4">
        <f t="shared" si="111"/>
        <v>-8.2287620688459701E-9</v>
      </c>
      <c r="M780" s="4">
        <f t="shared" si="113"/>
        <v>-8.8415744468261062E-9</v>
      </c>
      <c r="N780" s="5">
        <f t="shared" si="114"/>
        <v>4.6823884831522496E-8</v>
      </c>
      <c r="O780" s="5">
        <f t="shared" si="115"/>
        <v>1.234002070002272E-6</v>
      </c>
      <c r="P780" s="5">
        <f t="shared" si="116"/>
        <v>5.191740451662062E-7</v>
      </c>
      <c r="Q780" s="1">
        <f t="shared" si="112"/>
        <v>1.8000000000000006E-6</v>
      </c>
    </row>
    <row r="781" spans="1:17" x14ac:dyDescent="0.25">
      <c r="A781" s="1">
        <v>38.950000000000003</v>
      </c>
      <c r="B781" s="1">
        <v>2.0275999999999999E-2</v>
      </c>
      <c r="C781" s="1">
        <v>3.8143999999999999E-3</v>
      </c>
      <c r="D781" s="1">
        <v>2.2970000000000001E-2</v>
      </c>
      <c r="E781" s="1">
        <v>2.3054000000000002E-2</v>
      </c>
      <c r="F781" s="1">
        <v>1.8302000000000001E-6</v>
      </c>
      <c r="G781" s="1">
        <v>6.8048999999999999</v>
      </c>
      <c r="H781" s="1">
        <v>1.6217999999999999E-7</v>
      </c>
      <c r="I781" s="1">
        <f t="shared" si="108"/>
        <v>1.6217999999999999E-7</v>
      </c>
      <c r="J781" s="4">
        <f t="shared" si="109"/>
        <v>-1.5713429024164177E-8</v>
      </c>
      <c r="K781" s="4">
        <f t="shared" si="110"/>
        <v>-2.4063040365046356E-8</v>
      </c>
      <c r="L781" s="4">
        <f t="shared" si="111"/>
        <v>-8.2247607787201806E-9</v>
      </c>
      <c r="M781" s="4">
        <f t="shared" si="113"/>
        <v>-8.8360567030047422E-9</v>
      </c>
      <c r="N781" s="5">
        <f t="shared" si="114"/>
        <v>4.6948735393684493E-8</v>
      </c>
      <c r="O781" s="5">
        <f t="shared" si="115"/>
        <v>1.2344885153643946E-6</v>
      </c>
      <c r="P781" s="5">
        <f t="shared" si="116"/>
        <v>5.1856274924192158E-7</v>
      </c>
      <c r="Q781" s="1">
        <f t="shared" si="112"/>
        <v>1.8000000000000006E-6</v>
      </c>
    </row>
    <row r="782" spans="1:17" x14ac:dyDescent="0.25">
      <c r="A782" s="1">
        <v>39</v>
      </c>
      <c r="B782" s="1">
        <v>2.0233999999999999E-2</v>
      </c>
      <c r="C782" s="1">
        <v>3.8086000000000001E-3</v>
      </c>
      <c r="D782" s="1">
        <v>2.2993E-2</v>
      </c>
      <c r="E782" s="1">
        <v>2.3002999999999999E-2</v>
      </c>
      <c r="F782" s="1">
        <v>1.8285999999999999E-6</v>
      </c>
      <c r="G782" s="1">
        <v>6.8045999999999998</v>
      </c>
      <c r="H782" s="1">
        <v>1.6227000000000001E-7</v>
      </c>
      <c r="I782" s="1">
        <f t="shared" si="108"/>
        <v>1.6227000000000001E-7</v>
      </c>
      <c r="J782" s="4">
        <f t="shared" si="109"/>
        <v>-1.5726098831215867E-8</v>
      </c>
      <c r="K782" s="4">
        <f t="shared" si="110"/>
        <v>-2.4072526049604325E-8</v>
      </c>
      <c r="L782" s="4">
        <f t="shared" si="111"/>
        <v>-8.2208521046204229E-9</v>
      </c>
      <c r="M782" s="4">
        <f t="shared" si="113"/>
        <v>-8.8305532005652552E-9</v>
      </c>
      <c r="N782" s="5">
        <f t="shared" si="114"/>
        <v>4.707431050745253E-8</v>
      </c>
      <c r="O782" s="5">
        <f t="shared" si="115"/>
        <v>1.2349726413465714E-6</v>
      </c>
      <c r="P782" s="5">
        <f t="shared" si="116"/>
        <v>5.1795304814597681E-7</v>
      </c>
      <c r="Q782" s="1">
        <f t="shared" si="112"/>
        <v>1.8000000000000006E-6</v>
      </c>
    </row>
    <row r="783" spans="1:17" x14ac:dyDescent="0.25">
      <c r="A783" s="1">
        <v>39.049999999999997</v>
      </c>
      <c r="B783" s="1">
        <v>2.0192999999999999E-2</v>
      </c>
      <c r="C783" s="1">
        <v>3.8027999999999998E-3</v>
      </c>
      <c r="D783" s="1">
        <v>2.3016999999999999E-2</v>
      </c>
      <c r="E783" s="1">
        <v>2.2952E-2</v>
      </c>
      <c r="F783" s="1">
        <v>1.8268E-6</v>
      </c>
      <c r="G783" s="1">
        <v>6.8044000000000002</v>
      </c>
      <c r="H783" s="1">
        <v>1.6234999999999999E-7</v>
      </c>
      <c r="I783" s="1">
        <f t="shared" si="108"/>
        <v>1.6234999999999999E-7</v>
      </c>
      <c r="J783" s="4">
        <f t="shared" si="109"/>
        <v>-1.5740604195700723E-8</v>
      </c>
      <c r="K783" s="4">
        <f t="shared" si="110"/>
        <v>-2.4081966506256772E-8</v>
      </c>
      <c r="L783" s="4">
        <f t="shared" si="111"/>
        <v>-8.2174157333581446E-9</v>
      </c>
      <c r="M783" s="4">
        <f t="shared" si="113"/>
        <v>-8.8250653178775044E-9</v>
      </c>
      <c r="N783" s="5">
        <f t="shared" si="114"/>
        <v>4.7198257084650437E-8</v>
      </c>
      <c r="O783" s="5">
        <f t="shared" si="115"/>
        <v>1.2354563443538928E-6</v>
      </c>
      <c r="P783" s="5">
        <f t="shared" si="116"/>
        <v>5.1734539856145742E-7</v>
      </c>
      <c r="Q783" s="1">
        <f t="shared" si="112"/>
        <v>1.8000000000000006E-6</v>
      </c>
    </row>
    <row r="784" spans="1:17" x14ac:dyDescent="0.25">
      <c r="A784" s="1">
        <v>39.1</v>
      </c>
      <c r="B784" s="1">
        <v>2.0152E-2</v>
      </c>
      <c r="C784" s="1">
        <v>3.797E-3</v>
      </c>
      <c r="D784" s="1">
        <v>2.3040000000000001E-2</v>
      </c>
      <c r="E784" s="1">
        <v>2.2901999999999999E-2</v>
      </c>
      <c r="F784" s="1">
        <v>1.8250999999999999E-6</v>
      </c>
      <c r="G784" s="1">
        <v>6.8041</v>
      </c>
      <c r="H784" s="1">
        <v>1.6243999999999999E-7</v>
      </c>
      <c r="I784" s="1">
        <f t="shared" si="108"/>
        <v>1.6243999999999999E-7</v>
      </c>
      <c r="J784" s="4">
        <f t="shared" si="109"/>
        <v>-1.5750994047397642E-8</v>
      </c>
      <c r="K784" s="4">
        <f t="shared" si="110"/>
        <v>-2.4091398714902963E-8</v>
      </c>
      <c r="L784" s="4">
        <f t="shared" si="111"/>
        <v>-8.2126931454448399E-9</v>
      </c>
      <c r="M784" s="4">
        <f t="shared" si="113"/>
        <v>-8.8190576729282774E-9</v>
      </c>
      <c r="N784" s="5">
        <f t="shared" si="114"/>
        <v>4.7325968606710913E-8</v>
      </c>
      <c r="O784" s="5">
        <f t="shared" si="115"/>
        <v>1.2359349973593157E-6</v>
      </c>
      <c r="P784" s="5">
        <f t="shared" si="116"/>
        <v>5.1673903403397396E-7</v>
      </c>
      <c r="Q784" s="1">
        <f t="shared" si="112"/>
        <v>1.8000000000000006E-6</v>
      </c>
    </row>
    <row r="785" spans="1:17" x14ac:dyDescent="0.25">
      <c r="A785" s="1">
        <v>39.15</v>
      </c>
      <c r="B785" s="1">
        <v>2.0111E-2</v>
      </c>
      <c r="C785" s="1">
        <v>3.7910999999999999E-3</v>
      </c>
      <c r="D785" s="1">
        <v>2.3063E-2</v>
      </c>
      <c r="E785" s="1">
        <v>2.2851E-2</v>
      </c>
      <c r="F785" s="1">
        <v>1.8234E-6</v>
      </c>
      <c r="G785" s="1">
        <v>6.8037999999999998</v>
      </c>
      <c r="H785" s="1">
        <v>1.6252999999999999E-7</v>
      </c>
      <c r="I785" s="1">
        <f t="shared" si="108"/>
        <v>1.6252999999999999E-7</v>
      </c>
      <c r="J785" s="4">
        <f t="shared" si="109"/>
        <v>-1.5764232864251872E-8</v>
      </c>
      <c r="K785" s="4">
        <f t="shared" si="110"/>
        <v>-2.4100732448505288E-8</v>
      </c>
      <c r="L785" s="4">
        <f t="shared" si="111"/>
        <v>-8.209329425165468E-9</v>
      </c>
      <c r="M785" s="4">
        <f t="shared" si="113"/>
        <v>-8.8136043122897664E-9</v>
      </c>
      <c r="N785" s="5">
        <f t="shared" si="114"/>
        <v>4.745313876579886E-8</v>
      </c>
      <c r="O785" s="5">
        <f t="shared" si="115"/>
        <v>1.2364121020873522E-6</v>
      </c>
      <c r="P785" s="5">
        <f t="shared" si="116"/>
        <v>5.1613475914684969E-7</v>
      </c>
      <c r="Q785" s="1">
        <f t="shared" si="112"/>
        <v>1.8000000000000008E-6</v>
      </c>
    </row>
    <row r="786" spans="1:17" x14ac:dyDescent="0.25">
      <c r="A786" s="1">
        <v>39.200000000000003</v>
      </c>
      <c r="B786" s="1">
        <v>2.0070000000000001E-2</v>
      </c>
      <c r="C786" s="1">
        <v>3.7853000000000001E-3</v>
      </c>
      <c r="D786" s="1">
        <v>2.3087E-2</v>
      </c>
      <c r="E786" s="1">
        <v>2.2800999999999998E-2</v>
      </c>
      <c r="F786" s="1">
        <v>1.8217000000000001E-6</v>
      </c>
      <c r="G786" s="1">
        <v>6.8036000000000003</v>
      </c>
      <c r="H786" s="1">
        <v>1.6262000000000001E-7</v>
      </c>
      <c r="I786" s="1">
        <f t="shared" si="108"/>
        <v>1.6262000000000001E-7</v>
      </c>
      <c r="J786" s="4">
        <f t="shared" si="109"/>
        <v>-1.5777160545149526E-8</v>
      </c>
      <c r="K786" s="4">
        <f t="shared" si="110"/>
        <v>-2.4110035990705425E-8</v>
      </c>
      <c r="L786" s="4">
        <f t="shared" si="111"/>
        <v>-8.2054083953681517E-9</v>
      </c>
      <c r="M786" s="4">
        <f t="shared" si="113"/>
        <v>-8.8081751524351856E-9</v>
      </c>
      <c r="N786" s="5">
        <f t="shared" si="114"/>
        <v>4.7580605815986613E-8</v>
      </c>
      <c r="O786" s="5">
        <f t="shared" si="115"/>
        <v>1.2368874017942316E-6</v>
      </c>
      <c r="P786" s="5">
        <f t="shared" si="116"/>
        <v>5.1553199238978274E-7</v>
      </c>
      <c r="Q786" s="1">
        <f t="shared" si="112"/>
        <v>1.800000000000001E-6</v>
      </c>
    </row>
    <row r="787" spans="1:17" x14ac:dyDescent="0.25">
      <c r="A787" s="1">
        <v>39.25</v>
      </c>
      <c r="B787" s="1">
        <v>2.0029999999999999E-2</v>
      </c>
      <c r="C787" s="1">
        <v>3.7794E-3</v>
      </c>
      <c r="D787" s="1">
        <v>2.3109999999999999E-2</v>
      </c>
      <c r="E787" s="1">
        <v>2.2749999999999999E-2</v>
      </c>
      <c r="F787" s="1">
        <v>1.8198999999999999E-6</v>
      </c>
      <c r="G787" s="1">
        <v>6.8033000000000001</v>
      </c>
      <c r="H787" s="1">
        <v>1.6271000000000001E-7</v>
      </c>
      <c r="I787" s="1">
        <f t="shared" si="108"/>
        <v>1.6271000000000001E-7</v>
      </c>
      <c r="J787" s="4">
        <f t="shared" si="109"/>
        <v>-1.5790056500160524E-8</v>
      </c>
      <c r="K787" s="4">
        <f t="shared" si="110"/>
        <v>-2.4119304334986142E-8</v>
      </c>
      <c r="L787" s="4">
        <f t="shared" si="111"/>
        <v>-8.2017932413661095E-9</v>
      </c>
      <c r="M787" s="4">
        <f t="shared" si="113"/>
        <v>-8.8027603232542779E-9</v>
      </c>
      <c r="N787" s="5">
        <f t="shared" si="114"/>
        <v>4.7708060409446124E-8</v>
      </c>
      <c r="O787" s="5">
        <f t="shared" si="115"/>
        <v>1.2373609142826603E-6</v>
      </c>
      <c r="P787" s="5">
        <f t="shared" si="116"/>
        <v>5.149310253078945E-7</v>
      </c>
      <c r="Q787" s="1">
        <f t="shared" si="112"/>
        <v>1.800000000000001E-6</v>
      </c>
    </row>
    <row r="788" spans="1:17" x14ac:dyDescent="0.25">
      <c r="A788" s="1">
        <v>39.299999999999997</v>
      </c>
      <c r="B788" s="1">
        <v>1.9989E-2</v>
      </c>
      <c r="C788" s="1">
        <v>3.7734999999999999E-3</v>
      </c>
      <c r="D788" s="1">
        <v>2.3133999999999998E-2</v>
      </c>
      <c r="E788" s="1">
        <v>2.2700000000000001E-2</v>
      </c>
      <c r="F788" s="1">
        <v>1.8182E-6</v>
      </c>
      <c r="G788" s="1">
        <v>6.8030999999999997</v>
      </c>
      <c r="H788" s="1">
        <v>1.628E-7</v>
      </c>
      <c r="I788" s="1">
        <f t="shared" si="108"/>
        <v>1.628E-7</v>
      </c>
      <c r="J788" s="4">
        <f t="shared" si="109"/>
        <v>-1.5801081404333192E-8</v>
      </c>
      <c r="K788" s="4">
        <f t="shared" si="110"/>
        <v>-2.4128537828510506E-8</v>
      </c>
      <c r="L788" s="4">
        <f t="shared" si="111"/>
        <v>-8.1972613774746273E-9</v>
      </c>
      <c r="M788" s="4">
        <f t="shared" si="113"/>
        <v>-8.7973648484234887E-9</v>
      </c>
      <c r="N788" s="5">
        <f t="shared" si="114"/>
        <v>4.7838255456148808E-8</v>
      </c>
      <c r="O788" s="5">
        <f t="shared" si="115"/>
        <v>1.2378308227069066E-6</v>
      </c>
      <c r="P788" s="5">
        <f t="shared" si="116"/>
        <v>5.1433092183694566E-7</v>
      </c>
      <c r="Q788" s="1">
        <f t="shared" si="112"/>
        <v>1.800000000000001E-6</v>
      </c>
    </row>
    <row r="789" spans="1:17" x14ac:dyDescent="0.25">
      <c r="A789" s="1">
        <v>39.35</v>
      </c>
      <c r="B789" s="1">
        <v>1.9948E-2</v>
      </c>
      <c r="C789" s="1">
        <v>3.7677000000000001E-3</v>
      </c>
      <c r="D789" s="1">
        <v>2.3157000000000001E-2</v>
      </c>
      <c r="E789" s="1">
        <v>2.265E-2</v>
      </c>
      <c r="F789" s="1">
        <v>1.8164000000000001E-6</v>
      </c>
      <c r="G789" s="1">
        <v>6.8028000000000004</v>
      </c>
      <c r="H789" s="1">
        <v>1.6287999999999999E-7</v>
      </c>
      <c r="I789" s="1">
        <f t="shared" si="108"/>
        <v>1.6287999999999999E-7</v>
      </c>
      <c r="J789" s="4">
        <f t="shared" si="109"/>
        <v>-1.581461561191598E-8</v>
      </c>
      <c r="K789" s="4">
        <f t="shared" si="110"/>
        <v>-2.4137701042786736E-8</v>
      </c>
      <c r="L789" s="4">
        <f t="shared" si="111"/>
        <v>-8.1939053114098829E-9</v>
      </c>
      <c r="M789" s="4">
        <f t="shared" si="113"/>
        <v>-8.7919727778814996E-9</v>
      </c>
      <c r="N789" s="5">
        <f t="shared" si="114"/>
        <v>4.7967435575609675E-8</v>
      </c>
      <c r="O789" s="5">
        <f t="shared" si="115"/>
        <v>1.2382997100539173E-6</v>
      </c>
      <c r="P789" s="5">
        <f t="shared" si="116"/>
        <v>5.1373285437047401E-7</v>
      </c>
      <c r="Q789" s="1">
        <f t="shared" si="112"/>
        <v>1.800000000000001E-6</v>
      </c>
    </row>
    <row r="790" spans="1:17" x14ac:dyDescent="0.25">
      <c r="A790" s="1">
        <v>39.4</v>
      </c>
      <c r="B790" s="1">
        <v>1.9907999999999999E-2</v>
      </c>
      <c r="C790" s="1">
        <v>3.7618E-3</v>
      </c>
      <c r="D790" s="1">
        <v>2.3179999999999999E-2</v>
      </c>
      <c r="E790" s="1">
        <v>2.2599000000000001E-2</v>
      </c>
      <c r="F790" s="1">
        <v>1.8146E-6</v>
      </c>
      <c r="G790" s="1">
        <v>6.8026</v>
      </c>
      <c r="H790" s="1">
        <v>1.6297000000000001E-7</v>
      </c>
      <c r="I790" s="1">
        <f t="shared" si="108"/>
        <v>1.6297000000000001E-7</v>
      </c>
      <c r="J790" s="4">
        <f t="shared" si="109"/>
        <v>-1.5825938998282279E-8</v>
      </c>
      <c r="K790" s="4">
        <f t="shared" si="110"/>
        <v>-2.4146844346050018E-8</v>
      </c>
      <c r="L790" s="4">
        <f t="shared" si="111"/>
        <v>-8.1898188779511031E-9</v>
      </c>
      <c r="M790" s="4">
        <f t="shared" si="113"/>
        <v>-8.7860647685850957E-9</v>
      </c>
      <c r="N790" s="5">
        <f t="shared" si="114"/>
        <v>4.809852204542631E-8</v>
      </c>
      <c r="O790" s="5">
        <f t="shared" si="115"/>
        <v>1.2387648694747347E-6</v>
      </c>
      <c r="P790" s="5">
        <f t="shared" si="116"/>
        <v>5.1313660847984007E-7</v>
      </c>
      <c r="Q790" s="1">
        <f t="shared" si="112"/>
        <v>1.800000000000001E-6</v>
      </c>
    </row>
    <row r="791" spans="1:17" x14ac:dyDescent="0.25">
      <c r="A791" s="1">
        <v>39.450000000000003</v>
      </c>
      <c r="B791" s="1">
        <v>1.9866999999999999E-2</v>
      </c>
      <c r="C791" s="1">
        <v>3.7559E-3</v>
      </c>
      <c r="D791" s="1">
        <v>2.3203000000000001E-2</v>
      </c>
      <c r="E791" s="1">
        <v>2.2549E-2</v>
      </c>
      <c r="F791" s="1">
        <v>1.8128E-6</v>
      </c>
      <c r="G791" s="1">
        <v>6.8022999999999998</v>
      </c>
      <c r="H791" s="1">
        <v>1.6306000000000001E-7</v>
      </c>
      <c r="I791" s="1">
        <f t="shared" si="108"/>
        <v>1.6306000000000001E-7</v>
      </c>
      <c r="J791" s="4">
        <f t="shared" si="109"/>
        <v>-1.5837752242686156E-8</v>
      </c>
      <c r="K791" s="4">
        <f t="shared" si="110"/>
        <v>-2.4155914954759385E-8</v>
      </c>
      <c r="L791" s="4">
        <f t="shared" si="111"/>
        <v>-8.1855894200910783E-9</v>
      </c>
      <c r="M791" s="4">
        <f t="shared" si="113"/>
        <v>-8.7807166738164994E-9</v>
      </c>
      <c r="N791" s="5">
        <f t="shared" si="114"/>
        <v>4.8231095337408458E-8</v>
      </c>
      <c r="O791" s="5">
        <f t="shared" si="115"/>
        <v>1.2392274234364782E-6</v>
      </c>
      <c r="P791" s="5">
        <f t="shared" si="116"/>
        <v>5.1254148122611469E-7</v>
      </c>
      <c r="Q791" s="1">
        <f t="shared" si="112"/>
        <v>1.8000000000000014E-6</v>
      </c>
    </row>
    <row r="792" spans="1:17" x14ac:dyDescent="0.25">
      <c r="A792" s="1">
        <v>39.5</v>
      </c>
      <c r="B792" s="1">
        <v>1.9827000000000001E-2</v>
      </c>
      <c r="C792" s="1">
        <v>3.7499999999999999E-3</v>
      </c>
      <c r="D792" s="1">
        <v>2.3226E-2</v>
      </c>
      <c r="E792" s="1">
        <v>2.2499000000000002E-2</v>
      </c>
      <c r="F792" s="1">
        <v>1.8109999999999999E-6</v>
      </c>
      <c r="G792" s="1">
        <v>6.8021000000000003</v>
      </c>
      <c r="H792" s="1">
        <v>1.6315E-7</v>
      </c>
      <c r="I792" s="1">
        <f t="shared" si="108"/>
        <v>1.6315E-7</v>
      </c>
      <c r="J792" s="4">
        <f t="shared" si="109"/>
        <v>-1.5849913994900225E-8</v>
      </c>
      <c r="K792" s="4">
        <f t="shared" si="110"/>
        <v>-2.4164934757009952E-8</v>
      </c>
      <c r="L792" s="4">
        <f t="shared" si="111"/>
        <v>-8.1818667215615154E-9</v>
      </c>
      <c r="M792" s="4">
        <f t="shared" si="113"/>
        <v>-8.7753764625161799E-9</v>
      </c>
      <c r="N792" s="5">
        <f t="shared" si="114"/>
        <v>4.8364249377956668E-8</v>
      </c>
      <c r="O792" s="5">
        <f t="shared" si="115"/>
        <v>1.2396877791368845E-6</v>
      </c>
      <c r="P792" s="5">
        <f t="shared" si="116"/>
        <v>5.1194797148516001E-7</v>
      </c>
      <c r="Q792" s="1">
        <f t="shared" si="112"/>
        <v>1.8000000000000014E-6</v>
      </c>
    </row>
    <row r="793" spans="1:17" x14ac:dyDescent="0.25">
      <c r="A793" s="1">
        <v>39.549999999999997</v>
      </c>
      <c r="B793" s="1">
        <v>1.9786000000000002E-2</v>
      </c>
      <c r="C793" s="1">
        <v>3.7439999999999999E-3</v>
      </c>
      <c r="D793" s="1">
        <v>2.325E-2</v>
      </c>
      <c r="E793" s="1">
        <v>2.2449E-2</v>
      </c>
      <c r="F793" s="1">
        <v>1.8092E-6</v>
      </c>
      <c r="G793" s="1">
        <v>6.8018000000000001</v>
      </c>
      <c r="H793" s="1">
        <v>1.6323000000000001E-7</v>
      </c>
      <c r="I793" s="1">
        <f t="shared" si="108"/>
        <v>1.6323000000000001E-7</v>
      </c>
      <c r="J793" s="4">
        <f t="shared" si="109"/>
        <v>-1.5862124433411238E-8</v>
      </c>
      <c r="K793" s="4">
        <f t="shared" si="110"/>
        <v>-2.4173911693167874E-8</v>
      </c>
      <c r="L793" s="4">
        <f t="shared" si="111"/>
        <v>-8.1781338550710979E-9</v>
      </c>
      <c r="M793" s="4">
        <f t="shared" si="113"/>
        <v>-8.7700527125189074E-9</v>
      </c>
      <c r="N793" s="5">
        <f t="shared" si="114"/>
        <v>4.8497902782642201E-8</v>
      </c>
      <c r="O793" s="5">
        <f t="shared" si="115"/>
        <v>1.2401460445896467E-6</v>
      </c>
      <c r="P793" s="5">
        <f t="shared" si="116"/>
        <v>5.1135605262771221E-7</v>
      </c>
      <c r="Q793" s="1">
        <f t="shared" si="112"/>
        <v>1.800000000000001E-6</v>
      </c>
    </row>
    <row r="794" spans="1:17" x14ac:dyDescent="0.25">
      <c r="A794" s="1">
        <v>39.6</v>
      </c>
      <c r="B794" s="1">
        <v>1.9746E-2</v>
      </c>
      <c r="C794" s="1">
        <v>3.7380999999999998E-3</v>
      </c>
      <c r="D794" s="1">
        <v>2.3272999999999999E-2</v>
      </c>
      <c r="E794" s="1">
        <v>2.2398999999999999E-2</v>
      </c>
      <c r="F794" s="1">
        <v>1.8074000000000001E-6</v>
      </c>
      <c r="G794" s="1">
        <v>6.8015999999999996</v>
      </c>
      <c r="H794" s="1">
        <v>1.6332000000000001E-7</v>
      </c>
      <c r="I794" s="1">
        <f t="shared" si="108"/>
        <v>1.6332000000000001E-7</v>
      </c>
      <c r="J794" s="4">
        <f t="shared" si="109"/>
        <v>-1.5874356041842691E-8</v>
      </c>
      <c r="K794" s="4">
        <f t="shared" si="110"/>
        <v>-2.4182847869500175E-8</v>
      </c>
      <c r="L794" s="4">
        <f t="shared" si="111"/>
        <v>-8.1743764534092706E-9</v>
      </c>
      <c r="M794" s="4">
        <f t="shared" si="113"/>
        <v>-8.764208089395002E-9</v>
      </c>
      <c r="N794" s="5">
        <f t="shared" si="114"/>
        <v>4.8632018156890421E-8</v>
      </c>
      <c r="O794" s="5">
        <f t="shared" si="115"/>
        <v>1.2406017608513842E-6</v>
      </c>
      <c r="P794" s="5">
        <f t="shared" si="116"/>
        <v>5.1076622099172652E-7</v>
      </c>
      <c r="Q794" s="1">
        <f t="shared" si="112"/>
        <v>1.800000000000001E-6</v>
      </c>
    </row>
    <row r="795" spans="1:17" x14ac:dyDescent="0.25">
      <c r="A795" s="1">
        <v>39.65</v>
      </c>
      <c r="B795" s="1">
        <v>1.9706000000000001E-2</v>
      </c>
      <c r="C795" s="1">
        <v>3.7322000000000002E-3</v>
      </c>
      <c r="D795" s="1">
        <v>2.3296000000000001E-2</v>
      </c>
      <c r="E795" s="1">
        <v>2.2349999999999998E-2</v>
      </c>
      <c r="F795" s="1">
        <v>1.8055999999999999E-6</v>
      </c>
      <c r="G795" s="1">
        <v>6.8013000000000003</v>
      </c>
      <c r="H795" s="1">
        <v>1.6341000000000001E-7</v>
      </c>
      <c r="I795" s="1">
        <f t="shared" si="108"/>
        <v>1.6341000000000001E-7</v>
      </c>
      <c r="J795" s="4">
        <f t="shared" si="109"/>
        <v>-1.5886595888132976E-8</v>
      </c>
      <c r="K795" s="4">
        <f t="shared" si="110"/>
        <v>-2.4191734336600617E-8</v>
      </c>
      <c r="L795" s="4">
        <f t="shared" si="111"/>
        <v>-8.1705877193089847E-9</v>
      </c>
      <c r="M795" s="4">
        <f t="shared" si="113"/>
        <v>-8.758925617298223E-9</v>
      </c>
      <c r="N795" s="5">
        <f t="shared" si="114"/>
        <v>4.8766568886049075E-8</v>
      </c>
      <c r="O795" s="5">
        <f t="shared" si="115"/>
        <v>1.2410555480202148E-6</v>
      </c>
      <c r="P795" s="5">
        <f t="shared" si="116"/>
        <v>5.1017788309373725E-7</v>
      </c>
      <c r="Q795" s="1">
        <f t="shared" si="112"/>
        <v>1.8000000000000012E-6</v>
      </c>
    </row>
    <row r="796" spans="1:17" x14ac:dyDescent="0.25">
      <c r="A796" s="1">
        <v>39.700000000000003</v>
      </c>
      <c r="B796" s="1">
        <v>1.9665999999999999E-2</v>
      </c>
      <c r="C796" s="1">
        <v>3.7261999999999998E-3</v>
      </c>
      <c r="D796" s="1">
        <v>2.3318999999999999E-2</v>
      </c>
      <c r="E796" s="1">
        <v>2.23E-2</v>
      </c>
      <c r="F796" s="1">
        <v>1.8038E-6</v>
      </c>
      <c r="G796" s="1">
        <v>6.8010000000000002</v>
      </c>
      <c r="H796" s="1">
        <v>1.6348999999999999E-7</v>
      </c>
      <c r="I796" s="1">
        <f t="shared" si="108"/>
        <v>1.6348999999999999E-7</v>
      </c>
      <c r="J796" s="4">
        <f t="shared" si="109"/>
        <v>-1.5898834653915555E-8</v>
      </c>
      <c r="K796" s="4">
        <f t="shared" si="110"/>
        <v>-2.4200583186396253E-8</v>
      </c>
      <c r="L796" s="4">
        <f t="shared" si="111"/>
        <v>-8.1671281636979537E-9</v>
      </c>
      <c r="M796" s="4">
        <f t="shared" si="113"/>
        <v>-8.7536576270172443E-9</v>
      </c>
      <c r="N796" s="5">
        <f t="shared" si="114"/>
        <v>4.8901189254831821E-8</v>
      </c>
      <c r="O796" s="5">
        <f t="shared" si="115"/>
        <v>1.2415074571147513E-6</v>
      </c>
      <c r="P796" s="5">
        <f t="shared" si="116"/>
        <v>5.0959135363041797E-7</v>
      </c>
      <c r="Q796" s="1">
        <f t="shared" si="112"/>
        <v>1.800000000000001E-6</v>
      </c>
    </row>
    <row r="797" spans="1:17" x14ac:dyDescent="0.25">
      <c r="A797" s="1">
        <v>39.75</v>
      </c>
      <c r="B797" s="1">
        <v>1.9626000000000001E-2</v>
      </c>
      <c r="C797" s="1">
        <v>3.7203000000000002E-3</v>
      </c>
      <c r="D797" s="1">
        <v>2.3342000000000002E-2</v>
      </c>
      <c r="E797" s="1">
        <v>2.2249999999999999E-2</v>
      </c>
      <c r="F797" s="1">
        <v>1.8019000000000001E-6</v>
      </c>
      <c r="G797" s="1">
        <v>6.8007999999999997</v>
      </c>
      <c r="H797" s="1">
        <v>1.6358000000000001E-7</v>
      </c>
      <c r="I797" s="1">
        <f t="shared" si="108"/>
        <v>1.6358000000000001E-7</v>
      </c>
      <c r="J797" s="4">
        <f t="shared" si="109"/>
        <v>-1.5910952758782501E-8</v>
      </c>
      <c r="K797" s="4">
        <f t="shared" si="110"/>
        <v>-2.4209395413736276E-8</v>
      </c>
      <c r="L797" s="4">
        <f t="shared" si="111"/>
        <v>-8.1632061373851123E-9</v>
      </c>
      <c r="M797" s="4">
        <f t="shared" si="113"/>
        <v>-8.7478744925283915E-9</v>
      </c>
      <c r="N797" s="5">
        <f t="shared" si="114"/>
        <v>4.9036425772400487E-8</v>
      </c>
      <c r="O797" s="5">
        <f t="shared" si="115"/>
        <v>1.2419568889523259E-6</v>
      </c>
      <c r="P797" s="5">
        <f t="shared" si="116"/>
        <v>5.0900668527527461E-7</v>
      </c>
      <c r="Q797" s="1">
        <f t="shared" si="112"/>
        <v>1.800000000000001E-6</v>
      </c>
    </row>
    <row r="798" spans="1:17" x14ac:dyDescent="0.25">
      <c r="A798" s="1">
        <v>39.799999999999997</v>
      </c>
      <c r="B798" s="1">
        <v>1.9585999999999999E-2</v>
      </c>
      <c r="C798" s="1">
        <v>3.7142999999999998E-3</v>
      </c>
      <c r="D798" s="1">
        <v>2.3365E-2</v>
      </c>
      <c r="E798" s="1">
        <v>2.2200999999999999E-2</v>
      </c>
      <c r="F798" s="1">
        <v>1.8000999999999999E-6</v>
      </c>
      <c r="G798" s="1">
        <v>6.8005000000000004</v>
      </c>
      <c r="H798" s="1">
        <v>1.6367000000000001E-7</v>
      </c>
      <c r="I798" s="1">
        <f t="shared" si="108"/>
        <v>1.6367000000000001E-7</v>
      </c>
      <c r="J798" s="4">
        <f t="shared" si="109"/>
        <v>-1.5921360567634878E-8</v>
      </c>
      <c r="K798" s="4">
        <f t="shared" si="110"/>
        <v>-2.4218159334568978E-8</v>
      </c>
      <c r="L798" s="4">
        <f t="shared" si="111"/>
        <v>-8.1588247483988315E-9</v>
      </c>
      <c r="M798" s="4">
        <f t="shared" si="113"/>
        <v>-8.7426479256190934E-9</v>
      </c>
      <c r="N798" s="5">
        <f t="shared" si="114"/>
        <v>4.9174399790935761E-8</v>
      </c>
      <c r="O798" s="5">
        <f t="shared" si="115"/>
        <v>1.2424027381110108E-6</v>
      </c>
      <c r="P798" s="5">
        <f t="shared" si="116"/>
        <v>5.0842286209805434E-7</v>
      </c>
      <c r="Q798" s="1">
        <f t="shared" si="112"/>
        <v>1.800000000000001E-6</v>
      </c>
    </row>
    <row r="799" spans="1:17" x14ac:dyDescent="0.25">
      <c r="A799" s="1">
        <v>39.85</v>
      </c>
      <c r="B799" s="1">
        <v>1.9546000000000001E-2</v>
      </c>
      <c r="C799" s="1">
        <v>3.7082999999999999E-3</v>
      </c>
      <c r="D799" s="1">
        <v>2.3387999999999999E-2</v>
      </c>
      <c r="E799" s="1">
        <v>2.2151000000000001E-2</v>
      </c>
      <c r="F799" s="1">
        <v>1.7982E-6</v>
      </c>
      <c r="G799" s="1">
        <v>6.8003</v>
      </c>
      <c r="H799" s="1">
        <v>1.6374999999999999E-7</v>
      </c>
      <c r="I799" s="1">
        <f t="shared" si="108"/>
        <v>1.6374999999999999E-7</v>
      </c>
      <c r="J799" s="4">
        <f t="shared" si="109"/>
        <v>-1.5934275859831417E-8</v>
      </c>
      <c r="K799" s="4">
        <f t="shared" si="110"/>
        <v>-2.4226853393166779E-8</v>
      </c>
      <c r="L799" s="4">
        <f t="shared" si="111"/>
        <v>-8.1556078118498233E-9</v>
      </c>
      <c r="M799" s="4">
        <f t="shared" si="113"/>
        <v>-8.7374248331575436E-9</v>
      </c>
      <c r="N799" s="5">
        <f t="shared" si="114"/>
        <v>4.9311369512421302E-8</v>
      </c>
      <c r="O799" s="5">
        <f t="shared" si="115"/>
        <v>1.2428475854108329E-6</v>
      </c>
      <c r="P799" s="5">
        <f t="shared" si="116"/>
        <v>5.0784104507674664E-7</v>
      </c>
      <c r="Q799" s="1">
        <f t="shared" si="112"/>
        <v>1.8000000000000008E-6</v>
      </c>
    </row>
    <row r="800" spans="1:17" x14ac:dyDescent="0.25">
      <c r="A800" s="1">
        <v>39.9</v>
      </c>
      <c r="B800" s="1">
        <v>1.9505999999999999E-2</v>
      </c>
      <c r="C800" s="1">
        <v>3.7023999999999998E-3</v>
      </c>
      <c r="D800" s="1">
        <v>2.3411000000000001E-2</v>
      </c>
      <c r="E800" s="1">
        <v>2.2102E-2</v>
      </c>
      <c r="F800" s="1">
        <v>1.7963000000000001E-6</v>
      </c>
      <c r="G800" s="1">
        <v>6.8</v>
      </c>
      <c r="H800" s="1">
        <v>1.6383999999999999E-7</v>
      </c>
      <c r="I800" s="1">
        <f t="shared" si="108"/>
        <v>1.6383999999999999E-7</v>
      </c>
      <c r="J800" s="4">
        <f t="shared" si="109"/>
        <v>-1.5944945931463266E-8</v>
      </c>
      <c r="K800" s="4">
        <f t="shared" si="110"/>
        <v>-2.4235527915509864E-8</v>
      </c>
      <c r="L800" s="4">
        <f t="shared" si="111"/>
        <v>-8.1512927589286383E-9</v>
      </c>
      <c r="M800" s="4">
        <f t="shared" si="113"/>
        <v>-8.7316919687878164E-9</v>
      </c>
      <c r="N800" s="5">
        <f t="shared" si="114"/>
        <v>4.9450658737539262E-8</v>
      </c>
      <c r="O800" s="5">
        <f t="shared" si="115"/>
        <v>1.2432886953955743E-6</v>
      </c>
      <c r="P800" s="5">
        <f t="shared" si="116"/>
        <v>5.0726064586688747E-7</v>
      </c>
      <c r="Q800" s="1">
        <f t="shared" si="112"/>
        <v>1.800000000000001E-6</v>
      </c>
    </row>
    <row r="801" spans="1:17" x14ac:dyDescent="0.25">
      <c r="A801" s="1">
        <v>39.950000000000003</v>
      </c>
      <c r="B801" s="1">
        <v>1.9466000000000001E-2</v>
      </c>
      <c r="C801" s="1">
        <v>3.6963999999999999E-3</v>
      </c>
      <c r="D801" s="1">
        <v>2.3434E-2</v>
      </c>
      <c r="E801" s="1">
        <v>2.2051999999999999E-2</v>
      </c>
      <c r="F801" s="1">
        <v>1.7944999999999999E-6</v>
      </c>
      <c r="G801" s="1">
        <v>6.7998000000000003</v>
      </c>
      <c r="H801" s="1">
        <v>1.6392E-7</v>
      </c>
      <c r="I801" s="1">
        <f t="shared" si="108"/>
        <v>1.6392E-7</v>
      </c>
      <c r="J801" s="4">
        <f t="shared" si="109"/>
        <v>-1.5956212851477493E-8</v>
      </c>
      <c r="K801" s="4">
        <f t="shared" si="110"/>
        <v>-2.4244129560215769E-8</v>
      </c>
      <c r="L801" s="4">
        <f t="shared" si="111"/>
        <v>-8.1476173147020303E-9</v>
      </c>
      <c r="M801" s="4">
        <f t="shared" si="113"/>
        <v>-8.7265063429779827E-9</v>
      </c>
      <c r="N801" s="5">
        <f t="shared" si="114"/>
        <v>4.9590958131575508E-8</v>
      </c>
      <c r="O801" s="5">
        <f t="shared" si="115"/>
        <v>1.2437272850298141E-6</v>
      </c>
      <c r="P801" s="5">
        <f t="shared" si="116"/>
        <v>5.0668175683861148E-7</v>
      </c>
      <c r="Q801" s="1">
        <f t="shared" si="112"/>
        <v>1.800000000000001E-6</v>
      </c>
    </row>
    <row r="802" spans="1:17" x14ac:dyDescent="0.25">
      <c r="A802" s="1">
        <v>40</v>
      </c>
      <c r="B802" s="1">
        <v>1.9425999999999999E-2</v>
      </c>
      <c r="C802" s="1">
        <v>3.6903999999999999E-3</v>
      </c>
      <c r="D802" s="1">
        <v>2.3456999999999999E-2</v>
      </c>
      <c r="E802" s="1">
        <v>2.2003000000000002E-2</v>
      </c>
      <c r="F802" s="1">
        <v>1.7926E-6</v>
      </c>
      <c r="G802" s="1">
        <v>6.7995999999999999</v>
      </c>
      <c r="H802" s="1">
        <v>1.6401E-7</v>
      </c>
      <c r="I802" s="1">
        <f t="shared" si="108"/>
        <v>1.6401E-7</v>
      </c>
      <c r="J802" s="4">
        <f t="shared" si="109"/>
        <v>-1.5969430350177384E-8</v>
      </c>
      <c r="K802" s="4">
        <f t="shared" si="110"/>
        <v>-2.4252682058079997E-8</v>
      </c>
      <c r="L802" s="4">
        <f t="shared" si="111"/>
        <v>-8.1440802119853069E-9</v>
      </c>
      <c r="M802" s="4">
        <f t="shared" si="113"/>
        <v>-8.7208037260029497E-9</v>
      </c>
      <c r="N802" s="5">
        <f t="shared" si="114"/>
        <v>4.9730129627492821E-8</v>
      </c>
      <c r="O802" s="5">
        <f t="shared" si="115"/>
        <v>1.2441648370479144E-6</v>
      </c>
      <c r="P802" s="5">
        <f t="shared" si="116"/>
        <v>5.0610503332459388E-7</v>
      </c>
      <c r="Q802" s="1">
        <f t="shared" si="112"/>
        <v>1.8000000000000012E-6</v>
      </c>
    </row>
    <row r="803" spans="1:17" x14ac:dyDescent="0.25">
      <c r="A803" s="1">
        <v>40.049999999999997</v>
      </c>
      <c r="B803" s="1">
        <v>1.9387000000000001E-2</v>
      </c>
      <c r="C803" s="1">
        <v>3.6843000000000002E-3</v>
      </c>
      <c r="D803" s="1">
        <v>2.3479E-2</v>
      </c>
      <c r="E803" s="1">
        <v>2.1954000000000001E-2</v>
      </c>
      <c r="F803" s="1">
        <v>1.7907000000000001E-6</v>
      </c>
      <c r="G803" s="1">
        <v>6.7992999999999997</v>
      </c>
      <c r="H803" s="1">
        <v>1.6409999999999999E-7</v>
      </c>
      <c r="I803" s="1">
        <f t="shared" si="108"/>
        <v>1.6409999999999999E-7</v>
      </c>
      <c r="J803" s="4">
        <f t="shared" si="109"/>
        <v>-1.5980353256168967E-8</v>
      </c>
      <c r="K803" s="4">
        <f t="shared" si="110"/>
        <v>-2.4261214322432951E-8</v>
      </c>
      <c r="L803" s="4">
        <f t="shared" si="111"/>
        <v>-8.1401607033708904E-9</v>
      </c>
      <c r="M803" s="4">
        <f t="shared" si="113"/>
        <v>-8.7156600841340018E-9</v>
      </c>
      <c r="N803" s="5">
        <f t="shared" si="114"/>
        <v>4.987082999038592E-8</v>
      </c>
      <c r="O803" s="5">
        <f t="shared" si="115"/>
        <v>1.2445996360657845E-6</v>
      </c>
      <c r="P803" s="5">
        <f t="shared" si="116"/>
        <v>5.0552953394383087E-7</v>
      </c>
      <c r="Q803" s="1">
        <f t="shared" si="112"/>
        <v>1.8000000000000014E-6</v>
      </c>
    </row>
    <row r="804" spans="1:17" x14ac:dyDescent="0.25">
      <c r="A804" s="1">
        <v>40.1</v>
      </c>
      <c r="B804" s="1">
        <v>1.9347E-2</v>
      </c>
      <c r="C804" s="1">
        <v>3.6782999999999998E-3</v>
      </c>
      <c r="D804" s="1">
        <v>2.3501999999999999E-2</v>
      </c>
      <c r="E804" s="1">
        <v>2.1905000000000001E-2</v>
      </c>
      <c r="F804" s="1">
        <v>1.7887999999999999E-6</v>
      </c>
      <c r="G804" s="1">
        <v>6.7991000000000001</v>
      </c>
      <c r="H804" s="1">
        <v>1.6418000000000001E-7</v>
      </c>
      <c r="I804" s="1">
        <f t="shared" si="108"/>
        <v>1.6418000000000001E-7</v>
      </c>
      <c r="J804" s="4">
        <f t="shared" si="109"/>
        <v>-1.5991612710887178E-8</v>
      </c>
      <c r="K804" s="4">
        <f t="shared" si="110"/>
        <v>-2.4269692903284868E-8</v>
      </c>
      <c r="L804" s="4">
        <f t="shared" si="111"/>
        <v>-8.1363793021583237E-9</v>
      </c>
      <c r="M804" s="4">
        <f t="shared" si="113"/>
        <v>-8.7105266346199197E-9</v>
      </c>
      <c r="N804" s="5">
        <f t="shared" si="114"/>
        <v>5.001253088062529E-8</v>
      </c>
      <c r="O804" s="5">
        <f t="shared" si="115"/>
        <v>1.2450320825080066E-6</v>
      </c>
      <c r="P804" s="5">
        <f t="shared" si="116"/>
        <v>5.049553866113693E-7</v>
      </c>
      <c r="Q804" s="1">
        <f t="shared" si="112"/>
        <v>1.8000000000000012E-6</v>
      </c>
    </row>
    <row r="805" spans="1:17" x14ac:dyDescent="0.25">
      <c r="A805" s="1">
        <v>40.15</v>
      </c>
      <c r="B805" s="1">
        <v>1.9307999999999999E-2</v>
      </c>
      <c r="C805" s="1">
        <v>3.6722999999999999E-3</v>
      </c>
      <c r="D805" s="1">
        <v>2.3525000000000001E-2</v>
      </c>
      <c r="E805" s="1">
        <v>2.1856E-2</v>
      </c>
      <c r="F805" s="1">
        <v>1.7869E-6</v>
      </c>
      <c r="G805" s="1">
        <v>6.7988</v>
      </c>
      <c r="H805" s="1">
        <v>1.6427E-7</v>
      </c>
      <c r="I805" s="1">
        <f t="shared" si="108"/>
        <v>1.6427E-7</v>
      </c>
      <c r="J805" s="4">
        <f t="shared" si="109"/>
        <v>-1.6003036837998367E-8</v>
      </c>
      <c r="K805" s="4">
        <f t="shared" si="110"/>
        <v>-2.4278125608904749E-8</v>
      </c>
      <c r="L805" s="4">
        <f t="shared" si="111"/>
        <v>-8.132647954136125E-9</v>
      </c>
      <c r="M805" s="4">
        <f t="shared" si="113"/>
        <v>-8.7048754142542402E-9</v>
      </c>
      <c r="N805" s="5">
        <f t="shared" si="114"/>
        <v>5.0154971697395553E-8</v>
      </c>
      <c r="O805" s="5">
        <f t="shared" si="115"/>
        <v>1.2454618691513545E-6</v>
      </c>
      <c r="P805" s="5">
        <f t="shared" si="116"/>
        <v>5.0438315915125128E-7</v>
      </c>
      <c r="Q805" s="1">
        <f t="shared" si="112"/>
        <v>1.8000000000000012E-6</v>
      </c>
    </row>
    <row r="806" spans="1:17" x14ac:dyDescent="0.25">
      <c r="A806" s="1">
        <v>40.200000000000003</v>
      </c>
      <c r="B806" s="1">
        <v>1.9268E-2</v>
      </c>
      <c r="C806" s="1">
        <v>3.6662999999999999E-3</v>
      </c>
      <c r="D806" s="1">
        <v>2.3547999999999999E-2</v>
      </c>
      <c r="E806" s="1">
        <v>2.1807E-2</v>
      </c>
      <c r="F806" s="1">
        <v>1.7849000000000001E-6</v>
      </c>
      <c r="G806" s="1">
        <v>6.7986000000000004</v>
      </c>
      <c r="H806" s="1">
        <v>1.6435000000000001E-7</v>
      </c>
      <c r="I806" s="1">
        <f t="shared" si="108"/>
        <v>1.6435000000000001E-7</v>
      </c>
      <c r="J806" s="4">
        <f t="shared" si="109"/>
        <v>-1.6014540692901906E-8</v>
      </c>
      <c r="K806" s="4">
        <f t="shared" si="110"/>
        <v>-2.4286506448453483E-8</v>
      </c>
      <c r="L806" s="4">
        <f t="shared" si="111"/>
        <v>-8.1289231392012206E-9</v>
      </c>
      <c r="M806" s="4">
        <f t="shared" si="113"/>
        <v>-8.699777263147228E-9</v>
      </c>
      <c r="N806" s="5">
        <f t="shared" si="114"/>
        <v>5.029801431374591E-8</v>
      </c>
      <c r="O806" s="5">
        <f t="shared" si="115"/>
        <v>1.2458896806589502E-6</v>
      </c>
      <c r="P806" s="5">
        <f t="shared" si="116"/>
        <v>5.0381230502730528E-7</v>
      </c>
      <c r="Q806" s="1">
        <f t="shared" si="112"/>
        <v>1.8000000000000014E-6</v>
      </c>
    </row>
    <row r="807" spans="1:17" x14ac:dyDescent="0.25">
      <c r="A807" s="1">
        <v>40.25</v>
      </c>
      <c r="B807" s="1">
        <v>1.9229E-2</v>
      </c>
      <c r="C807" s="1">
        <v>3.6602000000000002E-3</v>
      </c>
      <c r="D807" s="1">
        <v>2.3570000000000001E-2</v>
      </c>
      <c r="E807" s="1">
        <v>2.1758E-2</v>
      </c>
      <c r="F807" s="1">
        <v>1.7829999999999999E-6</v>
      </c>
      <c r="G807" s="1">
        <v>6.7983000000000002</v>
      </c>
      <c r="H807" s="1">
        <v>1.6444000000000001E-7</v>
      </c>
      <c r="I807" s="1">
        <f t="shared" si="108"/>
        <v>1.6444000000000001E-7</v>
      </c>
      <c r="J807" s="4">
        <f t="shared" si="109"/>
        <v>-1.6024283476867611E-8</v>
      </c>
      <c r="K807" s="4">
        <f t="shared" si="110"/>
        <v>-2.4294848772848149E-8</v>
      </c>
      <c r="L807" s="4">
        <f t="shared" si="111"/>
        <v>-8.1247264921688368E-9</v>
      </c>
      <c r="M807" s="4">
        <f t="shared" si="113"/>
        <v>-8.694162994779457E-9</v>
      </c>
      <c r="N807" s="5">
        <f t="shared" si="114"/>
        <v>5.0443853117557606E-8</v>
      </c>
      <c r="O807" s="5">
        <f t="shared" si="115"/>
        <v>1.2463132783577489E-6</v>
      </c>
      <c r="P807" s="5">
        <f t="shared" si="116"/>
        <v>5.0324286852469464E-7</v>
      </c>
      <c r="Q807" s="1">
        <f t="shared" si="112"/>
        <v>1.8000000000000014E-6</v>
      </c>
    </row>
    <row r="808" spans="1:17" x14ac:dyDescent="0.25">
      <c r="A808" s="1">
        <v>40.299999999999997</v>
      </c>
      <c r="B808" s="1">
        <v>1.9189999999999999E-2</v>
      </c>
      <c r="C808" s="1">
        <v>3.6541999999999998E-3</v>
      </c>
      <c r="D808" s="1">
        <v>2.3592999999999999E-2</v>
      </c>
      <c r="E808" s="1">
        <v>2.1708999999999999E-2</v>
      </c>
      <c r="F808" s="1">
        <v>1.781E-6</v>
      </c>
      <c r="G808" s="1">
        <v>6.7980999999999998</v>
      </c>
      <c r="H808" s="1">
        <v>1.6451999999999999E-7</v>
      </c>
      <c r="I808" s="1">
        <f t="shared" si="108"/>
        <v>1.6451999999999999E-7</v>
      </c>
      <c r="J808" s="4">
        <f t="shared" si="109"/>
        <v>-1.6036549856363397E-8</v>
      </c>
      <c r="K808" s="4">
        <f t="shared" si="110"/>
        <v>-2.4303108927974725E-8</v>
      </c>
      <c r="L808" s="4">
        <f t="shared" si="111"/>
        <v>-8.1213207788291213E-9</v>
      </c>
      <c r="M808" s="4">
        <f t="shared" si="113"/>
        <v>-8.689092016520589E-9</v>
      </c>
      <c r="N808" s="5">
        <f t="shared" si="114"/>
        <v>5.0589091410339814E-8</v>
      </c>
      <c r="O808" s="5">
        <f t="shared" si="115"/>
        <v>1.2467358113026583E-6</v>
      </c>
      <c r="P808" s="5">
        <f t="shared" si="116"/>
        <v>5.0267509728700319E-7</v>
      </c>
      <c r="Q808" s="1">
        <f t="shared" si="112"/>
        <v>1.8000000000000012E-6</v>
      </c>
    </row>
    <row r="809" spans="1:17" x14ac:dyDescent="0.25">
      <c r="A809" s="1">
        <v>40.35</v>
      </c>
      <c r="B809" s="1">
        <v>1.9151000000000001E-2</v>
      </c>
      <c r="C809" s="1">
        <v>3.6481E-3</v>
      </c>
      <c r="D809" s="1">
        <v>2.3616000000000002E-2</v>
      </c>
      <c r="E809" s="1">
        <v>2.1659999999999999E-2</v>
      </c>
      <c r="F809" s="1">
        <v>1.7791E-6</v>
      </c>
      <c r="G809" s="1">
        <v>6.7977999999999996</v>
      </c>
      <c r="H809" s="1">
        <v>1.6460999999999999E-7</v>
      </c>
      <c r="I809" s="1">
        <f t="shared" si="108"/>
        <v>1.6460999999999999E-7</v>
      </c>
      <c r="J809" s="4">
        <f t="shared" si="109"/>
        <v>-1.6046662497904657E-8</v>
      </c>
      <c r="K809" s="4">
        <f t="shared" si="110"/>
        <v>-2.4311348320403907E-8</v>
      </c>
      <c r="L809" s="4">
        <f t="shared" si="111"/>
        <v>-8.1172461206799585E-9</v>
      </c>
      <c r="M809" s="4">
        <f t="shared" si="113"/>
        <v>-8.6835112355948042E-9</v>
      </c>
      <c r="N809" s="5">
        <f t="shared" si="114"/>
        <v>5.0736531112159106E-8</v>
      </c>
      <c r="O809" s="5">
        <f t="shared" si="115"/>
        <v>1.2471546367157537E-6</v>
      </c>
      <c r="P809" s="5">
        <f t="shared" si="116"/>
        <v>5.0210883217208828E-7</v>
      </c>
      <c r="Q809" s="1">
        <f t="shared" si="112"/>
        <v>1.800000000000001E-6</v>
      </c>
    </row>
    <row r="810" spans="1:17" x14ac:dyDescent="0.25">
      <c r="A810" s="1">
        <v>40.4</v>
      </c>
      <c r="B810" s="1">
        <v>1.9112000000000001E-2</v>
      </c>
      <c r="C810" s="1">
        <v>3.6419999999999998E-3</v>
      </c>
      <c r="D810" s="1">
        <v>2.3637999999999999E-2</v>
      </c>
      <c r="E810" s="1">
        <v>2.1611999999999999E-2</v>
      </c>
      <c r="F810" s="1">
        <v>1.7771000000000001E-6</v>
      </c>
      <c r="G810" s="1">
        <v>6.7976000000000001</v>
      </c>
      <c r="H810" s="1">
        <v>1.6469E-7</v>
      </c>
      <c r="I810" s="1">
        <f t="shared" si="108"/>
        <v>1.6469E-7</v>
      </c>
      <c r="J810" s="4">
        <f t="shared" si="109"/>
        <v>-1.6059110642666264E-8</v>
      </c>
      <c r="K810" s="4">
        <f t="shared" si="110"/>
        <v>-2.4319515415955814E-8</v>
      </c>
      <c r="L810" s="4">
        <f t="shared" si="111"/>
        <v>-8.1138631699096593E-9</v>
      </c>
      <c r="M810" s="4">
        <f t="shared" si="113"/>
        <v>-8.6784741607034886E-9</v>
      </c>
      <c r="N810" s="5">
        <f t="shared" si="114"/>
        <v>5.0883072715539E-8</v>
      </c>
      <c r="O810" s="5">
        <f t="shared" si="115"/>
        <v>1.2475727061031676E-6</v>
      </c>
      <c r="P810" s="5">
        <f t="shared" si="116"/>
        <v>5.0154422118129447E-7</v>
      </c>
      <c r="Q810" s="1">
        <f t="shared" si="112"/>
        <v>1.800000000000001E-6</v>
      </c>
    </row>
    <row r="811" spans="1:17" x14ac:dyDescent="0.25">
      <c r="A811" s="1">
        <v>40.450000000000003</v>
      </c>
      <c r="B811" s="1">
        <v>1.9071999999999999E-2</v>
      </c>
      <c r="C811" s="1">
        <v>3.6359000000000001E-3</v>
      </c>
      <c r="D811" s="1">
        <v>2.3661000000000001E-2</v>
      </c>
      <c r="E811" s="1">
        <v>2.1562999999999999E-2</v>
      </c>
      <c r="F811" s="1">
        <v>1.7752E-6</v>
      </c>
      <c r="G811" s="1">
        <v>6.7972999999999999</v>
      </c>
      <c r="H811" s="1">
        <v>1.6478E-7</v>
      </c>
      <c r="I811" s="1">
        <f t="shared" si="108"/>
        <v>1.6478E-7</v>
      </c>
      <c r="J811" s="4">
        <f t="shared" si="109"/>
        <v>-1.6069303867585382E-8</v>
      </c>
      <c r="K811" s="4">
        <f t="shared" si="110"/>
        <v>-2.4327667769013842E-8</v>
      </c>
      <c r="L811" s="4">
        <f t="shared" si="111"/>
        <v>-8.1101381465475166E-9</v>
      </c>
      <c r="M811" s="4">
        <f t="shared" si="113"/>
        <v>-8.672928367567214E-9</v>
      </c>
      <c r="N811" s="5">
        <f t="shared" si="114"/>
        <v>5.1031298470419948E-8</v>
      </c>
      <c r="O811" s="5">
        <f t="shared" si="115"/>
        <v>1.2479872705693065E-6</v>
      </c>
      <c r="P811" s="5">
        <f t="shared" si="116"/>
        <v>5.0098143096027472E-7</v>
      </c>
      <c r="Q811" s="1">
        <f t="shared" si="112"/>
        <v>1.800000000000001E-6</v>
      </c>
    </row>
    <row r="812" spans="1:17" x14ac:dyDescent="0.25">
      <c r="A812" s="1">
        <v>40.5</v>
      </c>
      <c r="B812" s="1">
        <v>1.9033999999999999E-2</v>
      </c>
      <c r="C812" s="1">
        <v>3.6297999999999999E-3</v>
      </c>
      <c r="D812" s="1">
        <v>2.3682999999999999E-2</v>
      </c>
      <c r="E812" s="1">
        <v>2.1514999999999999E-2</v>
      </c>
      <c r="F812" s="1">
        <v>1.7732E-6</v>
      </c>
      <c r="G812" s="1">
        <v>6.7971000000000004</v>
      </c>
      <c r="H812" s="1">
        <v>1.6486000000000001E-7</v>
      </c>
      <c r="I812" s="1">
        <f t="shared" si="108"/>
        <v>1.6486000000000001E-7</v>
      </c>
      <c r="J812" s="4">
        <f t="shared" si="109"/>
        <v>-1.6081671900652365E-8</v>
      </c>
      <c r="K812" s="4">
        <f t="shared" si="110"/>
        <v>-2.4335751776100093E-8</v>
      </c>
      <c r="L812" s="4">
        <f t="shared" si="111"/>
        <v>-8.1066456086870927E-9</v>
      </c>
      <c r="M812" s="4">
        <f t="shared" si="113"/>
        <v>-8.667930620331085E-9</v>
      </c>
      <c r="N812" s="5">
        <f t="shared" si="114"/>
        <v>5.1178732737180588E-8</v>
      </c>
      <c r="O812" s="5">
        <f t="shared" si="115"/>
        <v>1.2484011213141896E-6</v>
      </c>
      <c r="P812" s="5">
        <f t="shared" si="116"/>
        <v>5.0042014594863076E-7</v>
      </c>
      <c r="Q812" s="1">
        <f t="shared" si="112"/>
        <v>1.800000000000001E-6</v>
      </c>
    </row>
    <row r="813" spans="1:17" x14ac:dyDescent="0.25">
      <c r="A813" s="1">
        <v>40.549999999999997</v>
      </c>
      <c r="B813" s="1">
        <v>1.8995000000000001E-2</v>
      </c>
      <c r="C813" s="1">
        <v>3.6237999999999999E-3</v>
      </c>
      <c r="D813" s="1">
        <v>2.3706000000000001E-2</v>
      </c>
      <c r="E813" s="1">
        <v>2.1465999999999999E-2</v>
      </c>
      <c r="F813" s="1">
        <v>1.7712000000000001E-6</v>
      </c>
      <c r="G813" s="1">
        <v>6.7968999999999999</v>
      </c>
      <c r="H813" s="1">
        <v>1.6495E-7</v>
      </c>
      <c r="I813" s="1">
        <f t="shared" si="108"/>
        <v>1.6495E-7</v>
      </c>
      <c r="J813" s="4">
        <f t="shared" si="109"/>
        <v>-1.6091812854697393E-8</v>
      </c>
      <c r="K813" s="4">
        <f t="shared" si="110"/>
        <v>-2.4343821865625316E-8</v>
      </c>
      <c r="L813" s="4">
        <f t="shared" si="111"/>
        <v>-8.1028294456946747E-9</v>
      </c>
      <c r="M813" s="4">
        <f t="shared" si="113"/>
        <v>-8.6624228524140919E-9</v>
      </c>
      <c r="N813" s="5">
        <f t="shared" si="114"/>
        <v>5.1327912302413837E-8</v>
      </c>
      <c r="O813" s="5">
        <f t="shared" si="115"/>
        <v>1.2488115351556758E-6</v>
      </c>
      <c r="P813" s="5">
        <f t="shared" si="116"/>
        <v>4.9986055254191137E-7</v>
      </c>
      <c r="Q813" s="1">
        <f t="shared" si="112"/>
        <v>1.800000000000001E-6</v>
      </c>
    </row>
    <row r="814" spans="1:17" x14ac:dyDescent="0.25">
      <c r="A814" s="1">
        <v>40.6</v>
      </c>
      <c r="B814" s="1">
        <v>1.8956000000000001E-2</v>
      </c>
      <c r="C814" s="1">
        <v>3.6175999999999999E-3</v>
      </c>
      <c r="D814" s="1">
        <v>2.3727999999999999E-2</v>
      </c>
      <c r="E814" s="1">
        <v>2.1418E-2</v>
      </c>
      <c r="F814" s="1">
        <v>1.7691999999999999E-6</v>
      </c>
      <c r="G814" s="1">
        <v>6.7965999999999998</v>
      </c>
      <c r="H814" s="1">
        <v>1.6502999999999999E-7</v>
      </c>
      <c r="I814" s="1">
        <f t="shared" si="108"/>
        <v>1.6502999999999999E-7</v>
      </c>
      <c r="J814" s="4">
        <f t="shared" si="109"/>
        <v>-1.6102333133590041E-8</v>
      </c>
      <c r="K814" s="4">
        <f t="shared" si="110"/>
        <v>-2.4351824935537754E-8</v>
      </c>
      <c r="L814" s="4">
        <f t="shared" si="111"/>
        <v>-8.0987953626886962E-9</v>
      </c>
      <c r="M814" s="4">
        <f t="shared" si="113"/>
        <v>-8.6574598048885071E-9</v>
      </c>
      <c r="N814" s="5">
        <f t="shared" si="114"/>
        <v>5.1478608741672856E-8</v>
      </c>
      <c r="O814" s="5">
        <f t="shared" si="115"/>
        <v>1.2492195031586166E-6</v>
      </c>
      <c r="P814" s="5">
        <f t="shared" si="116"/>
        <v>4.9930188809971155E-7</v>
      </c>
      <c r="Q814" s="1">
        <f t="shared" si="112"/>
        <v>1.800000000000001E-6</v>
      </c>
    </row>
    <row r="815" spans="1:17" x14ac:dyDescent="0.25">
      <c r="A815" s="1">
        <v>40.65</v>
      </c>
      <c r="B815" s="1">
        <v>1.8917E-2</v>
      </c>
      <c r="C815" s="1">
        <v>3.6115000000000001E-3</v>
      </c>
      <c r="D815" s="1">
        <v>2.3751000000000001E-2</v>
      </c>
      <c r="E815" s="1">
        <v>2.137E-2</v>
      </c>
      <c r="F815" s="1">
        <v>1.7672E-6</v>
      </c>
      <c r="G815" s="1">
        <v>6.7964000000000002</v>
      </c>
      <c r="H815" s="1">
        <v>1.6512000000000001E-7</v>
      </c>
      <c r="I815" s="1">
        <f t="shared" si="108"/>
        <v>1.6512000000000001E-7</v>
      </c>
      <c r="J815" s="4">
        <f t="shared" si="109"/>
        <v>-1.611315788531309E-8</v>
      </c>
      <c r="K815" s="4">
        <f t="shared" si="110"/>
        <v>-2.4359780311591638E-8</v>
      </c>
      <c r="L815" s="4">
        <f t="shared" si="111"/>
        <v>-8.095258900569119E-9</v>
      </c>
      <c r="M815" s="4">
        <f t="shared" si="113"/>
        <v>-8.6519780122745248E-9</v>
      </c>
      <c r="N815" s="5">
        <f t="shared" si="114"/>
        <v>5.1629972267382286E-8</v>
      </c>
      <c r="O815" s="5">
        <f t="shared" si="115"/>
        <v>1.2496248587446125E-6</v>
      </c>
      <c r="P815" s="5">
        <f t="shared" si="116"/>
        <v>4.9874516898800616E-7</v>
      </c>
      <c r="Q815" s="1">
        <f t="shared" si="112"/>
        <v>1.800000000000001E-6</v>
      </c>
    </row>
    <row r="816" spans="1:17" x14ac:dyDescent="0.25">
      <c r="A816" s="1">
        <v>40.700000000000003</v>
      </c>
      <c r="B816" s="1">
        <v>1.8877999999999999E-2</v>
      </c>
      <c r="C816" s="1">
        <v>3.6053999999999999E-3</v>
      </c>
      <c r="D816" s="1">
        <v>2.3772999999999999E-2</v>
      </c>
      <c r="E816" s="1">
        <v>2.1322000000000001E-2</v>
      </c>
      <c r="F816" s="1">
        <v>1.7652000000000001E-6</v>
      </c>
      <c r="G816" s="1">
        <v>6.7961</v>
      </c>
      <c r="H816" s="1">
        <v>1.652E-7</v>
      </c>
      <c r="I816" s="1">
        <f t="shared" si="108"/>
        <v>1.652E-7</v>
      </c>
      <c r="J816" s="4">
        <f t="shared" si="109"/>
        <v>-1.6124018861036399E-8</v>
      </c>
      <c r="K816" s="4">
        <f t="shared" si="110"/>
        <v>-2.4367684745522023E-8</v>
      </c>
      <c r="L816" s="4">
        <f t="shared" si="111"/>
        <v>-8.0917082090337456E-9</v>
      </c>
      <c r="M816" s="4">
        <f t="shared" si="113"/>
        <v>-8.6470442418471934E-9</v>
      </c>
      <c r="N816" s="5">
        <f t="shared" si="114"/>
        <v>5.1781929942834161E-8</v>
      </c>
      <c r="O816" s="5">
        <f t="shared" si="115"/>
        <v>1.250028237101974E-6</v>
      </c>
      <c r="P816" s="5">
        <f t="shared" si="116"/>
        <v>4.9818983295519272E-7</v>
      </c>
      <c r="Q816" s="1">
        <f t="shared" si="112"/>
        <v>1.800000000000001E-6</v>
      </c>
    </row>
    <row r="817" spans="1:17" x14ac:dyDescent="0.25">
      <c r="A817" s="1">
        <v>40.75</v>
      </c>
      <c r="B817" s="1">
        <v>1.8839999999999999E-2</v>
      </c>
      <c r="C817" s="1">
        <v>3.5993000000000002E-3</v>
      </c>
      <c r="D817" s="1">
        <v>2.3796000000000001E-2</v>
      </c>
      <c r="E817" s="1">
        <v>2.1273E-2</v>
      </c>
      <c r="F817" s="1">
        <v>1.7630999999999999E-6</v>
      </c>
      <c r="G817" s="1">
        <v>6.7958999999999996</v>
      </c>
      <c r="H817" s="1">
        <v>1.6528000000000001E-7</v>
      </c>
      <c r="I817" s="1">
        <f t="shared" si="108"/>
        <v>1.6528000000000001E-7</v>
      </c>
      <c r="J817" s="4">
        <f t="shared" si="109"/>
        <v>-1.613489228199732E-8</v>
      </c>
      <c r="K817" s="4">
        <f t="shared" si="110"/>
        <v>-2.437555062348711E-8</v>
      </c>
      <c r="L817" s="4">
        <f t="shared" si="111"/>
        <v>-8.0881311972156123E-9</v>
      </c>
      <c r="M817" s="4">
        <f t="shared" si="113"/>
        <v>-8.6416008424402821E-9</v>
      </c>
      <c r="N817" s="5">
        <f t="shared" si="114"/>
        <v>5.1934457087108343E-8</v>
      </c>
      <c r="O817" s="5">
        <f t="shared" si="115"/>
        <v>1.2504291796029244E-6</v>
      </c>
      <c r="P817" s="5">
        <f t="shared" si="116"/>
        <v>4.976363633099681E-7</v>
      </c>
      <c r="Q817" s="1">
        <f t="shared" si="112"/>
        <v>1.8000000000000008E-6</v>
      </c>
    </row>
    <row r="818" spans="1:17" x14ac:dyDescent="0.25">
      <c r="A818" s="1">
        <v>40.799999999999997</v>
      </c>
      <c r="B818" s="1">
        <v>1.8800999999999998E-2</v>
      </c>
      <c r="C818" s="1">
        <v>3.5931000000000001E-3</v>
      </c>
      <c r="D818" s="1">
        <v>2.3817999999999999E-2</v>
      </c>
      <c r="E818" s="1">
        <v>2.1225000000000001E-2</v>
      </c>
      <c r="F818" s="1">
        <v>1.7611E-6</v>
      </c>
      <c r="G818" s="1">
        <v>6.7956000000000003</v>
      </c>
      <c r="H818" s="1">
        <v>1.6537E-7</v>
      </c>
      <c r="I818" s="1">
        <f t="shared" si="108"/>
        <v>1.6537E-7</v>
      </c>
      <c r="J818" s="4">
        <f t="shared" si="109"/>
        <v>-1.6143938215888474E-8</v>
      </c>
      <c r="K818" s="4">
        <f t="shared" si="110"/>
        <v>-2.4383369002255641E-8</v>
      </c>
      <c r="L818" s="4">
        <f t="shared" si="111"/>
        <v>-8.0836849317473278E-9</v>
      </c>
      <c r="M818" s="4">
        <f t="shared" si="113"/>
        <v>-8.6361805034260183E-9</v>
      </c>
      <c r="N818" s="5">
        <f t="shared" si="114"/>
        <v>5.2090202941728184E-8</v>
      </c>
      <c r="O818" s="5">
        <f t="shared" si="115"/>
        <v>1.2508259293199831E-6</v>
      </c>
      <c r="P818" s="5">
        <f t="shared" si="116"/>
        <v>4.9708386773828938E-7</v>
      </c>
      <c r="Q818" s="1">
        <f t="shared" si="112"/>
        <v>1.8000000000000006E-6</v>
      </c>
    </row>
    <row r="819" spans="1:17" x14ac:dyDescent="0.25">
      <c r="A819" s="1">
        <v>40.85</v>
      </c>
      <c r="B819" s="1">
        <v>1.8762999999999998E-2</v>
      </c>
      <c r="C819" s="1">
        <v>3.5869999999999999E-3</v>
      </c>
      <c r="D819" s="1">
        <v>2.384E-2</v>
      </c>
      <c r="E819" s="1">
        <v>2.1177000000000001E-2</v>
      </c>
      <c r="F819" s="1">
        <v>1.7591E-6</v>
      </c>
      <c r="G819" s="1">
        <v>6.7953999999999999</v>
      </c>
      <c r="H819" s="1">
        <v>1.6544999999999999E-7</v>
      </c>
      <c r="I819" s="1">
        <f t="shared" si="108"/>
        <v>1.6544999999999999E-7</v>
      </c>
      <c r="J819" s="4">
        <f t="shared" si="109"/>
        <v>-1.6155636892724693E-8</v>
      </c>
      <c r="K819" s="4">
        <f t="shared" si="110"/>
        <v>-2.4391105621741751E-8</v>
      </c>
      <c r="L819" s="4">
        <f t="shared" si="111"/>
        <v>-8.080455857983867E-9</v>
      </c>
      <c r="M819" s="4">
        <f t="shared" si="113"/>
        <v>-8.6312897168282312E-9</v>
      </c>
      <c r="N819" s="5">
        <f t="shared" si="114"/>
        <v>5.2245215812761374E-8</v>
      </c>
      <c r="O819" s="5">
        <f t="shared" si="115"/>
        <v>1.2512217503077941E-6</v>
      </c>
      <c r="P819" s="5">
        <f t="shared" si="116"/>
        <v>4.9653303387944498E-7</v>
      </c>
      <c r="Q819" s="1">
        <f t="shared" si="112"/>
        <v>1.8000000000000003E-6</v>
      </c>
    </row>
    <row r="820" spans="1:17" x14ac:dyDescent="0.25">
      <c r="A820" s="1">
        <v>40.9</v>
      </c>
      <c r="B820" s="1">
        <v>1.8724000000000001E-2</v>
      </c>
      <c r="C820" s="1">
        <v>3.5807999999999999E-3</v>
      </c>
      <c r="D820" s="1">
        <v>2.3862999999999999E-2</v>
      </c>
      <c r="E820" s="1">
        <v>2.1129999999999999E-2</v>
      </c>
      <c r="F820" s="1">
        <v>1.7570000000000001E-6</v>
      </c>
      <c r="G820" s="1">
        <v>6.7952000000000004</v>
      </c>
      <c r="H820" s="1">
        <v>1.6554000000000001E-7</v>
      </c>
      <c r="I820" s="1">
        <f t="shared" si="108"/>
        <v>1.6554000000000001E-7</v>
      </c>
      <c r="J820" s="4">
        <f t="shared" si="109"/>
        <v>-1.6166930997653043E-8</v>
      </c>
      <c r="K820" s="4">
        <f t="shared" si="110"/>
        <v>-2.4398824131000599E-8</v>
      </c>
      <c r="L820" s="4">
        <f t="shared" si="111"/>
        <v>-8.0769908226353761E-9</v>
      </c>
      <c r="M820" s="4">
        <f t="shared" si="113"/>
        <v>-8.6258959978116975E-9</v>
      </c>
      <c r="N820" s="5">
        <f t="shared" si="114"/>
        <v>5.2400118123473545E-8</v>
      </c>
      <c r="O820" s="5">
        <f t="shared" si="115"/>
        <v>1.2516157531722582E-6</v>
      </c>
      <c r="P820" s="5">
        <f t="shared" si="116"/>
        <v>4.9598412870426863E-7</v>
      </c>
      <c r="Q820" s="1">
        <f t="shared" si="112"/>
        <v>1.8000000000000006E-6</v>
      </c>
    </row>
    <row r="821" spans="1:17" x14ac:dyDescent="0.25">
      <c r="A821" s="1">
        <v>40.950000000000003</v>
      </c>
      <c r="B821" s="1">
        <v>1.8686000000000001E-2</v>
      </c>
      <c r="C821" s="1">
        <v>3.5747000000000001E-3</v>
      </c>
      <c r="D821" s="1">
        <v>2.3885E-2</v>
      </c>
      <c r="E821" s="1">
        <v>2.1082E-2</v>
      </c>
      <c r="F821" s="1">
        <v>1.7549999999999999E-6</v>
      </c>
      <c r="G821" s="1">
        <v>6.7949000000000002</v>
      </c>
      <c r="H821" s="1">
        <v>1.6562E-7</v>
      </c>
      <c r="I821" s="1">
        <f t="shared" si="108"/>
        <v>1.6562E-7</v>
      </c>
      <c r="J821" s="4">
        <f t="shared" si="109"/>
        <v>-1.6176173225296468E-8</v>
      </c>
      <c r="K821" s="4">
        <f t="shared" si="110"/>
        <v>-2.4406507186861116E-8</v>
      </c>
      <c r="L821" s="4">
        <f t="shared" si="111"/>
        <v>-8.0733098579375897E-9</v>
      </c>
      <c r="M821" s="4">
        <f t="shared" si="113"/>
        <v>-8.6210473298997222E-9</v>
      </c>
      <c r="N821" s="5">
        <f t="shared" si="114"/>
        <v>5.2557142227100608E-8</v>
      </c>
      <c r="O821" s="5">
        <f t="shared" si="115"/>
        <v>1.2520064665405931E-6</v>
      </c>
      <c r="P821" s="5">
        <f t="shared" si="116"/>
        <v>4.9543639123230644E-7</v>
      </c>
      <c r="Q821" s="1">
        <f t="shared" si="112"/>
        <v>1.8000000000000001E-6</v>
      </c>
    </row>
    <row r="822" spans="1:17" x14ac:dyDescent="0.25">
      <c r="A822" s="1">
        <v>41</v>
      </c>
      <c r="B822" s="1">
        <v>1.8648000000000001E-2</v>
      </c>
      <c r="C822" s="1">
        <v>3.5685000000000001E-3</v>
      </c>
      <c r="D822" s="1">
        <v>2.3907000000000001E-2</v>
      </c>
      <c r="E822" s="1">
        <v>2.1034000000000001E-2</v>
      </c>
      <c r="F822" s="1">
        <v>1.7529E-6</v>
      </c>
      <c r="G822" s="1">
        <v>6.7946999999999997</v>
      </c>
      <c r="H822" s="1">
        <v>1.6570000000000001E-7</v>
      </c>
      <c r="I822" s="1">
        <f t="shared" si="108"/>
        <v>1.6570000000000001E-7</v>
      </c>
      <c r="J822" s="4">
        <f t="shared" si="109"/>
        <v>-1.6187731198801633E-8</v>
      </c>
      <c r="K822" s="4">
        <f t="shared" si="110"/>
        <v>-2.4414126097540178E-8</v>
      </c>
      <c r="L822" s="4">
        <f t="shared" si="111"/>
        <v>-8.0699114467379747E-9</v>
      </c>
      <c r="M822" s="4">
        <f t="shared" si="113"/>
        <v>-8.6156883871684426E-9</v>
      </c>
      <c r="N822" s="5">
        <f t="shared" si="114"/>
        <v>5.2713625679101182E-8</v>
      </c>
      <c r="O822" s="5">
        <f t="shared" si="115"/>
        <v>1.2523957600290229E-6</v>
      </c>
      <c r="P822" s="5">
        <f t="shared" si="116"/>
        <v>4.9489061429187597E-7</v>
      </c>
      <c r="Q822" s="1">
        <f t="shared" si="112"/>
        <v>1.8000000000000001E-6</v>
      </c>
    </row>
    <row r="823" spans="1:17" x14ac:dyDescent="0.25">
      <c r="A823" s="1">
        <v>41.05</v>
      </c>
      <c r="B823" s="1">
        <v>1.8610000000000002E-2</v>
      </c>
      <c r="C823" s="1">
        <v>3.5623E-3</v>
      </c>
      <c r="D823" s="1">
        <v>2.3928999999999999E-2</v>
      </c>
      <c r="E823" s="1">
        <v>2.0986000000000001E-2</v>
      </c>
      <c r="F823" s="1">
        <v>1.7508E-6</v>
      </c>
      <c r="G823" s="1">
        <v>6.7945000000000002</v>
      </c>
      <c r="H823" s="1">
        <v>1.6579E-7</v>
      </c>
      <c r="I823" s="1">
        <f t="shared" si="108"/>
        <v>1.6579E-7</v>
      </c>
      <c r="J823" s="4">
        <f t="shared" si="109"/>
        <v>-1.6197096526447299E-8</v>
      </c>
      <c r="K823" s="4">
        <f t="shared" si="110"/>
        <v>-2.4421717320564557E-8</v>
      </c>
      <c r="L823" s="4">
        <f t="shared" si="111"/>
        <v>-8.0658472964787734E-9</v>
      </c>
      <c r="M823" s="4">
        <f t="shared" si="113"/>
        <v>-8.6103543527567153E-9</v>
      </c>
      <c r="N823" s="5">
        <f t="shared" si="114"/>
        <v>5.2872399176739668E-8</v>
      </c>
      <c r="O823" s="5">
        <f t="shared" si="115"/>
        <v>1.2527814935876623E-6</v>
      </c>
      <c r="P823" s="5">
        <f t="shared" si="116"/>
        <v>4.9434610723559802E-7</v>
      </c>
      <c r="Q823" s="1">
        <f t="shared" si="112"/>
        <v>1.8000000000000001E-6</v>
      </c>
    </row>
    <row r="824" spans="1:17" x14ac:dyDescent="0.25">
      <c r="A824" s="1">
        <v>41.1</v>
      </c>
      <c r="B824" s="1">
        <v>1.8572000000000002E-2</v>
      </c>
      <c r="C824" s="1">
        <v>3.5561999999999998E-3</v>
      </c>
      <c r="D824" s="1">
        <v>2.3951E-2</v>
      </c>
      <c r="E824" s="1">
        <v>2.0938999999999999E-2</v>
      </c>
      <c r="F824" s="1">
        <v>1.7487000000000001E-6</v>
      </c>
      <c r="G824" s="1">
        <v>6.7942</v>
      </c>
      <c r="H824" s="1">
        <v>1.6586999999999999E-7</v>
      </c>
      <c r="I824" s="1">
        <f t="shared" si="108"/>
        <v>1.6586999999999999E-7</v>
      </c>
      <c r="J824" s="4">
        <f t="shared" si="109"/>
        <v>-1.6206979903480941E-8</v>
      </c>
      <c r="K824" s="4">
        <f t="shared" si="110"/>
        <v>-2.44292391249615E-8</v>
      </c>
      <c r="L824" s="4">
        <f t="shared" si="111"/>
        <v>-8.06200978441839E-9</v>
      </c>
      <c r="M824" s="4">
        <f t="shared" si="113"/>
        <v>-8.6055523174526629E-9</v>
      </c>
      <c r="N824" s="5">
        <f t="shared" si="114"/>
        <v>5.3032648613801839E-8</v>
      </c>
      <c r="O824" s="5">
        <f t="shared" si="115"/>
        <v>1.2531647866836344E-6</v>
      </c>
      <c r="P824" s="5">
        <f t="shared" si="116"/>
        <v>4.9380256470256377E-7</v>
      </c>
      <c r="Q824" s="1">
        <f t="shared" si="112"/>
        <v>1.8000000000000001E-6</v>
      </c>
    </row>
    <row r="825" spans="1:17" x14ac:dyDescent="0.25">
      <c r="A825" s="1">
        <v>41.15</v>
      </c>
      <c r="B825" s="1">
        <v>1.8533000000000001E-2</v>
      </c>
      <c r="C825" s="1">
        <v>3.5500000000000002E-3</v>
      </c>
      <c r="D825" s="1">
        <v>2.3973999999999999E-2</v>
      </c>
      <c r="E825" s="1">
        <v>2.0891E-2</v>
      </c>
      <c r="F825" s="1">
        <v>1.7465999999999999E-6</v>
      </c>
      <c r="G825" s="1">
        <v>6.7939999999999996</v>
      </c>
      <c r="H825" s="1">
        <v>1.6595E-7</v>
      </c>
      <c r="I825" s="1">
        <f t="shared" si="108"/>
        <v>1.6595E-7</v>
      </c>
      <c r="J825" s="4">
        <f t="shared" si="109"/>
        <v>-1.621712774537423E-8</v>
      </c>
      <c r="K825" s="4">
        <f t="shared" si="110"/>
        <v>-2.4436713340329484E-8</v>
      </c>
      <c r="L825" s="4">
        <f t="shared" si="111"/>
        <v>-8.0586568143227673E-9</v>
      </c>
      <c r="M825" s="4">
        <f t="shared" si="113"/>
        <v>-8.6002382977570062E-9</v>
      </c>
      <c r="N825" s="5">
        <f t="shared" si="114"/>
        <v>5.3193577394434326E-8</v>
      </c>
      <c r="O825" s="5">
        <f t="shared" si="115"/>
        <v>1.2535454393864365E-6</v>
      </c>
      <c r="P825" s="5">
        <f t="shared" si="116"/>
        <v>4.9326098321912957E-7</v>
      </c>
      <c r="Q825" s="1">
        <f t="shared" si="112"/>
        <v>1.8000000000000003E-6</v>
      </c>
    </row>
    <row r="826" spans="1:17" x14ac:dyDescent="0.25">
      <c r="A826" s="1">
        <v>41.2</v>
      </c>
      <c r="B826" s="1">
        <v>1.8495999999999999E-2</v>
      </c>
      <c r="C826" s="1">
        <v>3.5438000000000002E-3</v>
      </c>
      <c r="D826" s="1">
        <v>2.3996E-2</v>
      </c>
      <c r="E826" s="1">
        <v>2.0844000000000001E-2</v>
      </c>
      <c r="F826" s="1">
        <v>1.7445E-6</v>
      </c>
      <c r="G826" s="1">
        <v>6.7937000000000003</v>
      </c>
      <c r="H826" s="1">
        <v>1.6603000000000001E-7</v>
      </c>
      <c r="I826" s="1">
        <f t="shared" si="108"/>
        <v>1.6603000000000001E-7</v>
      </c>
      <c r="J826" s="4">
        <f t="shared" si="109"/>
        <v>-1.6227294211722984E-8</v>
      </c>
      <c r="K826" s="4">
        <f t="shared" si="110"/>
        <v>-2.4444136068037598E-8</v>
      </c>
      <c r="L826" s="4">
        <f t="shared" si="111"/>
        <v>-8.0548967938565513E-9</v>
      </c>
      <c r="M826" s="4">
        <f t="shared" si="113"/>
        <v>-8.5949493173482594E-9</v>
      </c>
      <c r="N826" s="5">
        <f t="shared" si="114"/>
        <v>5.3355522456892389E-8</v>
      </c>
      <c r="O826" s="5">
        <f t="shared" si="115"/>
        <v>1.2539235468474701E-6</v>
      </c>
      <c r="P826" s="5">
        <f t="shared" si="116"/>
        <v>4.9272093069563784E-7</v>
      </c>
      <c r="Q826" s="1">
        <f t="shared" si="112"/>
        <v>1.8000000000000001E-6</v>
      </c>
    </row>
    <row r="827" spans="1:17" x14ac:dyDescent="0.25">
      <c r="A827" s="1">
        <v>41.25</v>
      </c>
      <c r="B827" s="1">
        <v>1.8457999999999999E-2</v>
      </c>
      <c r="C827" s="1">
        <v>3.5376000000000001E-3</v>
      </c>
      <c r="D827" s="1">
        <v>2.4018000000000001E-2</v>
      </c>
      <c r="E827" s="1">
        <v>2.0797E-2</v>
      </c>
      <c r="F827" s="1">
        <v>1.7424E-6</v>
      </c>
      <c r="G827" s="1">
        <v>6.7934999999999999</v>
      </c>
      <c r="H827" s="1">
        <v>1.6612000000000001E-7</v>
      </c>
      <c r="I827" s="1">
        <f t="shared" si="108"/>
        <v>1.6612000000000001E-7</v>
      </c>
      <c r="J827" s="4">
        <f t="shared" si="109"/>
        <v>-1.6237580772148284E-8</v>
      </c>
      <c r="K827" s="4">
        <f t="shared" si="110"/>
        <v>-2.4451509163524275E-8</v>
      </c>
      <c r="L827" s="4">
        <f t="shared" si="111"/>
        <v>-8.0515503267459691E-9</v>
      </c>
      <c r="M827" s="4">
        <f t="shared" si="113"/>
        <v>-8.589677892956171E-9</v>
      </c>
      <c r="N827" s="5">
        <f t="shared" si="114"/>
        <v>5.3517900521522405E-8</v>
      </c>
      <c r="O827" s="5">
        <f t="shared" si="115"/>
        <v>1.2542992963490504E-6</v>
      </c>
      <c r="P827" s="5">
        <f t="shared" si="116"/>
        <v>4.921828031294277E-7</v>
      </c>
      <c r="Q827" s="1">
        <f t="shared" si="112"/>
        <v>1.8000000000000006E-6</v>
      </c>
    </row>
    <row r="828" spans="1:17" x14ac:dyDescent="0.25">
      <c r="A828" s="1">
        <v>41.3</v>
      </c>
      <c r="B828" s="1">
        <v>1.8419999999999999E-2</v>
      </c>
      <c r="C828" s="1">
        <v>3.5314000000000001E-3</v>
      </c>
      <c r="D828" s="1">
        <v>2.4039999999999999E-2</v>
      </c>
      <c r="E828" s="1">
        <v>2.0749E-2</v>
      </c>
      <c r="F828" s="1">
        <v>1.7403000000000001E-6</v>
      </c>
      <c r="G828" s="1">
        <v>6.7933000000000003</v>
      </c>
      <c r="H828" s="1">
        <v>1.6619999999999999E-7</v>
      </c>
      <c r="I828" s="1">
        <f t="shared" si="108"/>
        <v>1.6619999999999999E-7</v>
      </c>
      <c r="J828" s="4">
        <f t="shared" si="109"/>
        <v>-1.6247808538721477E-8</v>
      </c>
      <c r="K828" s="4">
        <f t="shared" si="110"/>
        <v>-2.4458836278805092E-8</v>
      </c>
      <c r="L828" s="4">
        <f t="shared" si="111"/>
        <v>-8.0481436400719159E-9</v>
      </c>
      <c r="M828" s="4">
        <f t="shared" si="113"/>
        <v>-8.5849477618648681E-9</v>
      </c>
      <c r="N828" s="5">
        <f t="shared" si="114"/>
        <v>5.3680784621534102E-8</v>
      </c>
      <c r="O828" s="5">
        <f t="shared" si="115"/>
        <v>1.2546732163708317E-6</v>
      </c>
      <c r="P828" s="5">
        <f t="shared" si="116"/>
        <v>4.9164599900763471E-7</v>
      </c>
      <c r="Q828" s="1">
        <f t="shared" si="112"/>
        <v>1.8000000000000006E-6</v>
      </c>
    </row>
    <row r="829" spans="1:17" x14ac:dyDescent="0.25">
      <c r="A829" s="1">
        <v>41.35</v>
      </c>
      <c r="B829" s="1">
        <v>1.8381999999999999E-2</v>
      </c>
      <c r="C829" s="1">
        <v>3.5251000000000002E-3</v>
      </c>
      <c r="D829" s="1">
        <v>2.4062E-2</v>
      </c>
      <c r="E829" s="1">
        <v>2.0702000000000002E-2</v>
      </c>
      <c r="F829" s="1">
        <v>1.7381999999999999E-6</v>
      </c>
      <c r="G829" s="1">
        <v>6.7930000000000001</v>
      </c>
      <c r="H829" s="1">
        <v>1.6628E-7</v>
      </c>
      <c r="I829" s="1">
        <f t="shared" si="108"/>
        <v>1.6628E-7</v>
      </c>
      <c r="J829" s="4">
        <f t="shared" si="109"/>
        <v>-1.6257999109058601E-8</v>
      </c>
      <c r="K829" s="4">
        <f t="shared" si="110"/>
        <v>-2.4466127719233307E-8</v>
      </c>
      <c r="L829" s="4">
        <f t="shared" si="111"/>
        <v>-8.0442997045481024E-9</v>
      </c>
      <c r="M829" s="4">
        <f t="shared" si="113"/>
        <v>-8.5797143286829655E-9</v>
      </c>
      <c r="N829" s="5">
        <f t="shared" si="114"/>
        <v>5.3844613527160705E-8</v>
      </c>
      <c r="O829" s="5">
        <f t="shared" si="115"/>
        <v>1.2550448020893401E-6</v>
      </c>
      <c r="P829" s="5">
        <f t="shared" si="116"/>
        <v>4.9111058438349979E-7</v>
      </c>
      <c r="Q829" s="1">
        <f t="shared" si="112"/>
        <v>1.8000000000000006E-6</v>
      </c>
    </row>
    <row r="830" spans="1:17" x14ac:dyDescent="0.25">
      <c r="A830" s="1">
        <v>41.4</v>
      </c>
      <c r="B830" s="1">
        <v>1.8343999999999999E-2</v>
      </c>
      <c r="C830" s="1">
        <v>3.5189000000000002E-3</v>
      </c>
      <c r="D830" s="1">
        <v>2.4084000000000001E-2</v>
      </c>
      <c r="E830" s="1">
        <v>2.0655E-2</v>
      </c>
      <c r="F830" s="1">
        <v>1.736E-6</v>
      </c>
      <c r="G830" s="1">
        <v>6.7927999999999997</v>
      </c>
      <c r="H830" s="1">
        <v>1.6635999999999999E-7</v>
      </c>
      <c r="I830" s="1">
        <f t="shared" si="108"/>
        <v>1.6635999999999999E-7</v>
      </c>
      <c r="J830" s="4">
        <f t="shared" si="109"/>
        <v>-1.6268284371223619E-8</v>
      </c>
      <c r="K830" s="4">
        <f t="shared" si="110"/>
        <v>-2.447337364074074E-8</v>
      </c>
      <c r="L830" s="4">
        <f t="shared" si="111"/>
        <v>-8.0408583343127738E-9</v>
      </c>
      <c r="M830" s="4">
        <f t="shared" si="113"/>
        <v>-8.5744961369847892E-9</v>
      </c>
      <c r="N830" s="5">
        <f t="shared" si="114"/>
        <v>5.4008844462365051E-8</v>
      </c>
      <c r="O830" s="5">
        <f t="shared" si="115"/>
        <v>1.2554142089568077E-6</v>
      </c>
      <c r="P830" s="5">
        <f t="shared" si="116"/>
        <v>4.9057694658082778E-7</v>
      </c>
      <c r="Q830" s="1">
        <f t="shared" si="112"/>
        <v>1.8000000000000006E-6</v>
      </c>
    </row>
    <row r="831" spans="1:17" x14ac:dyDescent="0.25">
      <c r="A831" s="1">
        <v>41.45</v>
      </c>
      <c r="B831" s="1">
        <v>1.8307E-2</v>
      </c>
      <c r="C831" s="1">
        <v>3.5127000000000001E-3</v>
      </c>
      <c r="D831" s="1">
        <v>2.4105999999999999E-2</v>
      </c>
      <c r="E831" s="1">
        <v>2.0608000000000001E-2</v>
      </c>
      <c r="F831" s="1">
        <v>1.7339E-6</v>
      </c>
      <c r="G831" s="1">
        <v>6.7926000000000002</v>
      </c>
      <c r="H831" s="1">
        <v>1.6645000000000001E-7</v>
      </c>
      <c r="I831" s="1">
        <f t="shared" si="108"/>
        <v>1.6645000000000001E-7</v>
      </c>
      <c r="J831" s="4">
        <f t="shared" si="109"/>
        <v>-1.6276623852086557E-8</v>
      </c>
      <c r="K831" s="4">
        <f t="shared" si="110"/>
        <v>-2.448057707465984E-8</v>
      </c>
      <c r="L831" s="4">
        <f t="shared" si="111"/>
        <v>-8.0368877448681955E-9</v>
      </c>
      <c r="M831" s="4">
        <f t="shared" si="113"/>
        <v>-8.569299987485315E-9</v>
      </c>
      <c r="N831" s="5">
        <f t="shared" si="114"/>
        <v>5.4175909940070129E-8</v>
      </c>
      <c r="O831" s="5">
        <f t="shared" si="115"/>
        <v>1.2557795557217197E-6</v>
      </c>
      <c r="P831" s="5">
        <f t="shared" si="116"/>
        <v>4.9004453433821067E-7</v>
      </c>
      <c r="Q831" s="1">
        <f t="shared" si="112"/>
        <v>1.8000000000000006E-6</v>
      </c>
    </row>
    <row r="832" spans="1:17" x14ac:dyDescent="0.25">
      <c r="A832" s="1">
        <v>41.5</v>
      </c>
      <c r="B832" s="1">
        <v>1.8269000000000001E-2</v>
      </c>
      <c r="C832" s="1">
        <v>3.5063999999999998E-3</v>
      </c>
      <c r="D832" s="1">
        <v>2.4128E-2</v>
      </c>
      <c r="E832" s="1">
        <v>2.0560999999999999E-2</v>
      </c>
      <c r="F832" s="1">
        <v>1.7318000000000001E-6</v>
      </c>
      <c r="G832" s="1">
        <v>6.7923</v>
      </c>
      <c r="H832" s="1">
        <v>1.6653E-7</v>
      </c>
      <c r="I832" s="1">
        <f t="shared" si="108"/>
        <v>1.6653E-7</v>
      </c>
      <c r="J832" s="4">
        <f t="shared" si="109"/>
        <v>-1.628749546039481E-8</v>
      </c>
      <c r="K832" s="4">
        <f t="shared" si="110"/>
        <v>-2.4487701336572143E-8</v>
      </c>
      <c r="L832" s="4">
        <f t="shared" si="111"/>
        <v>-8.0336739821122189E-9</v>
      </c>
      <c r="M832" s="4">
        <f t="shared" si="113"/>
        <v>-8.5646308377620067E-9</v>
      </c>
      <c r="N832" s="5">
        <f t="shared" si="114"/>
        <v>5.4342441834135246E-8</v>
      </c>
      <c r="O832" s="5">
        <f t="shared" si="115"/>
        <v>1.2561439806833042E-6</v>
      </c>
      <c r="P832" s="5">
        <f t="shared" si="116"/>
        <v>4.8951357748256086E-7</v>
      </c>
      <c r="Q832" s="1">
        <f t="shared" si="112"/>
        <v>1.8000000000000006E-6</v>
      </c>
    </row>
    <row r="833" spans="1:17" x14ac:dyDescent="0.25">
      <c r="A833" s="1">
        <v>41.55</v>
      </c>
      <c r="B833" s="1">
        <v>1.8232000000000002E-2</v>
      </c>
      <c r="C833" s="1">
        <v>3.5002000000000002E-3</v>
      </c>
      <c r="D833" s="1">
        <v>2.4149E-2</v>
      </c>
      <c r="E833" s="1">
        <v>2.0514000000000001E-2</v>
      </c>
      <c r="F833" s="1">
        <v>1.7295999999999999E-6</v>
      </c>
      <c r="G833" s="1">
        <v>6.7920999999999996</v>
      </c>
      <c r="H833" s="1">
        <v>1.6661000000000001E-7</v>
      </c>
      <c r="I833" s="1">
        <f t="shared" si="108"/>
        <v>1.6661000000000001E-7</v>
      </c>
      <c r="J833" s="4">
        <f t="shared" si="109"/>
        <v>-1.6298011496262864E-8</v>
      </c>
      <c r="K833" s="4">
        <f t="shared" si="110"/>
        <v>-2.4494807623323039E-8</v>
      </c>
      <c r="L833" s="4">
        <f t="shared" si="111"/>
        <v>-8.03025274081789E-9</v>
      </c>
      <c r="M833" s="4">
        <f t="shared" si="113"/>
        <v>-8.5594630861074531E-9</v>
      </c>
      <c r="N833" s="5">
        <f t="shared" si="114"/>
        <v>5.4508985220377539E-8</v>
      </c>
      <c r="O833" s="5">
        <f t="shared" si="115"/>
        <v>1.2565066476423515E-6</v>
      </c>
      <c r="P833" s="5">
        <f t="shared" si="116"/>
        <v>4.8898436713727126E-7</v>
      </c>
      <c r="Q833" s="1">
        <f t="shared" si="112"/>
        <v>1.8000000000000003E-6</v>
      </c>
    </row>
    <row r="834" spans="1:17" x14ac:dyDescent="0.25">
      <c r="A834" s="1">
        <v>41.6</v>
      </c>
      <c r="B834" s="1">
        <v>1.8193999999999998E-2</v>
      </c>
      <c r="C834" s="1">
        <v>3.4938999999999999E-3</v>
      </c>
      <c r="D834" s="1">
        <v>2.4171000000000002E-2</v>
      </c>
      <c r="E834" s="1">
        <v>2.0466999999999999E-2</v>
      </c>
      <c r="F834" s="1">
        <v>1.7274E-6</v>
      </c>
      <c r="G834" s="1">
        <v>6.7919</v>
      </c>
      <c r="H834" s="1">
        <v>1.6668999999999999E-7</v>
      </c>
      <c r="I834" s="1">
        <f t="shared" si="108"/>
        <v>1.6668999999999999E-7</v>
      </c>
      <c r="J834" s="4">
        <f t="shared" si="109"/>
        <v>-1.6306451015197444E-8</v>
      </c>
      <c r="K834" s="4">
        <f t="shared" si="110"/>
        <v>-2.4501879629027943E-8</v>
      </c>
      <c r="L834" s="4">
        <f t="shared" si="111"/>
        <v>-8.0262414715651348E-9</v>
      </c>
      <c r="M834" s="4">
        <f t="shared" si="113"/>
        <v>-8.5543169679185098E-9</v>
      </c>
      <c r="N834" s="5">
        <f t="shared" si="114"/>
        <v>5.4678172362642906E-8</v>
      </c>
      <c r="O834" s="5">
        <f t="shared" si="115"/>
        <v>1.2568655359964394E-6</v>
      </c>
      <c r="P834" s="5">
        <f t="shared" si="116"/>
        <v>4.8845629164091787E-7</v>
      </c>
      <c r="Q834" s="1">
        <f t="shared" si="112"/>
        <v>1.8000000000000001E-6</v>
      </c>
    </row>
    <row r="835" spans="1:17" x14ac:dyDescent="0.25">
      <c r="A835" s="1">
        <v>41.65</v>
      </c>
      <c r="B835" s="1">
        <v>1.8157E-2</v>
      </c>
      <c r="C835" s="1">
        <v>3.4876999999999998E-3</v>
      </c>
      <c r="D835" s="1">
        <v>2.4192999999999999E-2</v>
      </c>
      <c r="E835" s="1">
        <v>2.0421000000000002E-2</v>
      </c>
      <c r="F835" s="1">
        <v>1.7252E-6</v>
      </c>
      <c r="G835" s="1">
        <v>6.7915999999999999</v>
      </c>
      <c r="H835" s="1">
        <v>1.6677E-7</v>
      </c>
      <c r="I835" s="1">
        <f t="shared" ref="I835:I898" si="117">H835</f>
        <v>1.6677E-7</v>
      </c>
      <c r="J835" s="4">
        <f t="shared" ref="J835:J898" si="118">(-$T$4*F834^2*N834)*(A835-A834)</f>
        <v>-1.6315478685001554E-8</v>
      </c>
      <c r="K835" s="4">
        <f t="shared" ref="K835:K898" si="119">-O834*$T$7*(A835-A834)</f>
        <v>-2.4508877951929175E-8</v>
      </c>
      <c r="L835" s="4">
        <f t="shared" ref="L835:L898" si="120">-$T$5*F834*E834*(A835-A834)*N834</f>
        <v>-8.0224901257415543E-9</v>
      </c>
      <c r="M835" s="4">
        <f t="shared" si="113"/>
        <v>-8.5491818216300958E-9</v>
      </c>
      <c r="N835" s="5">
        <f t="shared" si="114"/>
        <v>5.4849081503828974E-8</v>
      </c>
      <c r="O835" s="5">
        <f t="shared" si="115"/>
        <v>1.2572213185511417E-6</v>
      </c>
      <c r="P835" s="5">
        <f t="shared" si="116"/>
        <v>4.8792959994502929E-7</v>
      </c>
      <c r="Q835" s="1">
        <f t="shared" ref="Q835:Q898" si="121">N835+O835+P835</f>
        <v>1.7999999999999999E-6</v>
      </c>
    </row>
    <row r="836" spans="1:17" x14ac:dyDescent="0.25">
      <c r="A836" s="1">
        <v>41.7</v>
      </c>
      <c r="B836" s="1">
        <v>1.8120000000000001E-2</v>
      </c>
      <c r="C836" s="1">
        <v>3.4813999999999999E-3</v>
      </c>
      <c r="D836" s="1">
        <v>2.4215E-2</v>
      </c>
      <c r="E836" s="1">
        <v>2.0374E-2</v>
      </c>
      <c r="F836" s="1">
        <v>1.7231000000000001E-6</v>
      </c>
      <c r="G836" s="1">
        <v>6.7914000000000003</v>
      </c>
      <c r="H836" s="1">
        <v>1.6684999999999999E-7</v>
      </c>
      <c r="I836" s="1">
        <f t="shared" si="117"/>
        <v>1.6684999999999999E-7</v>
      </c>
      <c r="J836" s="4">
        <f t="shared" si="118"/>
        <v>-1.632481462100459E-8</v>
      </c>
      <c r="K836" s="4">
        <f t="shared" si="119"/>
        <v>-2.4515815711749358E-8</v>
      </c>
      <c r="L836" s="4">
        <f t="shared" si="120"/>
        <v>-8.019252917971652E-9</v>
      </c>
      <c r="M836" s="4">
        <f t="shared" ref="M836:M899" si="122">-P835*$T$8*I835*(A836-A835)</f>
        <v>-8.5440620351981449E-9</v>
      </c>
      <c r="N836" s="5">
        <f t="shared" ref="N836:N899" si="123">N835+J836-K836+L836</f>
        <v>5.5020829676602085E-8</v>
      </c>
      <c r="O836" s="5">
        <f t="shared" ref="O836:O899" si="124">-J836+O835+K836-M836</f>
        <v>1.2575743794955951E-6</v>
      </c>
      <c r="P836" s="5">
        <f t="shared" ref="P836:P899" si="125">P835-L836+M836</f>
        <v>4.8740479082780286E-7</v>
      </c>
      <c r="Q836" s="1">
        <f t="shared" si="121"/>
        <v>1.8000000000000001E-6</v>
      </c>
    </row>
    <row r="837" spans="1:17" x14ac:dyDescent="0.25">
      <c r="A837" s="1">
        <v>41.75</v>
      </c>
      <c r="B837" s="1">
        <v>1.8082999999999998E-2</v>
      </c>
      <c r="C837" s="1">
        <v>3.4751000000000001E-3</v>
      </c>
      <c r="D837" s="1">
        <v>2.4237000000000002E-2</v>
      </c>
      <c r="E837" s="1">
        <v>2.0327000000000001E-2</v>
      </c>
      <c r="F837" s="1">
        <v>1.7208999999999999E-6</v>
      </c>
      <c r="G837" s="1">
        <v>6.7911999999999999</v>
      </c>
      <c r="H837" s="1">
        <v>1.6694000000000001E-7</v>
      </c>
      <c r="I837" s="1">
        <f t="shared" si="117"/>
        <v>1.6694000000000001E-7</v>
      </c>
      <c r="J837" s="4">
        <f t="shared" si="118"/>
        <v>-1.6336089339309481E-8</v>
      </c>
      <c r="K837" s="4">
        <f t="shared" si="119"/>
        <v>-2.4522700400162711E-8</v>
      </c>
      <c r="L837" s="4">
        <f t="shared" si="120"/>
        <v>-8.016079504533859E-9</v>
      </c>
      <c r="M837" s="4">
        <f t="shared" si="122"/>
        <v>-8.5389663817095002E-9</v>
      </c>
      <c r="N837" s="5">
        <f t="shared" si="123"/>
        <v>5.5191361232921455E-8</v>
      </c>
      <c r="O837" s="5">
        <f t="shared" si="124"/>
        <v>1.2579267348164515E-6</v>
      </c>
      <c r="P837" s="5">
        <f t="shared" si="125"/>
        <v>4.8688190395062724E-7</v>
      </c>
      <c r="Q837" s="1">
        <f t="shared" si="121"/>
        <v>1.8000000000000001E-6</v>
      </c>
    </row>
    <row r="838" spans="1:17" x14ac:dyDescent="0.25">
      <c r="A838" s="1">
        <v>41.8</v>
      </c>
      <c r="B838" s="1">
        <v>1.8046E-2</v>
      </c>
      <c r="C838" s="1">
        <v>3.4689E-3</v>
      </c>
      <c r="D838" s="1">
        <v>2.4257999999999998E-2</v>
      </c>
      <c r="E838" s="1">
        <v>2.0281E-2</v>
      </c>
      <c r="F838" s="1">
        <v>1.7187E-6</v>
      </c>
      <c r="G838" s="1">
        <v>6.7910000000000004</v>
      </c>
      <c r="H838" s="1">
        <v>1.6702E-7</v>
      </c>
      <c r="I838" s="1">
        <f t="shared" si="117"/>
        <v>1.6702E-7</v>
      </c>
      <c r="J838" s="4">
        <f t="shared" si="118"/>
        <v>-1.6344904023084527E-8</v>
      </c>
      <c r="K838" s="4">
        <f t="shared" si="119"/>
        <v>-2.4529571328919408E-8</v>
      </c>
      <c r="L838" s="4">
        <f t="shared" si="120"/>
        <v>-8.0121325232177506E-9</v>
      </c>
      <c r="M838" s="4">
        <f t="shared" si="122"/>
        <v>-8.5344068297788754E-9</v>
      </c>
      <c r="N838" s="5">
        <f t="shared" si="123"/>
        <v>5.536389601553858E-8</v>
      </c>
      <c r="O838" s="5">
        <f t="shared" si="124"/>
        <v>1.2582764743403957E-6</v>
      </c>
      <c r="P838" s="5">
        <f t="shared" si="125"/>
        <v>4.8635962964406617E-7</v>
      </c>
      <c r="Q838" s="1">
        <f t="shared" si="121"/>
        <v>1.8000000000000006E-6</v>
      </c>
    </row>
    <row r="839" spans="1:17" x14ac:dyDescent="0.25">
      <c r="A839" s="1">
        <v>41.85</v>
      </c>
      <c r="B839" s="1">
        <v>1.8009000000000001E-2</v>
      </c>
      <c r="C839" s="1">
        <v>3.4626000000000001E-3</v>
      </c>
      <c r="D839" s="1">
        <v>2.4279999999999999E-2</v>
      </c>
      <c r="E839" s="1">
        <v>2.0233999999999999E-2</v>
      </c>
      <c r="F839" s="1">
        <v>1.7165E-6</v>
      </c>
      <c r="G839" s="1">
        <v>6.7907000000000002</v>
      </c>
      <c r="H839" s="1">
        <v>1.6710000000000001E-7</v>
      </c>
      <c r="I839" s="1">
        <f t="shared" si="117"/>
        <v>1.6710000000000001E-7</v>
      </c>
      <c r="J839" s="4">
        <f t="shared" si="118"/>
        <v>-1.6354105619438605E-8</v>
      </c>
      <c r="K839" s="4">
        <f t="shared" si="119"/>
        <v>-2.4536391249639808E-8</v>
      </c>
      <c r="L839" s="4">
        <f t="shared" si="120"/>
        <v>-8.008739784031608E-9</v>
      </c>
      <c r="M839" s="4">
        <f t="shared" si="122"/>
        <v>-8.52933746103168E-9</v>
      </c>
      <c r="N839" s="5">
        <f t="shared" si="123"/>
        <v>5.5537441861708165E-8</v>
      </c>
      <c r="O839" s="5">
        <f t="shared" si="124"/>
        <v>1.2586235261712261E-6</v>
      </c>
      <c r="P839" s="5">
        <f t="shared" si="125"/>
        <v>4.8583903196706609E-7</v>
      </c>
      <c r="Q839" s="1">
        <f t="shared" si="121"/>
        <v>1.8000000000000003E-6</v>
      </c>
    </row>
    <row r="840" spans="1:17" x14ac:dyDescent="0.25">
      <c r="A840" s="1">
        <v>41.9</v>
      </c>
      <c r="B840" s="1">
        <v>1.7971999999999998E-2</v>
      </c>
      <c r="C840" s="1">
        <v>3.4562999999999998E-3</v>
      </c>
      <c r="D840" s="1">
        <v>2.4302000000000001E-2</v>
      </c>
      <c r="E840" s="1">
        <v>2.0188000000000001E-2</v>
      </c>
      <c r="F840" s="1">
        <v>1.7143E-6</v>
      </c>
      <c r="G840" s="1">
        <v>6.7904999999999998</v>
      </c>
      <c r="H840" s="1">
        <v>1.6717999999999999E-7</v>
      </c>
      <c r="I840" s="1">
        <f t="shared" si="117"/>
        <v>1.6717999999999999E-7</v>
      </c>
      <c r="J840" s="4">
        <f t="shared" si="118"/>
        <v>-1.6363397753731596E-8</v>
      </c>
      <c r="K840" s="4">
        <f t="shared" si="119"/>
        <v>-2.4543158760337515E-8</v>
      </c>
      <c r="L840" s="4">
        <f t="shared" si="120"/>
        <v>-8.0049665547239801E-9</v>
      </c>
      <c r="M840" s="4">
        <f t="shared" si="122"/>
        <v>-8.5242887353776745E-9</v>
      </c>
      <c r="N840" s="5">
        <f t="shared" si="123"/>
        <v>5.5712236313590105E-8</v>
      </c>
      <c r="O840" s="5">
        <f t="shared" si="124"/>
        <v>1.2589680538999981E-6</v>
      </c>
      <c r="P840" s="5">
        <f t="shared" si="125"/>
        <v>4.8531970978641235E-7</v>
      </c>
      <c r="Q840" s="1">
        <f t="shared" si="121"/>
        <v>1.8000000000000006E-6</v>
      </c>
    </row>
    <row r="841" spans="1:17" x14ac:dyDescent="0.25">
      <c r="A841" s="1">
        <v>41.95</v>
      </c>
      <c r="B841" s="1">
        <v>1.7935E-2</v>
      </c>
      <c r="C841" s="1">
        <v>3.4499999999999999E-3</v>
      </c>
      <c r="D841" s="1">
        <v>2.4323000000000001E-2</v>
      </c>
      <c r="E841" s="1">
        <v>2.0142E-2</v>
      </c>
      <c r="F841" s="1">
        <v>1.7120000000000001E-6</v>
      </c>
      <c r="G841" s="1">
        <v>6.7903000000000002</v>
      </c>
      <c r="H841" s="1">
        <v>1.6726E-7</v>
      </c>
      <c r="I841" s="1">
        <f t="shared" si="117"/>
        <v>1.6726E-7</v>
      </c>
      <c r="J841" s="4">
        <f t="shared" si="118"/>
        <v>-1.6372848447105992E-8</v>
      </c>
      <c r="K841" s="4">
        <f t="shared" si="119"/>
        <v>-2.4549877051052054E-8</v>
      </c>
      <c r="L841" s="4">
        <f t="shared" si="120"/>
        <v>-8.0016363382618523E-9</v>
      </c>
      <c r="M841" s="4">
        <f t="shared" si="122"/>
        <v>-8.5192536536204296E-9</v>
      </c>
      <c r="N841" s="5">
        <f t="shared" si="123"/>
        <v>5.5887628579274309E-8</v>
      </c>
      <c r="O841" s="5">
        <f t="shared" si="124"/>
        <v>1.2593102789496726E-6</v>
      </c>
      <c r="P841" s="5">
        <f t="shared" si="125"/>
        <v>4.8480209247105373E-7</v>
      </c>
      <c r="Q841" s="1">
        <f t="shared" si="121"/>
        <v>1.8000000000000006E-6</v>
      </c>
    </row>
    <row r="842" spans="1:17" x14ac:dyDescent="0.25">
      <c r="A842" s="1">
        <v>42</v>
      </c>
      <c r="B842" s="1">
        <v>1.7898000000000001E-2</v>
      </c>
      <c r="C842" s="1">
        <v>3.4437000000000001E-3</v>
      </c>
      <c r="D842" s="1">
        <v>2.4344999999999999E-2</v>
      </c>
      <c r="E842" s="1">
        <v>2.0095999999999999E-2</v>
      </c>
      <c r="F842" s="1">
        <v>1.7097999999999999E-6</v>
      </c>
      <c r="G842" s="1">
        <v>6.79</v>
      </c>
      <c r="H842" s="1">
        <v>1.6733999999999999E-7</v>
      </c>
      <c r="I842" s="1">
        <f t="shared" si="117"/>
        <v>1.6733999999999999E-7</v>
      </c>
      <c r="J842" s="4">
        <f t="shared" si="118"/>
        <v>-1.6380350965864325E-8</v>
      </c>
      <c r="K842" s="4">
        <f t="shared" si="119"/>
        <v>-2.4556550439517222E-8</v>
      </c>
      <c r="L842" s="4">
        <f t="shared" si="120"/>
        <v>-7.9977924707413726E-9</v>
      </c>
      <c r="M842" s="4">
        <f t="shared" si="122"/>
        <v>-8.5142397886039026E-9</v>
      </c>
      <c r="N842" s="5">
        <f t="shared" si="123"/>
        <v>5.6066035582185837E-8</v>
      </c>
      <c r="O842" s="5">
        <f t="shared" si="124"/>
        <v>1.2596483192646235E-6</v>
      </c>
      <c r="P842" s="5">
        <f t="shared" si="125"/>
        <v>4.8428564515319129E-7</v>
      </c>
      <c r="Q842" s="1">
        <f t="shared" si="121"/>
        <v>1.8000000000000006E-6</v>
      </c>
    </row>
    <row r="843" spans="1:17" x14ac:dyDescent="0.25">
      <c r="A843" s="1">
        <v>42.05</v>
      </c>
      <c r="B843" s="1">
        <v>1.7860999999999998E-2</v>
      </c>
      <c r="C843" s="1">
        <v>3.4374000000000002E-3</v>
      </c>
      <c r="D843" s="1">
        <v>2.4365999999999999E-2</v>
      </c>
      <c r="E843" s="1">
        <v>2.0049000000000001E-2</v>
      </c>
      <c r="F843" s="1">
        <v>1.7076E-6</v>
      </c>
      <c r="G843" s="1">
        <v>6.7897999999999996</v>
      </c>
      <c r="H843" s="1">
        <v>1.6742E-7</v>
      </c>
      <c r="I843" s="1">
        <f t="shared" si="117"/>
        <v>1.6742E-7</v>
      </c>
      <c r="J843" s="4">
        <f t="shared" si="118"/>
        <v>-1.6390434772016347E-8</v>
      </c>
      <c r="K843" s="4">
        <f t="shared" si="119"/>
        <v>-2.4563142225658761E-8</v>
      </c>
      <c r="L843" s="4">
        <f t="shared" si="120"/>
        <v>-7.9947130383116635E-9</v>
      </c>
      <c r="M843" s="4">
        <f t="shared" si="122"/>
        <v>-8.509237785292694E-9</v>
      </c>
      <c r="N843" s="5">
        <f t="shared" si="123"/>
        <v>5.6244029997516579E-8</v>
      </c>
      <c r="O843" s="5">
        <f t="shared" si="124"/>
        <v>1.2599848495962737E-6</v>
      </c>
      <c r="P843" s="5">
        <f t="shared" si="125"/>
        <v>4.837711204062103E-7</v>
      </c>
      <c r="Q843" s="1">
        <f t="shared" si="121"/>
        <v>1.8000000000000006E-6</v>
      </c>
    </row>
    <row r="844" spans="1:17" x14ac:dyDescent="0.25">
      <c r="A844" s="1">
        <v>42.1</v>
      </c>
      <c r="B844" s="1">
        <v>1.7824E-2</v>
      </c>
      <c r="C844" s="1">
        <v>3.4310999999999999E-3</v>
      </c>
      <c r="D844" s="1">
        <v>2.4388E-2</v>
      </c>
      <c r="E844" s="1">
        <v>2.0003E-2</v>
      </c>
      <c r="F844" s="1">
        <v>1.7053E-6</v>
      </c>
      <c r="G844" s="1">
        <v>6.7896000000000001</v>
      </c>
      <c r="H844" s="1">
        <v>1.6750000000000001E-7</v>
      </c>
      <c r="I844" s="1">
        <f t="shared" si="117"/>
        <v>1.6750000000000001E-7</v>
      </c>
      <c r="J844" s="4">
        <f t="shared" si="118"/>
        <v>-1.6400184108314537E-8</v>
      </c>
      <c r="K844" s="4">
        <f t="shared" si="119"/>
        <v>-2.456970456712943E-8</v>
      </c>
      <c r="L844" s="4">
        <f t="shared" si="120"/>
        <v>-7.9910415696212943E-9</v>
      </c>
      <c r="M844" s="4">
        <f t="shared" si="122"/>
        <v>-8.5042609027335375E-9</v>
      </c>
      <c r="N844" s="5">
        <f t="shared" si="123"/>
        <v>5.6422508886710184E-8</v>
      </c>
      <c r="O844" s="5">
        <f t="shared" si="124"/>
        <v>1.2603195900401925E-6</v>
      </c>
      <c r="P844" s="5">
        <f t="shared" si="125"/>
        <v>4.8325790107309805E-7</v>
      </c>
      <c r="Q844" s="1">
        <f t="shared" si="121"/>
        <v>1.8000000000000008E-6</v>
      </c>
    </row>
    <row r="845" spans="1:17" x14ac:dyDescent="0.25">
      <c r="A845" s="1">
        <v>42.15</v>
      </c>
      <c r="B845" s="1">
        <v>1.7788000000000002E-2</v>
      </c>
      <c r="C845" s="1">
        <v>3.4248E-3</v>
      </c>
      <c r="D845" s="1">
        <v>2.4409E-2</v>
      </c>
      <c r="E845" s="1">
        <v>1.9956999999999999E-2</v>
      </c>
      <c r="F845" s="1">
        <v>1.7031000000000001E-6</v>
      </c>
      <c r="G845" s="1">
        <v>6.7893999999999997</v>
      </c>
      <c r="H845" s="1">
        <v>1.6758E-7</v>
      </c>
      <c r="I845" s="1">
        <f t="shared" si="117"/>
        <v>1.6758E-7</v>
      </c>
      <c r="J845" s="4">
        <f t="shared" si="118"/>
        <v>-1.6407936920099624E-8</v>
      </c>
      <c r="K845" s="4">
        <f t="shared" si="119"/>
        <v>-2.4576232005782355E-8</v>
      </c>
      <c r="L845" s="4">
        <f t="shared" si="120"/>
        <v>-7.9872341710134514E-9</v>
      </c>
      <c r="M845" s="4">
        <f t="shared" si="122"/>
        <v>-8.4992983351226295E-9</v>
      </c>
      <c r="N845" s="5">
        <f t="shared" si="123"/>
        <v>5.660356980137946E-8</v>
      </c>
      <c r="O845" s="5">
        <f t="shared" si="124"/>
        <v>1.2606505932896324E-6</v>
      </c>
      <c r="P845" s="5">
        <f t="shared" si="125"/>
        <v>4.8274583690898884E-7</v>
      </c>
      <c r="Q845" s="1">
        <f t="shared" si="121"/>
        <v>1.8000000000000008E-6</v>
      </c>
    </row>
    <row r="846" spans="1:17" x14ac:dyDescent="0.25">
      <c r="A846" s="1">
        <v>42.2</v>
      </c>
      <c r="B846" s="1">
        <v>1.7750999999999999E-2</v>
      </c>
      <c r="C846" s="1">
        <v>3.4183999999999998E-3</v>
      </c>
      <c r="D846" s="1">
        <v>2.4431000000000001E-2</v>
      </c>
      <c r="E846" s="1">
        <v>1.9911999999999999E-2</v>
      </c>
      <c r="F846" s="1">
        <v>1.7008000000000001E-6</v>
      </c>
      <c r="G846" s="1">
        <v>6.7891000000000004</v>
      </c>
      <c r="H846" s="1">
        <v>1.6766000000000001E-7</v>
      </c>
      <c r="I846" s="1">
        <f t="shared" si="117"/>
        <v>1.6766000000000001E-7</v>
      </c>
      <c r="J846" s="4">
        <f t="shared" si="118"/>
        <v>-1.6418146231201295E-8</v>
      </c>
      <c r="K846" s="4">
        <f t="shared" si="119"/>
        <v>-2.458268656914993E-8</v>
      </c>
      <c r="L846" s="4">
        <f t="shared" si="120"/>
        <v>-7.9841249427206268E-9</v>
      </c>
      <c r="M846" s="4">
        <f t="shared" si="122"/>
        <v>-8.4943474716676013E-9</v>
      </c>
      <c r="N846" s="5">
        <f t="shared" si="123"/>
        <v>5.678398519660747E-8</v>
      </c>
      <c r="O846" s="5">
        <f t="shared" si="124"/>
        <v>1.2609804004233516E-6</v>
      </c>
      <c r="P846" s="5">
        <f t="shared" si="125"/>
        <v>4.8223561438004191E-7</v>
      </c>
      <c r="Q846" s="1">
        <f t="shared" si="121"/>
        <v>1.800000000000001E-6</v>
      </c>
    </row>
    <row r="847" spans="1:17" x14ac:dyDescent="0.25">
      <c r="A847" s="1">
        <v>42.25</v>
      </c>
      <c r="B847" s="1">
        <v>1.7715000000000002E-2</v>
      </c>
      <c r="C847" s="1">
        <v>3.4120999999999999E-3</v>
      </c>
      <c r="D847" s="1">
        <v>2.4452000000000002E-2</v>
      </c>
      <c r="E847" s="1">
        <v>1.9866000000000002E-2</v>
      </c>
      <c r="F847" s="1">
        <v>1.6984999999999999E-6</v>
      </c>
      <c r="G847" s="1">
        <v>6.7888999999999999</v>
      </c>
      <c r="H847" s="1">
        <v>1.6773999999999999E-7</v>
      </c>
      <c r="I847" s="1">
        <f t="shared" si="117"/>
        <v>1.6773999999999999E-7</v>
      </c>
      <c r="J847" s="4">
        <f t="shared" si="118"/>
        <v>-1.6426020599967155E-8</v>
      </c>
      <c r="K847" s="4">
        <f t="shared" si="119"/>
        <v>-2.4589117808253963E-8</v>
      </c>
      <c r="L847" s="4">
        <f t="shared" si="120"/>
        <v>-7.9807204084793381E-9</v>
      </c>
      <c r="M847" s="4">
        <f t="shared" si="122"/>
        <v>-8.4894204262300899E-9</v>
      </c>
      <c r="N847" s="5">
        <f t="shared" si="123"/>
        <v>5.6966361996414945E-8</v>
      </c>
      <c r="O847" s="5">
        <f t="shared" si="124"/>
        <v>1.2613067236412948E-6</v>
      </c>
      <c r="P847" s="5">
        <f t="shared" si="125"/>
        <v>4.8172691436229112E-7</v>
      </c>
      <c r="Q847" s="1">
        <f t="shared" si="121"/>
        <v>1.800000000000001E-6</v>
      </c>
    </row>
    <row r="848" spans="1:17" x14ac:dyDescent="0.25">
      <c r="A848" s="1">
        <v>42.3</v>
      </c>
      <c r="B848" s="1">
        <v>1.7677999999999999E-2</v>
      </c>
      <c r="C848" s="1">
        <v>3.4058000000000001E-3</v>
      </c>
      <c r="D848" s="1">
        <v>2.4473999999999999E-2</v>
      </c>
      <c r="E848" s="1">
        <v>1.9820000000000001E-2</v>
      </c>
      <c r="F848" s="1">
        <v>1.6963E-6</v>
      </c>
      <c r="G848" s="1">
        <v>6.7887000000000004</v>
      </c>
      <c r="H848" s="1">
        <v>1.6782E-7</v>
      </c>
      <c r="I848" s="1">
        <f t="shared" si="117"/>
        <v>1.6782E-7</v>
      </c>
      <c r="J848" s="4">
        <f t="shared" si="118"/>
        <v>-1.6434238589776259E-8</v>
      </c>
      <c r="K848" s="4">
        <f t="shared" si="119"/>
        <v>-2.459548111100385E-8</v>
      </c>
      <c r="L848" s="4">
        <f t="shared" si="120"/>
        <v>-7.977054594475451E-9</v>
      </c>
      <c r="M848" s="4">
        <f t="shared" si="122"/>
        <v>-8.4845116245882425E-9</v>
      </c>
      <c r="N848" s="5">
        <f t="shared" si="123"/>
        <v>5.7150549923167086E-8</v>
      </c>
      <c r="O848" s="5">
        <f t="shared" si="124"/>
        <v>1.2616299927446553E-6</v>
      </c>
      <c r="P848" s="5">
        <f t="shared" si="125"/>
        <v>4.8121945733217827E-7</v>
      </c>
      <c r="Q848" s="1">
        <f t="shared" si="121"/>
        <v>1.8000000000000008E-6</v>
      </c>
    </row>
    <row r="849" spans="1:17" x14ac:dyDescent="0.25">
      <c r="A849" s="1">
        <v>42.35</v>
      </c>
      <c r="B849" s="1">
        <v>1.7642000000000001E-2</v>
      </c>
      <c r="C849" s="1">
        <v>3.3993999999999999E-3</v>
      </c>
      <c r="D849" s="1">
        <v>2.4494999999999999E-2</v>
      </c>
      <c r="E849" s="1">
        <v>1.9774E-2</v>
      </c>
      <c r="F849" s="1">
        <v>1.694E-6</v>
      </c>
      <c r="G849" s="1">
        <v>6.7885</v>
      </c>
      <c r="H849" s="1">
        <v>1.6789999999999999E-7</v>
      </c>
      <c r="I849" s="1">
        <f t="shared" si="117"/>
        <v>1.6789999999999999E-7</v>
      </c>
      <c r="J849" s="4">
        <f t="shared" si="118"/>
        <v>-1.6444691775096189E-8</v>
      </c>
      <c r="K849" s="4">
        <f t="shared" si="119"/>
        <v>-2.4601784858522878E-8</v>
      </c>
      <c r="L849" s="4">
        <f t="shared" si="120"/>
        <v>-7.9739741353356544E-9</v>
      </c>
      <c r="M849" s="4">
        <f t="shared" si="122"/>
        <v>-8.4796161795967702E-9</v>
      </c>
      <c r="N849" s="5">
        <f t="shared" si="123"/>
        <v>5.7333668871258118E-8</v>
      </c>
      <c r="O849" s="5">
        <f t="shared" si="124"/>
        <v>1.2619525158408254E-6</v>
      </c>
      <c r="P849" s="5">
        <f t="shared" si="125"/>
        <v>4.8071381528791713E-7</v>
      </c>
      <c r="Q849" s="1">
        <f t="shared" si="121"/>
        <v>1.8000000000000006E-6</v>
      </c>
    </row>
    <row r="850" spans="1:17" x14ac:dyDescent="0.25">
      <c r="A850" s="1">
        <v>42.4</v>
      </c>
      <c r="B850" s="1">
        <v>1.7606E-2</v>
      </c>
      <c r="C850" s="1">
        <v>3.3931E-3</v>
      </c>
      <c r="D850" s="1">
        <v>2.4516E-2</v>
      </c>
      <c r="E850" s="1">
        <v>1.9729E-2</v>
      </c>
      <c r="F850" s="1">
        <v>1.6917E-6</v>
      </c>
      <c r="G850" s="1">
        <v>6.7881999999999998</v>
      </c>
      <c r="H850" s="1">
        <v>1.6798E-7</v>
      </c>
      <c r="I850" s="1">
        <f t="shared" si="117"/>
        <v>1.6798E-7</v>
      </c>
      <c r="J850" s="4">
        <f t="shared" si="118"/>
        <v>-1.6452676020503228E-8</v>
      </c>
      <c r="K850" s="4">
        <f t="shared" si="119"/>
        <v>-2.4608074058894699E-8</v>
      </c>
      <c r="L850" s="4">
        <f t="shared" si="120"/>
        <v>-7.9701366284659865E-9</v>
      </c>
      <c r="M850" s="4">
        <f t="shared" si="122"/>
        <v>-8.4747442066178528E-9</v>
      </c>
      <c r="N850" s="5">
        <f t="shared" si="123"/>
        <v>5.7518930281183609E-8</v>
      </c>
      <c r="O850" s="5">
        <f t="shared" si="124"/>
        <v>1.262271862009052E-6</v>
      </c>
      <c r="P850" s="5">
        <f t="shared" si="125"/>
        <v>4.8020920770976524E-7</v>
      </c>
      <c r="Q850" s="1">
        <f t="shared" si="121"/>
        <v>1.8000000000000008E-6</v>
      </c>
    </row>
    <row r="851" spans="1:17" x14ac:dyDescent="0.25">
      <c r="A851" s="1">
        <v>42.45</v>
      </c>
      <c r="B851" s="1">
        <v>1.7569999999999999E-2</v>
      </c>
      <c r="C851" s="1">
        <v>3.3866999999999999E-3</v>
      </c>
      <c r="D851" s="1">
        <v>2.4537E-2</v>
      </c>
      <c r="E851" s="1">
        <v>1.9682999999999999E-2</v>
      </c>
      <c r="F851" s="1">
        <v>1.6894000000000001E-6</v>
      </c>
      <c r="G851" s="1">
        <v>6.7880000000000003</v>
      </c>
      <c r="H851" s="1">
        <v>1.6806000000000001E-7</v>
      </c>
      <c r="I851" s="1">
        <f t="shared" si="117"/>
        <v>1.6806000000000001E-7</v>
      </c>
      <c r="J851" s="4">
        <f t="shared" si="118"/>
        <v>-1.6461048677920675E-8</v>
      </c>
      <c r="K851" s="4">
        <f t="shared" si="119"/>
        <v>-2.4614301309178614E-8</v>
      </c>
      <c r="L851" s="4">
        <f t="shared" si="120"/>
        <v>-7.966862457124741E-9</v>
      </c>
      <c r="M851" s="4">
        <f t="shared" si="122"/>
        <v>-8.4698819846647923E-9</v>
      </c>
      <c r="N851" s="5">
        <f t="shared" si="123"/>
        <v>5.7705320455316813E-8</v>
      </c>
      <c r="O851" s="5">
        <f t="shared" si="124"/>
        <v>1.2625884913624586E-6</v>
      </c>
      <c r="P851" s="5">
        <f t="shared" si="125"/>
        <v>4.797061881822252E-7</v>
      </c>
      <c r="Q851" s="1">
        <f t="shared" si="121"/>
        <v>1.8000000000000006E-6</v>
      </c>
    </row>
    <row r="852" spans="1:17" x14ac:dyDescent="0.25">
      <c r="A852" s="1">
        <v>42.5</v>
      </c>
      <c r="B852" s="1">
        <v>1.7534000000000001E-2</v>
      </c>
      <c r="C852" s="1">
        <v>3.3804E-3</v>
      </c>
      <c r="D852" s="1">
        <v>2.4559000000000001E-2</v>
      </c>
      <c r="E852" s="1">
        <v>1.9637999999999999E-2</v>
      </c>
      <c r="F852" s="1">
        <v>1.6870999999999999E-6</v>
      </c>
      <c r="G852" s="1">
        <v>6.7877999999999998</v>
      </c>
      <c r="H852" s="1">
        <v>1.6814E-7</v>
      </c>
      <c r="I852" s="1">
        <f t="shared" si="117"/>
        <v>1.6814E-7</v>
      </c>
      <c r="J852" s="4">
        <f t="shared" si="118"/>
        <v>-1.64695160136453E-8</v>
      </c>
      <c r="K852" s="4">
        <f t="shared" si="119"/>
        <v>-2.4620475581566546E-8</v>
      </c>
      <c r="L852" s="4">
        <f t="shared" si="120"/>
        <v>-7.9632020678395203E-9</v>
      </c>
      <c r="M852" s="4">
        <f t="shared" si="122"/>
        <v>-8.4650393085195212E-9</v>
      </c>
      <c r="N852" s="5">
        <f t="shared" si="123"/>
        <v>5.789307795539854E-8</v>
      </c>
      <c r="O852" s="5">
        <f t="shared" si="124"/>
        <v>1.2629025711030569E-6</v>
      </c>
      <c r="P852" s="5">
        <f t="shared" si="125"/>
        <v>4.7920435094154521E-7</v>
      </c>
      <c r="Q852" s="1">
        <f t="shared" si="121"/>
        <v>1.8000000000000008E-6</v>
      </c>
    </row>
    <row r="853" spans="1:17" x14ac:dyDescent="0.25">
      <c r="A853" s="1">
        <v>42.55</v>
      </c>
      <c r="B853" s="1">
        <v>1.7498E-2</v>
      </c>
      <c r="C853" s="1">
        <v>3.3739999999999998E-3</v>
      </c>
      <c r="D853" s="1">
        <v>2.4580000000000001E-2</v>
      </c>
      <c r="E853" s="1">
        <v>1.9591999999999998E-2</v>
      </c>
      <c r="F853" s="1">
        <v>1.6847999999999999E-6</v>
      </c>
      <c r="G853" s="1">
        <v>6.7876000000000003</v>
      </c>
      <c r="H853" s="1">
        <v>1.6822000000000001E-7</v>
      </c>
      <c r="I853" s="1">
        <f t="shared" si="117"/>
        <v>1.6822000000000001E-7</v>
      </c>
      <c r="J853" s="4">
        <f t="shared" si="118"/>
        <v>-1.6478143887907117E-8</v>
      </c>
      <c r="K853" s="4">
        <f t="shared" si="119"/>
        <v>-2.4626600136508215E-8</v>
      </c>
      <c r="L853" s="4">
        <f t="shared" si="120"/>
        <v>-7.9599954189644241E-9</v>
      </c>
      <c r="M853" s="4">
        <f t="shared" si="122"/>
        <v>-8.4602090545672172E-9</v>
      </c>
      <c r="N853" s="5">
        <f t="shared" si="123"/>
        <v>5.8081538785035213E-8</v>
      </c>
      <c r="O853" s="5">
        <f t="shared" si="124"/>
        <v>1.2632143239090233E-6</v>
      </c>
      <c r="P853" s="5">
        <f t="shared" si="125"/>
        <v>4.7870413730594241E-7</v>
      </c>
      <c r="Q853" s="1">
        <f t="shared" si="121"/>
        <v>1.800000000000001E-6</v>
      </c>
    </row>
    <row r="854" spans="1:17" x14ac:dyDescent="0.25">
      <c r="A854" s="1">
        <v>42.6</v>
      </c>
      <c r="B854" s="1">
        <v>1.7461999999999998E-2</v>
      </c>
      <c r="C854" s="1">
        <v>3.3676000000000001E-3</v>
      </c>
      <c r="D854" s="1">
        <v>2.4601000000000001E-2</v>
      </c>
      <c r="E854" s="1">
        <v>1.9546999999999998E-2</v>
      </c>
      <c r="F854" s="1">
        <v>1.6824E-6</v>
      </c>
      <c r="G854" s="1">
        <v>6.7873000000000001</v>
      </c>
      <c r="H854" s="1">
        <v>1.6829999999999999E-7</v>
      </c>
      <c r="I854" s="1">
        <f t="shared" si="117"/>
        <v>1.6829999999999999E-7</v>
      </c>
      <c r="J854" s="4">
        <f t="shared" si="118"/>
        <v>-1.6486741232307611E-8</v>
      </c>
      <c r="K854" s="4">
        <f t="shared" si="119"/>
        <v>-2.4632679316228058E-8</v>
      </c>
      <c r="L854" s="4">
        <f t="shared" si="120"/>
        <v>-7.9563400523919055E-9</v>
      </c>
      <c r="M854" s="4">
        <f t="shared" si="122"/>
        <v>-8.4553990476493141E-9</v>
      </c>
      <c r="N854" s="5">
        <f t="shared" si="123"/>
        <v>5.8271136816563759E-8</v>
      </c>
      <c r="O854" s="5">
        <f t="shared" si="124"/>
        <v>1.263523784872752E-6</v>
      </c>
      <c r="P854" s="5">
        <f t="shared" si="125"/>
        <v>4.7820507831068505E-7</v>
      </c>
      <c r="Q854" s="1">
        <f t="shared" si="121"/>
        <v>1.8000000000000008E-6</v>
      </c>
    </row>
    <row r="855" spans="1:17" x14ac:dyDescent="0.25">
      <c r="A855" s="1">
        <v>42.65</v>
      </c>
      <c r="B855" s="1">
        <v>1.7426000000000001E-2</v>
      </c>
      <c r="C855" s="1">
        <v>3.3612E-3</v>
      </c>
      <c r="D855" s="1">
        <v>2.4622000000000002E-2</v>
      </c>
      <c r="E855" s="1">
        <v>1.9501999999999999E-2</v>
      </c>
      <c r="F855" s="1">
        <v>1.6801E-6</v>
      </c>
      <c r="G855" s="1">
        <v>6.7870999999999997</v>
      </c>
      <c r="H855" s="1">
        <v>1.6838E-7</v>
      </c>
      <c r="I855" s="1">
        <f t="shared" si="117"/>
        <v>1.6838E-7</v>
      </c>
      <c r="J855" s="4">
        <f t="shared" si="118"/>
        <v>-1.6493469064009702E-8</v>
      </c>
      <c r="K855" s="4">
        <f t="shared" si="119"/>
        <v>-2.4638713805017265E-8</v>
      </c>
      <c r="L855" s="4">
        <f t="shared" si="120"/>
        <v>-7.952633352032333E-9</v>
      </c>
      <c r="M855" s="4">
        <f t="shared" si="122"/>
        <v>-8.4506010413667905E-9</v>
      </c>
      <c r="N855" s="5">
        <f t="shared" si="123"/>
        <v>5.8463748205539002E-8</v>
      </c>
      <c r="O855" s="5">
        <f t="shared" si="124"/>
        <v>1.2638291411731113E-6</v>
      </c>
      <c r="P855" s="5">
        <f t="shared" si="125"/>
        <v>4.7770711062135061E-7</v>
      </c>
      <c r="Q855" s="1">
        <f t="shared" si="121"/>
        <v>1.800000000000001E-6</v>
      </c>
    </row>
    <row r="856" spans="1:17" x14ac:dyDescent="0.25">
      <c r="A856" s="1">
        <v>42.7</v>
      </c>
      <c r="B856" s="1">
        <v>1.7389999999999999E-2</v>
      </c>
      <c r="C856" s="1">
        <v>3.3549000000000001E-3</v>
      </c>
      <c r="D856" s="1">
        <v>2.4643000000000002E-2</v>
      </c>
      <c r="E856" s="1">
        <v>1.9456999999999999E-2</v>
      </c>
      <c r="F856" s="1">
        <v>1.6778000000000001E-6</v>
      </c>
      <c r="G856" s="1">
        <v>6.7869000000000002</v>
      </c>
      <c r="H856" s="1">
        <v>1.6845999999999999E-7</v>
      </c>
      <c r="I856" s="1">
        <f t="shared" si="117"/>
        <v>1.6845999999999999E-7</v>
      </c>
      <c r="J856" s="4">
        <f t="shared" si="118"/>
        <v>-1.6502772733936187E-8</v>
      </c>
      <c r="K856" s="4">
        <f t="shared" si="119"/>
        <v>-2.4644668252877776E-8</v>
      </c>
      <c r="L856" s="4">
        <f t="shared" si="120"/>
        <v>-7.9496688084487702E-9</v>
      </c>
      <c r="M856" s="4">
        <f t="shared" si="122"/>
        <v>-8.4458139450751364E-9</v>
      </c>
      <c r="N856" s="5">
        <f t="shared" si="123"/>
        <v>5.8655974916031819E-8</v>
      </c>
      <c r="O856" s="5">
        <f t="shared" si="124"/>
        <v>1.2641330595992447E-6</v>
      </c>
      <c r="P856" s="5">
        <f t="shared" si="125"/>
        <v>4.7721096548472416E-7</v>
      </c>
      <c r="Q856" s="1">
        <f t="shared" si="121"/>
        <v>1.8000000000000006E-6</v>
      </c>
    </row>
    <row r="857" spans="1:17" x14ac:dyDescent="0.25">
      <c r="A857" s="1">
        <v>42.75</v>
      </c>
      <c r="B857" s="1">
        <v>1.7354000000000001E-2</v>
      </c>
      <c r="C857" s="1">
        <v>3.3484999999999999E-3</v>
      </c>
      <c r="D857" s="1">
        <v>2.4663999999999998E-2</v>
      </c>
      <c r="E857" s="1">
        <v>1.9411999999999999E-2</v>
      </c>
      <c r="F857" s="1">
        <v>1.6754000000000001E-6</v>
      </c>
      <c r="G857" s="1">
        <v>6.7866999999999997</v>
      </c>
      <c r="H857" s="1">
        <v>1.6852999999999999E-7</v>
      </c>
      <c r="I857" s="1">
        <f t="shared" si="117"/>
        <v>1.6852999999999999E-7</v>
      </c>
      <c r="J857" s="4">
        <f t="shared" si="118"/>
        <v>-1.6511732253133811E-8</v>
      </c>
      <c r="K857" s="4">
        <f t="shared" si="119"/>
        <v>-2.4650594662183875E-8</v>
      </c>
      <c r="L857" s="4">
        <f t="shared" si="120"/>
        <v>-7.9465097983328283E-9</v>
      </c>
      <c r="M857" s="4">
        <f t="shared" si="122"/>
        <v>-8.4410507207829664E-9</v>
      </c>
      <c r="N857" s="5">
        <f t="shared" si="123"/>
        <v>5.8848327526749044E-8</v>
      </c>
      <c r="O857" s="5">
        <f t="shared" si="124"/>
        <v>1.2644352479109776E-6</v>
      </c>
      <c r="P857" s="5">
        <f t="shared" si="125"/>
        <v>4.7671642456227396E-7</v>
      </c>
      <c r="Q857" s="1">
        <f t="shared" si="121"/>
        <v>1.8000000000000006E-6</v>
      </c>
    </row>
    <row r="858" spans="1:17" x14ac:dyDescent="0.25">
      <c r="A858" s="1">
        <v>42.8</v>
      </c>
      <c r="B858" s="1">
        <v>1.7318E-2</v>
      </c>
      <c r="C858" s="1">
        <v>3.3421000000000002E-3</v>
      </c>
      <c r="D858" s="1">
        <v>2.4686E-2</v>
      </c>
      <c r="E858" s="1">
        <v>1.9366999999999999E-2</v>
      </c>
      <c r="F858" s="1">
        <v>1.6730999999999999E-6</v>
      </c>
      <c r="G858" s="1">
        <v>6.7865000000000002</v>
      </c>
      <c r="H858" s="1">
        <v>1.6861E-7</v>
      </c>
      <c r="I858" s="1">
        <f t="shared" si="117"/>
        <v>1.6861E-7</v>
      </c>
      <c r="J858" s="4">
        <f t="shared" si="118"/>
        <v>-1.6518520509184416E-8</v>
      </c>
      <c r="K858" s="4">
        <f t="shared" si="119"/>
        <v>-2.4656487334262665E-8</v>
      </c>
      <c r="L858" s="4">
        <f t="shared" si="120"/>
        <v>-7.9427522294126442E-9</v>
      </c>
      <c r="M858" s="4">
        <f t="shared" si="122"/>
        <v>-8.4358069983049232E-9</v>
      </c>
      <c r="N858" s="5">
        <f t="shared" si="123"/>
        <v>5.9043542122414646E-8</v>
      </c>
      <c r="O858" s="5">
        <f t="shared" si="124"/>
        <v>1.2647330880842041E-6</v>
      </c>
      <c r="P858" s="5">
        <f t="shared" si="125"/>
        <v>4.7622336979338167E-7</v>
      </c>
      <c r="Q858" s="1">
        <f t="shared" si="121"/>
        <v>1.8000000000000003E-6</v>
      </c>
    </row>
    <row r="859" spans="1:17" x14ac:dyDescent="0.25">
      <c r="A859" s="1">
        <v>42.85</v>
      </c>
      <c r="B859" s="1">
        <v>1.7283E-2</v>
      </c>
      <c r="C859" s="1">
        <v>3.3357E-3</v>
      </c>
      <c r="D859" s="1">
        <v>2.4707E-2</v>
      </c>
      <c r="E859" s="1">
        <v>1.9321999999999999E-2</v>
      </c>
      <c r="F859" s="1">
        <v>1.6706999999999999E-6</v>
      </c>
      <c r="G859" s="1">
        <v>6.7862</v>
      </c>
      <c r="H859" s="1">
        <v>1.6869000000000001E-7</v>
      </c>
      <c r="I859" s="1">
        <f t="shared" si="117"/>
        <v>1.6869000000000001E-7</v>
      </c>
      <c r="J859" s="4">
        <f t="shared" si="118"/>
        <v>-1.6527843886879154E-8</v>
      </c>
      <c r="K859" s="4">
        <f t="shared" si="119"/>
        <v>-2.4662295217644081E-8</v>
      </c>
      <c r="L859" s="4">
        <f t="shared" si="120"/>
        <v>-7.9397120501603774E-9</v>
      </c>
      <c r="M859" s="4">
        <f t="shared" si="122"/>
        <v>-8.431082349991237E-9</v>
      </c>
      <c r="N859" s="5">
        <f t="shared" si="123"/>
        <v>5.92382814030192E-8</v>
      </c>
      <c r="O859" s="5">
        <f t="shared" si="124"/>
        <v>1.2650297191034302E-6</v>
      </c>
      <c r="P859" s="5">
        <f t="shared" si="125"/>
        <v>4.7573199949355084E-7</v>
      </c>
      <c r="Q859" s="1">
        <f t="shared" si="121"/>
        <v>1.8000000000000001E-6</v>
      </c>
    </row>
    <row r="860" spans="1:17" x14ac:dyDescent="0.25">
      <c r="A860" s="1">
        <v>42.9</v>
      </c>
      <c r="B860" s="1">
        <v>1.7246999999999998E-2</v>
      </c>
      <c r="C860" s="1">
        <v>3.3292999999999999E-3</v>
      </c>
      <c r="D860" s="1">
        <v>2.4728E-2</v>
      </c>
      <c r="E860" s="1">
        <v>1.9276999999999999E-2</v>
      </c>
      <c r="F860" s="1">
        <v>1.6684E-6</v>
      </c>
      <c r="G860" s="1">
        <v>6.7859999999999996</v>
      </c>
      <c r="H860" s="1">
        <v>1.6877E-7</v>
      </c>
      <c r="I860" s="1">
        <f t="shared" si="117"/>
        <v>1.6877E-7</v>
      </c>
      <c r="J860" s="4">
        <f t="shared" si="118"/>
        <v>-1.6534817113354899E-8</v>
      </c>
      <c r="K860" s="4">
        <f t="shared" si="119"/>
        <v>-2.4668079522515486E-8</v>
      </c>
      <c r="L860" s="4">
        <f t="shared" si="120"/>
        <v>-7.9359897378141472E-9</v>
      </c>
      <c r="M860" s="4">
        <f t="shared" si="122"/>
        <v>-8.4263792544290656E-9</v>
      </c>
      <c r="N860" s="5">
        <f t="shared" si="123"/>
        <v>5.9435554074365642E-8</v>
      </c>
      <c r="O860" s="5">
        <f t="shared" si="124"/>
        <v>1.2653228359486988E-6</v>
      </c>
      <c r="P860" s="5">
        <f t="shared" si="125"/>
        <v>4.752416099769359E-7</v>
      </c>
      <c r="Q860" s="1">
        <f t="shared" si="121"/>
        <v>1.8000000000000006E-6</v>
      </c>
    </row>
    <row r="861" spans="1:17" x14ac:dyDescent="0.25">
      <c r="A861" s="1">
        <v>42.95</v>
      </c>
      <c r="B861" s="1">
        <v>1.7212000000000002E-2</v>
      </c>
      <c r="C861" s="1">
        <v>3.3229000000000002E-3</v>
      </c>
      <c r="D861" s="1">
        <v>2.4749E-2</v>
      </c>
      <c r="E861" s="1">
        <v>1.9231999999999999E-2</v>
      </c>
      <c r="F861" s="1">
        <v>1.666E-6</v>
      </c>
      <c r="G861" s="1">
        <v>6.7858000000000001</v>
      </c>
      <c r="H861" s="1">
        <v>1.6885000000000001E-7</v>
      </c>
      <c r="I861" s="1">
        <f t="shared" si="117"/>
        <v>1.6885000000000001E-7</v>
      </c>
      <c r="J861" s="4">
        <f t="shared" si="118"/>
        <v>-1.6544234531205745E-8</v>
      </c>
      <c r="K861" s="4">
        <f t="shared" si="119"/>
        <v>-2.4673795301001735E-8</v>
      </c>
      <c r="L861" s="4">
        <f t="shared" si="120"/>
        <v>-7.9329376503891204E-9</v>
      </c>
      <c r="M861" s="4">
        <f t="shared" si="122"/>
        <v>-8.4216852841605019E-9</v>
      </c>
      <c r="N861" s="5">
        <f t="shared" si="123"/>
        <v>5.9632177193772506E-8</v>
      </c>
      <c r="O861" s="5">
        <f t="shared" si="124"/>
        <v>1.2656149604630634E-6</v>
      </c>
      <c r="P861" s="5">
        <f t="shared" si="125"/>
        <v>4.7475286234316459E-7</v>
      </c>
      <c r="Q861" s="1">
        <f t="shared" si="121"/>
        <v>1.8000000000000006E-6</v>
      </c>
    </row>
    <row r="862" spans="1:17" x14ac:dyDescent="0.25">
      <c r="A862" s="1">
        <v>43</v>
      </c>
      <c r="B862" s="1">
        <v>1.7176E-2</v>
      </c>
      <c r="C862" s="1">
        <v>3.3165E-3</v>
      </c>
      <c r="D862" s="1">
        <v>2.4768999999999999E-2</v>
      </c>
      <c r="E862" s="1">
        <v>1.9188E-2</v>
      </c>
      <c r="F862" s="1">
        <v>1.6636E-6</v>
      </c>
      <c r="G862" s="1">
        <v>6.7855999999999996</v>
      </c>
      <c r="H862" s="1">
        <v>1.6892999999999999E-7</v>
      </c>
      <c r="I862" s="1">
        <f t="shared" si="117"/>
        <v>1.6892999999999999E-7</v>
      </c>
      <c r="J862" s="4">
        <f t="shared" si="118"/>
        <v>-1.6551244720322905E-8</v>
      </c>
      <c r="K862" s="4">
        <f t="shared" si="119"/>
        <v>-2.4679491729028337E-8</v>
      </c>
      <c r="L862" s="4">
        <f t="shared" si="120"/>
        <v>-7.9291787791968048E-9</v>
      </c>
      <c r="M862" s="4">
        <f t="shared" si="122"/>
        <v>-8.4170121846970734E-9</v>
      </c>
      <c r="N862" s="5">
        <f t="shared" si="123"/>
        <v>5.9831245423281134E-8</v>
      </c>
      <c r="O862" s="5">
        <f t="shared" si="124"/>
        <v>1.2659037256390551E-6</v>
      </c>
      <c r="P862" s="5">
        <f t="shared" si="125"/>
        <v>4.742650289376643E-7</v>
      </c>
      <c r="Q862" s="1">
        <f t="shared" si="121"/>
        <v>1.8000000000000006E-6</v>
      </c>
    </row>
    <row r="863" spans="1:17" x14ac:dyDescent="0.25">
      <c r="A863" s="1">
        <v>43.05</v>
      </c>
      <c r="B863" s="1">
        <v>1.7141E-2</v>
      </c>
      <c r="C863" s="1">
        <v>3.3100999999999998E-3</v>
      </c>
      <c r="D863" s="1">
        <v>2.479E-2</v>
      </c>
      <c r="E863" s="1">
        <v>1.9143E-2</v>
      </c>
      <c r="F863" s="1">
        <v>1.6612000000000001E-6</v>
      </c>
      <c r="G863" s="1">
        <v>6.7854000000000001</v>
      </c>
      <c r="H863" s="1">
        <v>1.6899999999999999E-7</v>
      </c>
      <c r="I863" s="1">
        <f t="shared" si="117"/>
        <v>1.6899999999999999E-7</v>
      </c>
      <c r="J863" s="4">
        <f t="shared" si="118"/>
        <v>-1.6558685834662384E-8</v>
      </c>
      <c r="K863" s="4">
        <f t="shared" si="119"/>
        <v>-2.4685122649960169E-8</v>
      </c>
      <c r="L863" s="4">
        <f t="shared" si="120"/>
        <v>-7.9260126517872834E-9</v>
      </c>
      <c r="M863" s="4">
        <f t="shared" si="122"/>
        <v>-8.4123470905356833E-9</v>
      </c>
      <c r="N863" s="5">
        <f t="shared" si="123"/>
        <v>6.0031669586791638E-8</v>
      </c>
      <c r="O863" s="5">
        <f t="shared" si="124"/>
        <v>1.2661896359142931E-6</v>
      </c>
      <c r="P863" s="5">
        <f t="shared" si="125"/>
        <v>4.7377869449891593E-7</v>
      </c>
      <c r="Q863" s="1">
        <f t="shared" si="121"/>
        <v>1.8000000000000008E-6</v>
      </c>
    </row>
    <row r="864" spans="1:17" x14ac:dyDescent="0.25">
      <c r="A864" s="1">
        <v>43.1</v>
      </c>
      <c r="B864" s="1">
        <v>1.7106E-2</v>
      </c>
      <c r="C864" s="1">
        <v>3.3037000000000001E-3</v>
      </c>
      <c r="D864" s="1">
        <v>2.4811E-2</v>
      </c>
      <c r="E864" s="1">
        <v>1.9099000000000001E-2</v>
      </c>
      <c r="F864" s="1">
        <v>1.6587999999999999E-6</v>
      </c>
      <c r="G864" s="1">
        <v>6.7851999999999997</v>
      </c>
      <c r="H864" s="1">
        <v>1.6908E-7</v>
      </c>
      <c r="I864" s="1">
        <f t="shared" si="117"/>
        <v>1.6908E-7</v>
      </c>
      <c r="J864" s="4">
        <f t="shared" si="118"/>
        <v>-1.6566252133061513E-8</v>
      </c>
      <c r="K864" s="4">
        <f t="shared" si="119"/>
        <v>-2.469069790033082E-8</v>
      </c>
      <c r="L864" s="4">
        <f t="shared" si="120"/>
        <v>-7.9224670299799302E-9</v>
      </c>
      <c r="M864" s="4">
        <f t="shared" si="122"/>
        <v>-8.4072029338839804E-9</v>
      </c>
      <c r="N864" s="5">
        <f t="shared" si="123"/>
        <v>6.0233648324081015E-8</v>
      </c>
      <c r="O864" s="5">
        <f t="shared" si="124"/>
        <v>1.2664723930809077E-6</v>
      </c>
      <c r="P864" s="5">
        <f t="shared" si="125"/>
        <v>4.7329395859501194E-7</v>
      </c>
      <c r="Q864" s="1">
        <f t="shared" si="121"/>
        <v>1.8000000000000008E-6</v>
      </c>
    </row>
    <row r="865" spans="1:17" x14ac:dyDescent="0.25">
      <c r="A865" s="1">
        <v>43.15</v>
      </c>
      <c r="B865" s="1">
        <v>1.7069999999999998E-2</v>
      </c>
      <c r="C865" s="1">
        <v>3.2972000000000001E-3</v>
      </c>
      <c r="D865" s="1">
        <v>2.4832E-2</v>
      </c>
      <c r="E865" s="1">
        <v>1.9054000000000001E-2</v>
      </c>
      <c r="F865" s="1">
        <v>1.6563999999999999E-6</v>
      </c>
      <c r="G865" s="1">
        <v>6.7849000000000004</v>
      </c>
      <c r="H865" s="1">
        <v>1.6915999999999999E-7</v>
      </c>
      <c r="I865" s="1">
        <f t="shared" si="117"/>
        <v>1.6915999999999999E-7</v>
      </c>
      <c r="J865" s="4">
        <f t="shared" si="118"/>
        <v>-1.6573995720335865E-8</v>
      </c>
      <c r="K865" s="4">
        <f t="shared" si="119"/>
        <v>-2.46962116650763E-8</v>
      </c>
      <c r="L865" s="4">
        <f t="shared" si="120"/>
        <v>-7.9193934693162722E-9</v>
      </c>
      <c r="M865" s="4">
        <f t="shared" si="122"/>
        <v>-8.4025769645202069E-9</v>
      </c>
      <c r="N865" s="5">
        <f t="shared" si="123"/>
        <v>6.0436470799505171E-8</v>
      </c>
      <c r="O865" s="5">
        <f t="shared" si="124"/>
        <v>1.2667527541006875E-6</v>
      </c>
      <c r="P865" s="5">
        <f t="shared" si="125"/>
        <v>4.7281077509980803E-7</v>
      </c>
      <c r="Q865" s="1">
        <f t="shared" si="121"/>
        <v>1.8000000000000006E-6</v>
      </c>
    </row>
    <row r="866" spans="1:17" x14ac:dyDescent="0.25">
      <c r="A866" s="1">
        <v>43.2</v>
      </c>
      <c r="B866" s="1">
        <v>1.7035000000000002E-2</v>
      </c>
      <c r="C866" s="1">
        <v>3.2908E-3</v>
      </c>
      <c r="D866" s="1">
        <v>2.4853E-2</v>
      </c>
      <c r="E866" s="1">
        <v>1.9009999999999999E-2</v>
      </c>
      <c r="F866" s="1">
        <v>1.654E-6</v>
      </c>
      <c r="G866" s="1">
        <v>6.7847</v>
      </c>
      <c r="H866" s="1">
        <v>1.6924E-7</v>
      </c>
      <c r="I866" s="1">
        <f t="shared" si="117"/>
        <v>1.6924E-7</v>
      </c>
      <c r="J866" s="4">
        <f t="shared" si="118"/>
        <v>-1.6581718549279646E-8</v>
      </c>
      <c r="K866" s="4">
        <f t="shared" si="119"/>
        <v>-2.4701678704965513E-8</v>
      </c>
      <c r="L866" s="4">
        <f t="shared" si="120"/>
        <v>-7.9158685748466178E-9</v>
      </c>
      <c r="M866" s="4">
        <f t="shared" si="122"/>
        <v>-8.3979704251684862E-9</v>
      </c>
      <c r="N866" s="5">
        <f t="shared" si="123"/>
        <v>6.0640562380344428E-8</v>
      </c>
      <c r="O866" s="5">
        <f t="shared" si="124"/>
        <v>1.26703076437017E-6</v>
      </c>
      <c r="P866" s="5">
        <f t="shared" si="125"/>
        <v>4.7232867324948614E-7</v>
      </c>
      <c r="Q866" s="1">
        <f t="shared" si="121"/>
        <v>1.8000000000000006E-6</v>
      </c>
    </row>
    <row r="867" spans="1:17" x14ac:dyDescent="0.25">
      <c r="A867" s="1">
        <v>43.25</v>
      </c>
      <c r="B867" s="1">
        <v>1.7000000000000001E-2</v>
      </c>
      <c r="C867" s="1">
        <v>3.2843999999999998E-3</v>
      </c>
      <c r="D867" s="1">
        <v>2.4874E-2</v>
      </c>
      <c r="E867" s="1">
        <v>1.8964999999999999E-2</v>
      </c>
      <c r="F867" s="1">
        <v>1.6516E-6</v>
      </c>
      <c r="G867" s="1">
        <v>6.7845000000000004</v>
      </c>
      <c r="H867" s="1">
        <v>1.6931E-7</v>
      </c>
      <c r="I867" s="1">
        <f t="shared" si="117"/>
        <v>1.6931E-7</v>
      </c>
      <c r="J867" s="4">
        <f t="shared" si="118"/>
        <v>-1.6589535675289687E-8</v>
      </c>
      <c r="K867" s="4">
        <f t="shared" si="119"/>
        <v>-2.4707099905216914E-8</v>
      </c>
      <c r="L867" s="4">
        <f t="shared" si="120"/>
        <v>-7.9127772293054221E-9</v>
      </c>
      <c r="M867" s="4">
        <f t="shared" si="122"/>
        <v>-8.3933749893775417E-9</v>
      </c>
      <c r="N867" s="5">
        <f t="shared" si="123"/>
        <v>6.0845349380966232E-8</v>
      </c>
      <c r="O867" s="5">
        <f t="shared" si="124"/>
        <v>1.2673065751296203E-6</v>
      </c>
      <c r="P867" s="5">
        <f t="shared" si="125"/>
        <v>4.7184807548941409E-7</v>
      </c>
      <c r="Q867" s="1">
        <f t="shared" si="121"/>
        <v>1.8000000000000006E-6</v>
      </c>
    </row>
    <row r="868" spans="1:17" x14ac:dyDescent="0.25">
      <c r="A868" s="1">
        <v>43.3</v>
      </c>
      <c r="B868" s="1">
        <v>1.6965000000000001E-2</v>
      </c>
      <c r="C868" s="1">
        <v>3.2780000000000001E-3</v>
      </c>
      <c r="D868" s="1">
        <v>2.4893999999999999E-2</v>
      </c>
      <c r="E868" s="1">
        <v>1.8921E-2</v>
      </c>
      <c r="F868" s="1">
        <v>1.6492E-6</v>
      </c>
      <c r="G868" s="1">
        <v>6.7843</v>
      </c>
      <c r="H868" s="1">
        <v>1.6939000000000001E-7</v>
      </c>
      <c r="I868" s="1">
        <f t="shared" si="117"/>
        <v>1.6939000000000001E-7</v>
      </c>
      <c r="J868" s="4">
        <f t="shared" si="118"/>
        <v>-1.6597288289849707E-8</v>
      </c>
      <c r="K868" s="4">
        <f t="shared" si="119"/>
        <v>-2.4712478215026193E-8</v>
      </c>
      <c r="L868" s="4">
        <f t="shared" si="120"/>
        <v>-7.9092118281094E-9</v>
      </c>
      <c r="M868" s="4">
        <f t="shared" si="122"/>
        <v>-8.3883027544163571E-9</v>
      </c>
      <c r="N868" s="5">
        <f t="shared" si="123"/>
        <v>6.1051327478033318E-8</v>
      </c>
      <c r="O868" s="5">
        <f t="shared" si="124"/>
        <v>1.2675796879588602E-6</v>
      </c>
      <c r="P868" s="5">
        <f t="shared" si="125"/>
        <v>4.7136898456310707E-7</v>
      </c>
      <c r="Q868" s="1">
        <f t="shared" si="121"/>
        <v>1.8000000000000006E-6</v>
      </c>
    </row>
    <row r="869" spans="1:17" x14ac:dyDescent="0.25">
      <c r="A869" s="1">
        <v>43.35</v>
      </c>
      <c r="B869" s="1">
        <v>1.6930000000000001E-2</v>
      </c>
      <c r="C869" s="1">
        <v>3.2715000000000001E-3</v>
      </c>
      <c r="D869" s="1">
        <v>2.4915E-2</v>
      </c>
      <c r="E869" s="1">
        <v>1.8877000000000001E-2</v>
      </c>
      <c r="F869" s="1">
        <v>1.6468000000000001E-6</v>
      </c>
      <c r="G869" s="1">
        <v>6.7840999999999996</v>
      </c>
      <c r="H869" s="1">
        <v>1.6946999999999999E-7</v>
      </c>
      <c r="I869" s="1">
        <f t="shared" si="117"/>
        <v>1.6946999999999999E-7</v>
      </c>
      <c r="J869" s="4">
        <f t="shared" si="118"/>
        <v>-1.6605110262726741E-8</v>
      </c>
      <c r="K869" s="4">
        <f t="shared" si="119"/>
        <v>-2.4717803915199879E-8</v>
      </c>
      <c r="L869" s="4">
        <f t="shared" si="120"/>
        <v>-7.9060693597888003E-9</v>
      </c>
      <c r="M869" s="4">
        <f t="shared" si="122"/>
        <v>-8.3837451909909103E-9</v>
      </c>
      <c r="N869" s="5">
        <f t="shared" si="123"/>
        <v>6.125795177071766E-8</v>
      </c>
      <c r="O869" s="5">
        <f t="shared" si="124"/>
        <v>1.2678507394973781E-6</v>
      </c>
      <c r="P869" s="5">
        <f t="shared" si="125"/>
        <v>4.7089130873190501E-7</v>
      </c>
      <c r="Q869" s="1">
        <f t="shared" si="121"/>
        <v>1.8000000000000006E-6</v>
      </c>
    </row>
    <row r="870" spans="1:17" x14ac:dyDescent="0.25">
      <c r="A870" s="1">
        <v>43.4</v>
      </c>
      <c r="B870" s="1">
        <v>1.6895E-2</v>
      </c>
      <c r="C870" s="1">
        <v>3.2650999999999999E-3</v>
      </c>
      <c r="D870" s="1">
        <v>2.4936E-2</v>
      </c>
      <c r="E870" s="1">
        <v>1.8832999999999999E-2</v>
      </c>
      <c r="F870" s="1">
        <v>1.6444000000000001E-6</v>
      </c>
      <c r="G870" s="1">
        <v>6.7839</v>
      </c>
      <c r="H870" s="1">
        <v>1.6953999999999999E-7</v>
      </c>
      <c r="I870" s="1">
        <f t="shared" si="117"/>
        <v>1.6953999999999999E-7</v>
      </c>
      <c r="J870" s="4">
        <f t="shared" si="118"/>
        <v>-1.6612851700649676E-8</v>
      </c>
      <c r="K870" s="4">
        <f t="shared" si="119"/>
        <v>-2.4723089420197469E-8</v>
      </c>
      <c r="L870" s="4">
        <f t="shared" si="120"/>
        <v>-7.9028620746030509E-9</v>
      </c>
      <c r="M870" s="4">
        <f t="shared" si="122"/>
        <v>-8.3792047595330978E-9</v>
      </c>
      <c r="N870" s="5">
        <f t="shared" si="123"/>
        <v>6.146532741566241E-8</v>
      </c>
      <c r="O870" s="5">
        <f t="shared" si="124"/>
        <v>1.2681197065373633E-6</v>
      </c>
      <c r="P870" s="5">
        <f t="shared" si="125"/>
        <v>4.7041496604697492E-7</v>
      </c>
      <c r="Q870" s="1">
        <f t="shared" si="121"/>
        <v>1.8000000000000006E-6</v>
      </c>
    </row>
    <row r="871" spans="1:17" x14ac:dyDescent="0.25">
      <c r="A871" s="1">
        <v>43.45</v>
      </c>
      <c r="B871" s="1">
        <v>1.6861000000000001E-2</v>
      </c>
      <c r="C871" s="1">
        <v>3.2586E-3</v>
      </c>
      <c r="D871" s="1">
        <v>2.4955999999999999E-2</v>
      </c>
      <c r="E871" s="1">
        <v>1.8789E-2</v>
      </c>
      <c r="F871" s="1">
        <v>1.6418999999999999E-6</v>
      </c>
      <c r="G871" s="1">
        <v>6.7835999999999999</v>
      </c>
      <c r="H871" s="1">
        <v>1.6962000000000001E-7</v>
      </c>
      <c r="I871" s="1">
        <f t="shared" si="117"/>
        <v>1.6962000000000001E-7</v>
      </c>
      <c r="J871" s="4">
        <f t="shared" si="118"/>
        <v>-1.6620540219118142E-8</v>
      </c>
      <c r="K871" s="4">
        <f t="shared" si="119"/>
        <v>-2.472833427748069E-8</v>
      </c>
      <c r="L871" s="4">
        <f t="shared" si="120"/>
        <v>-7.8996030824532084E-9</v>
      </c>
      <c r="M871" s="4">
        <f t="shared" si="122"/>
        <v>-8.3741861010791473E-9</v>
      </c>
      <c r="N871" s="5">
        <f t="shared" si="123"/>
        <v>6.167351839157175E-8</v>
      </c>
      <c r="O871" s="5">
        <f t="shared" si="124"/>
        <v>1.2683860985800799E-6</v>
      </c>
      <c r="P871" s="5">
        <f t="shared" si="125"/>
        <v>4.6994038302834903E-7</v>
      </c>
      <c r="Q871" s="1">
        <f t="shared" si="121"/>
        <v>1.8000000000000006E-6</v>
      </c>
    </row>
    <row r="872" spans="1:17" x14ac:dyDescent="0.25">
      <c r="A872" s="1">
        <v>43.5</v>
      </c>
      <c r="B872" s="1">
        <v>1.6826000000000001E-2</v>
      </c>
      <c r="C872" s="1">
        <v>3.2521999999999998E-3</v>
      </c>
      <c r="D872" s="1">
        <v>2.4976999999999999E-2</v>
      </c>
      <c r="E872" s="1">
        <v>1.8745000000000001E-2</v>
      </c>
      <c r="F872" s="1">
        <v>1.6394999999999999E-6</v>
      </c>
      <c r="G872" s="1">
        <v>6.7834000000000003</v>
      </c>
      <c r="H872" s="1">
        <v>1.6969999999999999E-7</v>
      </c>
      <c r="I872" s="1">
        <f t="shared" si="117"/>
        <v>1.6969999999999999E-7</v>
      </c>
      <c r="J872" s="4">
        <f t="shared" si="118"/>
        <v>-1.6626166707397957E-8</v>
      </c>
      <c r="K872" s="4">
        <f t="shared" si="119"/>
        <v>-2.4733528922310152E-8</v>
      </c>
      <c r="L872" s="4">
        <f t="shared" si="120"/>
        <v>-7.8958191241914614E-9</v>
      </c>
      <c r="M872" s="4">
        <f t="shared" si="122"/>
        <v>-8.3696852157727233E-9</v>
      </c>
      <c r="N872" s="5">
        <f t="shared" si="123"/>
        <v>6.1885061482292484E-8</v>
      </c>
      <c r="O872" s="5">
        <f t="shared" si="124"/>
        <v>1.2686484215809405E-6</v>
      </c>
      <c r="P872" s="5">
        <f t="shared" si="125"/>
        <v>4.6946651693676777E-7</v>
      </c>
      <c r="Q872" s="1">
        <f t="shared" si="121"/>
        <v>1.8000000000000008E-6</v>
      </c>
    </row>
    <row r="873" spans="1:17" x14ac:dyDescent="0.25">
      <c r="A873" s="1">
        <v>43.55</v>
      </c>
      <c r="B873" s="1">
        <v>1.6791E-2</v>
      </c>
      <c r="C873" s="1">
        <v>3.2456999999999998E-3</v>
      </c>
      <c r="D873" s="1">
        <v>2.4996999999999998E-2</v>
      </c>
      <c r="E873" s="1">
        <v>1.8700999999999999E-2</v>
      </c>
      <c r="F873" s="1">
        <v>1.637E-6</v>
      </c>
      <c r="G873" s="1">
        <v>6.7831999999999999</v>
      </c>
      <c r="H873" s="1">
        <v>1.6976999999999999E-7</v>
      </c>
      <c r="I873" s="1">
        <f t="shared" si="117"/>
        <v>1.6976999999999999E-7</v>
      </c>
      <c r="J873" s="4">
        <f t="shared" si="118"/>
        <v>-1.6634458533319881E-8</v>
      </c>
      <c r="K873" s="4">
        <f t="shared" si="119"/>
        <v>-2.4738644220826932E-8</v>
      </c>
      <c r="L873" s="4">
        <f t="shared" si="120"/>
        <v>-7.8927943861505768E-9</v>
      </c>
      <c r="M873" s="4">
        <f t="shared" si="122"/>
        <v>-8.3651891320373204E-9</v>
      </c>
      <c r="N873" s="5">
        <f t="shared" si="123"/>
        <v>6.2096452783648956E-8</v>
      </c>
      <c r="O873" s="5">
        <f t="shared" si="124"/>
        <v>1.2689094250254707E-6</v>
      </c>
      <c r="P873" s="5">
        <f t="shared" si="125"/>
        <v>4.6899412219088104E-7</v>
      </c>
      <c r="Q873" s="1">
        <f t="shared" si="121"/>
        <v>1.8000000000000006E-6</v>
      </c>
    </row>
    <row r="874" spans="1:17" x14ac:dyDescent="0.25">
      <c r="A874" s="1">
        <v>43.6</v>
      </c>
      <c r="B874" s="1">
        <v>1.6757000000000001E-2</v>
      </c>
      <c r="C874" s="1">
        <v>3.2393000000000001E-3</v>
      </c>
      <c r="D874" s="1">
        <v>2.5017999999999999E-2</v>
      </c>
      <c r="E874" s="1">
        <v>1.8657E-2</v>
      </c>
      <c r="F874" s="1">
        <v>1.6346E-6</v>
      </c>
      <c r="G874" s="1">
        <v>6.7830000000000004</v>
      </c>
      <c r="H874" s="1">
        <v>1.6985E-7</v>
      </c>
      <c r="I874" s="1">
        <f t="shared" si="117"/>
        <v>1.6985E-7</v>
      </c>
      <c r="J874" s="4">
        <f t="shared" si="118"/>
        <v>-1.6640414917960037E-8</v>
      </c>
      <c r="K874" s="4">
        <f t="shared" si="119"/>
        <v>-2.4743733787998788E-8</v>
      </c>
      <c r="L874" s="4">
        <f t="shared" si="120"/>
        <v>-7.889117027673782E-9</v>
      </c>
      <c r="M874" s="4">
        <f t="shared" si="122"/>
        <v>-8.3602188730570288E-9</v>
      </c>
      <c r="N874" s="5">
        <f t="shared" si="123"/>
        <v>6.2310654626013924E-8</v>
      </c>
      <c r="O874" s="5">
        <f t="shared" si="124"/>
        <v>1.2691663250284891E-6</v>
      </c>
      <c r="P874" s="5">
        <f t="shared" si="125"/>
        <v>4.6852302034549782E-7</v>
      </c>
      <c r="Q874" s="1">
        <f t="shared" si="121"/>
        <v>1.800000000000001E-6</v>
      </c>
    </row>
    <row r="875" spans="1:17" x14ac:dyDescent="0.25">
      <c r="A875" s="1">
        <v>43.65</v>
      </c>
      <c r="B875" s="1">
        <v>1.6722000000000001E-2</v>
      </c>
      <c r="C875" s="1">
        <v>3.2328000000000001E-3</v>
      </c>
      <c r="D875" s="1">
        <v>2.5038999999999999E-2</v>
      </c>
      <c r="E875" s="1">
        <v>1.8613999999999999E-2</v>
      </c>
      <c r="F875" s="1">
        <v>1.6321E-6</v>
      </c>
      <c r="G875" s="1">
        <v>6.7827999999999999</v>
      </c>
      <c r="H875" s="1">
        <v>1.6992999999999999E-7</v>
      </c>
      <c r="I875" s="1">
        <f t="shared" si="117"/>
        <v>1.6992999999999999E-7</v>
      </c>
      <c r="J875" s="4">
        <f t="shared" si="118"/>
        <v>-1.6648890734607052E-8</v>
      </c>
      <c r="K875" s="4">
        <f t="shared" si="119"/>
        <v>-2.4748743338054131E-8</v>
      </c>
      <c r="L875" s="4">
        <f t="shared" si="120"/>
        <v>-7.8861260914449382E-9</v>
      </c>
      <c r="M875" s="4">
        <f t="shared" si="122"/>
        <v>-8.3557566755962205E-9</v>
      </c>
      <c r="N875" s="5">
        <f t="shared" si="123"/>
        <v>6.2524381138016068E-8</v>
      </c>
      <c r="O875" s="5">
        <f t="shared" si="124"/>
        <v>1.2694222291006382E-6</v>
      </c>
      <c r="P875" s="5">
        <f t="shared" si="125"/>
        <v>4.6805338976134648E-7</v>
      </c>
      <c r="Q875" s="1">
        <f t="shared" si="121"/>
        <v>1.8000000000000008E-6</v>
      </c>
    </row>
    <row r="876" spans="1:17" x14ac:dyDescent="0.25">
      <c r="A876" s="1">
        <v>43.7</v>
      </c>
      <c r="B876" s="1">
        <v>1.6688000000000001E-2</v>
      </c>
      <c r="C876" s="1">
        <v>3.2263000000000001E-3</v>
      </c>
      <c r="D876" s="1">
        <v>2.5059000000000001E-2</v>
      </c>
      <c r="E876" s="1">
        <v>1.857E-2</v>
      </c>
      <c r="F876" s="1">
        <v>1.6296E-6</v>
      </c>
      <c r="G876" s="1">
        <v>6.7826000000000004</v>
      </c>
      <c r="H876" s="1">
        <v>1.6999999999999999E-7</v>
      </c>
      <c r="I876" s="1">
        <f t="shared" si="117"/>
        <v>1.6999999999999999E-7</v>
      </c>
      <c r="J876" s="4">
        <f t="shared" si="118"/>
        <v>-1.6654934589140076E-8</v>
      </c>
      <c r="K876" s="4">
        <f t="shared" si="119"/>
        <v>-2.4753733467464555E-8</v>
      </c>
      <c r="L876" s="4">
        <f t="shared" si="120"/>
        <v>-7.8828628921962585E-9</v>
      </c>
      <c r="M876" s="4">
        <f t="shared" si="122"/>
        <v>-8.3513128148260001E-9</v>
      </c>
      <c r="N876" s="5">
        <f t="shared" si="123"/>
        <v>6.2740317124144275E-8</v>
      </c>
      <c r="O876" s="5">
        <f t="shared" si="124"/>
        <v>1.2696747430371397E-6</v>
      </c>
      <c r="P876" s="5">
        <f t="shared" si="125"/>
        <v>4.6758493983871676E-7</v>
      </c>
      <c r="Q876" s="1">
        <f t="shared" si="121"/>
        <v>1.8000000000000006E-6</v>
      </c>
    </row>
    <row r="877" spans="1:17" x14ac:dyDescent="0.25">
      <c r="A877" s="1">
        <v>43.75</v>
      </c>
      <c r="B877" s="1">
        <v>1.6653000000000001E-2</v>
      </c>
      <c r="C877" s="1">
        <v>3.2198999999999999E-3</v>
      </c>
      <c r="D877" s="1">
        <v>2.5079000000000001E-2</v>
      </c>
      <c r="E877" s="1">
        <v>1.8526999999999998E-2</v>
      </c>
      <c r="F877" s="1">
        <v>1.6272000000000001E-6</v>
      </c>
      <c r="G877" s="1">
        <v>6.7824</v>
      </c>
      <c r="H877" s="1">
        <v>1.7008E-7</v>
      </c>
      <c r="I877" s="1">
        <f t="shared" si="117"/>
        <v>1.7008E-7</v>
      </c>
      <c r="J877" s="4">
        <f t="shared" si="118"/>
        <v>-1.6661294523205032E-8</v>
      </c>
      <c r="K877" s="4">
        <f t="shared" si="119"/>
        <v>-2.4758657489222818E-8</v>
      </c>
      <c r="L877" s="4">
        <f t="shared" si="120"/>
        <v>-7.8793016266449276E-9</v>
      </c>
      <c r="M877" s="4">
        <f t="shared" si="122"/>
        <v>-8.3463911761206189E-9</v>
      </c>
      <c r="N877" s="5">
        <f t="shared" si="123"/>
        <v>6.2958378463517123E-8</v>
      </c>
      <c r="O877" s="5">
        <f t="shared" si="124"/>
        <v>1.2699237712472426E-6</v>
      </c>
      <c r="P877" s="5">
        <f t="shared" si="125"/>
        <v>4.6711785028924105E-7</v>
      </c>
      <c r="Q877" s="1">
        <f t="shared" si="121"/>
        <v>1.8000000000000008E-6</v>
      </c>
    </row>
    <row r="878" spans="1:17" x14ac:dyDescent="0.25">
      <c r="A878" s="1">
        <v>43.8</v>
      </c>
      <c r="B878" s="1">
        <v>1.6618999999999998E-2</v>
      </c>
      <c r="C878" s="1">
        <v>3.2133999999999999E-3</v>
      </c>
      <c r="D878" s="1">
        <v>2.5100000000000001E-2</v>
      </c>
      <c r="E878" s="1">
        <v>1.8482999999999999E-2</v>
      </c>
      <c r="F878" s="1">
        <v>1.6247000000000001E-6</v>
      </c>
      <c r="G878" s="1">
        <v>6.7821999999999996</v>
      </c>
      <c r="H878" s="1">
        <v>1.7016000000000001E-7</v>
      </c>
      <c r="I878" s="1">
        <f t="shared" si="117"/>
        <v>1.7016000000000001E-7</v>
      </c>
      <c r="J878" s="4">
        <f t="shared" si="118"/>
        <v>-1.6669992525478135E-8</v>
      </c>
      <c r="K878" s="4">
        <f t="shared" si="119"/>
        <v>-2.4763513539319827E-8</v>
      </c>
      <c r="L878" s="4">
        <f t="shared" si="120"/>
        <v>-7.8767609931542747E-9</v>
      </c>
      <c r="M878" s="4">
        <f t="shared" si="122"/>
        <v>-8.3419774176049071E-9</v>
      </c>
      <c r="N878" s="5">
        <f t="shared" si="123"/>
        <v>6.317513848420455E-8</v>
      </c>
      <c r="O878" s="5">
        <f t="shared" si="124"/>
        <v>1.2701722276510057E-6</v>
      </c>
      <c r="P878" s="5">
        <f t="shared" si="125"/>
        <v>4.6665263386479039E-7</v>
      </c>
      <c r="Q878" s="1">
        <f t="shared" si="121"/>
        <v>1.8000000000000006E-6</v>
      </c>
    </row>
    <row r="879" spans="1:17" x14ac:dyDescent="0.25">
      <c r="A879" s="1">
        <v>43.85</v>
      </c>
      <c r="B879" s="1">
        <v>1.6584999999999999E-2</v>
      </c>
      <c r="C879" s="1">
        <v>3.2068999999999999E-3</v>
      </c>
      <c r="D879" s="1">
        <v>2.512E-2</v>
      </c>
      <c r="E879" s="1">
        <v>1.8440000000000002E-2</v>
      </c>
      <c r="F879" s="1">
        <v>1.6221999999999999E-6</v>
      </c>
      <c r="G879" s="1">
        <v>6.782</v>
      </c>
      <c r="H879" s="1">
        <v>1.7023000000000001E-7</v>
      </c>
      <c r="I879" s="1">
        <f t="shared" si="117"/>
        <v>1.7023000000000001E-7</v>
      </c>
      <c r="J879" s="4">
        <f t="shared" si="118"/>
        <v>-1.6676025998560727E-8</v>
      </c>
      <c r="K879" s="4">
        <f t="shared" si="119"/>
        <v>-2.4768358439196723E-8</v>
      </c>
      <c r="L879" s="4">
        <f t="shared" si="120"/>
        <v>-7.8729944137705474E-9</v>
      </c>
      <c r="M879" s="4">
        <f t="shared" si="122"/>
        <v>-8.3375892787361491E-9</v>
      </c>
      <c r="N879" s="5">
        <f t="shared" si="123"/>
        <v>6.3394476511069992E-8</v>
      </c>
      <c r="O879" s="5">
        <f t="shared" si="124"/>
        <v>1.2704174844891059E-6</v>
      </c>
      <c r="P879" s="5">
        <f t="shared" si="125"/>
        <v>4.6618803899982477E-7</v>
      </c>
      <c r="Q879" s="1">
        <f t="shared" si="121"/>
        <v>1.8000000000000006E-6</v>
      </c>
    </row>
    <row r="880" spans="1:17" x14ac:dyDescent="0.25">
      <c r="A880" s="1">
        <v>43.9</v>
      </c>
      <c r="B880" s="1">
        <v>1.6551E-2</v>
      </c>
      <c r="C880" s="1">
        <v>3.2003999999999999E-3</v>
      </c>
      <c r="D880" s="1">
        <v>2.5141E-2</v>
      </c>
      <c r="E880" s="1">
        <v>1.8395999999999999E-2</v>
      </c>
      <c r="F880" s="1">
        <v>1.6196999999999999E-6</v>
      </c>
      <c r="G880" s="1">
        <v>6.7816999999999998</v>
      </c>
      <c r="H880" s="1">
        <v>1.7030999999999999E-7</v>
      </c>
      <c r="I880" s="1">
        <f t="shared" si="117"/>
        <v>1.7030999999999999E-7</v>
      </c>
      <c r="J880" s="4">
        <f t="shared" si="118"/>
        <v>-1.6682464681347981E-8</v>
      </c>
      <c r="K880" s="4">
        <f t="shared" si="119"/>
        <v>-2.477314094753616E-8</v>
      </c>
      <c r="L880" s="4">
        <f t="shared" si="120"/>
        <v>-7.8698205659279717E-9</v>
      </c>
      <c r="M880" s="4">
        <f t="shared" si="122"/>
        <v>-8.3327149372882442E-9</v>
      </c>
      <c r="N880" s="5">
        <f t="shared" si="123"/>
        <v>6.3615332211330198E-8</v>
      </c>
      <c r="O880" s="5">
        <f t="shared" si="124"/>
        <v>1.2706595231602059E-6</v>
      </c>
      <c r="P880" s="5">
        <f t="shared" si="125"/>
        <v>4.657251446284645E-7</v>
      </c>
      <c r="Q880" s="1">
        <f t="shared" si="121"/>
        <v>1.8000000000000006E-6</v>
      </c>
    </row>
    <row r="881" spans="1:17" x14ac:dyDescent="0.25">
      <c r="A881" s="1">
        <v>43.95</v>
      </c>
      <c r="B881" s="1">
        <v>1.6515999999999999E-2</v>
      </c>
      <c r="C881" s="1">
        <v>3.1939999999999998E-3</v>
      </c>
      <c r="D881" s="1">
        <v>2.5160999999999999E-2</v>
      </c>
      <c r="E881" s="1">
        <v>1.8353000000000001E-2</v>
      </c>
      <c r="F881" s="1">
        <v>1.6171999999999999E-6</v>
      </c>
      <c r="G881" s="1">
        <v>6.7815000000000003</v>
      </c>
      <c r="H881" s="1">
        <v>1.7037999999999999E-7</v>
      </c>
      <c r="I881" s="1">
        <f t="shared" si="117"/>
        <v>1.7037999999999999E-7</v>
      </c>
      <c r="J881" s="4">
        <f t="shared" si="118"/>
        <v>-1.6689024947789971E-8</v>
      </c>
      <c r="K881" s="4">
        <f t="shared" si="119"/>
        <v>-2.4777860701626127E-8</v>
      </c>
      <c r="L881" s="4">
        <f t="shared" si="120"/>
        <v>-7.8662524368655226E-9</v>
      </c>
      <c r="M881" s="4">
        <f t="shared" si="122"/>
        <v>-8.3283531850764577E-9</v>
      </c>
      <c r="N881" s="5">
        <f t="shared" si="123"/>
        <v>6.383791552830083E-8</v>
      </c>
      <c r="O881" s="5">
        <f t="shared" si="124"/>
        <v>1.2708990405914464E-6</v>
      </c>
      <c r="P881" s="5">
        <f t="shared" si="125"/>
        <v>4.6526304388025358E-7</v>
      </c>
      <c r="Q881" s="1">
        <f t="shared" si="121"/>
        <v>1.8000000000000006E-6</v>
      </c>
    </row>
    <row r="882" spans="1:17" x14ac:dyDescent="0.25">
      <c r="A882" s="1">
        <v>44</v>
      </c>
      <c r="B882" s="1">
        <v>1.6482E-2</v>
      </c>
      <c r="C882" s="1">
        <v>3.1874999999999998E-3</v>
      </c>
      <c r="D882" s="1">
        <v>2.5180999999999999E-2</v>
      </c>
      <c r="E882" s="1">
        <v>1.831E-2</v>
      </c>
      <c r="F882" s="1">
        <v>1.6147E-6</v>
      </c>
      <c r="G882" s="1">
        <v>6.7812999999999999</v>
      </c>
      <c r="H882" s="1">
        <v>1.7046000000000001E-7</v>
      </c>
      <c r="I882" s="1">
        <f t="shared" si="117"/>
        <v>1.7046000000000001E-7</v>
      </c>
      <c r="J882" s="4">
        <f t="shared" si="118"/>
        <v>-1.6695758843204823E-8</v>
      </c>
      <c r="K882" s="4">
        <f t="shared" si="119"/>
        <v>-2.4782531291531794E-8</v>
      </c>
      <c r="L882" s="4">
        <f t="shared" si="120"/>
        <v>-7.8631686711894199E-9</v>
      </c>
      <c r="M882" s="4">
        <f t="shared" si="122"/>
        <v>-8.3235093287128748E-9</v>
      </c>
      <c r="N882" s="5">
        <f t="shared" si="123"/>
        <v>6.4061519305438384E-8</v>
      </c>
      <c r="O882" s="5">
        <f t="shared" si="124"/>
        <v>1.2711357774718322E-6</v>
      </c>
      <c r="P882" s="5">
        <f t="shared" si="125"/>
        <v>4.6480270322273011E-7</v>
      </c>
      <c r="Q882" s="1">
        <f t="shared" si="121"/>
        <v>1.8000000000000006E-6</v>
      </c>
    </row>
    <row r="883" spans="1:17" x14ac:dyDescent="0.25">
      <c r="A883" s="1">
        <v>44.05</v>
      </c>
      <c r="B883" s="1">
        <v>1.6448000000000001E-2</v>
      </c>
      <c r="C883" s="1">
        <v>3.1809999999999998E-3</v>
      </c>
      <c r="D883" s="1">
        <v>2.5201000000000001E-2</v>
      </c>
      <c r="E883" s="1">
        <v>1.8266999999999999E-2</v>
      </c>
      <c r="F883" s="1">
        <v>1.6122E-6</v>
      </c>
      <c r="G883" s="1">
        <v>6.7811000000000003</v>
      </c>
      <c r="H883" s="1">
        <v>1.7053000000000001E-7</v>
      </c>
      <c r="I883" s="1">
        <f t="shared" si="117"/>
        <v>1.7053000000000001E-7</v>
      </c>
      <c r="J883" s="4">
        <f t="shared" si="118"/>
        <v>-1.6702478634374731E-8</v>
      </c>
      <c r="K883" s="4">
        <f t="shared" si="119"/>
        <v>-2.478714766069932E-8</v>
      </c>
      <c r="L883" s="4">
        <f t="shared" si="120"/>
        <v>-7.8600538350833912E-9</v>
      </c>
      <c r="M883" s="4">
        <f t="shared" si="122"/>
        <v>-8.3191782230909177E-9</v>
      </c>
      <c r="N883" s="5">
        <f t="shared" si="123"/>
        <v>6.4286134496679587E-8</v>
      </c>
      <c r="O883" s="5">
        <f t="shared" si="124"/>
        <v>1.2713702866685987E-6</v>
      </c>
      <c r="P883" s="5">
        <f t="shared" si="125"/>
        <v>4.6434357883472259E-7</v>
      </c>
      <c r="Q883" s="1">
        <f t="shared" si="121"/>
        <v>1.800000000000001E-6</v>
      </c>
    </row>
    <row r="884" spans="1:17" x14ac:dyDescent="0.25">
      <c r="A884" s="1">
        <v>44.1</v>
      </c>
      <c r="B884" s="1">
        <v>1.6414999999999999E-2</v>
      </c>
      <c r="C884" s="1">
        <v>3.1744999999999998E-3</v>
      </c>
      <c r="D884" s="1">
        <v>2.5222000000000001E-2</v>
      </c>
      <c r="E884" s="1">
        <v>1.8224000000000001E-2</v>
      </c>
      <c r="F884" s="1">
        <v>1.6097E-6</v>
      </c>
      <c r="G884" s="1">
        <v>6.7808999999999999</v>
      </c>
      <c r="H884" s="1">
        <v>1.7060999999999999E-7</v>
      </c>
      <c r="I884" s="1">
        <f t="shared" si="117"/>
        <v>1.7060999999999999E-7</v>
      </c>
      <c r="J884" s="4">
        <f t="shared" si="118"/>
        <v>-1.6709180335052285E-8</v>
      </c>
      <c r="K884" s="4">
        <f t="shared" si="119"/>
        <v>-2.4791720590039787E-8</v>
      </c>
      <c r="L884" s="4">
        <f t="shared" si="120"/>
        <v>-7.8569059564487061E-9</v>
      </c>
      <c r="M884" s="4">
        <f t="shared" si="122"/>
        <v>-8.3143736023626603E-9</v>
      </c>
      <c r="N884" s="5">
        <f t="shared" si="123"/>
        <v>6.4511768795218375E-8</v>
      </c>
      <c r="O884" s="5">
        <f t="shared" si="124"/>
        <v>1.2716021200159739E-6</v>
      </c>
      <c r="P884" s="5">
        <f t="shared" si="125"/>
        <v>4.6388611118880865E-7</v>
      </c>
      <c r="Q884" s="1">
        <f t="shared" si="121"/>
        <v>1.800000000000001E-6</v>
      </c>
    </row>
    <row r="885" spans="1:17" x14ac:dyDescent="0.25">
      <c r="A885" s="1">
        <v>44.15</v>
      </c>
      <c r="B885" s="1">
        <v>1.6381E-2</v>
      </c>
      <c r="C885" s="1">
        <v>3.1679999999999998E-3</v>
      </c>
      <c r="D885" s="1">
        <v>2.5242000000000001E-2</v>
      </c>
      <c r="E885" s="1">
        <v>1.8180999999999999E-2</v>
      </c>
      <c r="F885" s="1">
        <v>1.6071E-6</v>
      </c>
      <c r="G885" s="1">
        <v>6.7807000000000004</v>
      </c>
      <c r="H885" s="1">
        <v>1.7067999999999999E-7</v>
      </c>
      <c r="I885" s="1">
        <f t="shared" si="117"/>
        <v>1.7067999999999999E-7</v>
      </c>
      <c r="J885" s="4">
        <f t="shared" si="118"/>
        <v>-1.6715864333147904E-8</v>
      </c>
      <c r="K885" s="4">
        <f t="shared" si="119"/>
        <v>-2.4796241340310081E-8</v>
      </c>
      <c r="L885" s="4">
        <f t="shared" si="120"/>
        <v>-7.8537251237512758E-9</v>
      </c>
      <c r="M885" s="4">
        <f t="shared" si="122"/>
        <v>-8.310078990141405E-9</v>
      </c>
      <c r="N885" s="5">
        <f t="shared" si="123"/>
        <v>6.4738420678629267E-8</v>
      </c>
      <c r="O885" s="5">
        <f t="shared" si="124"/>
        <v>1.2718318219989531E-6</v>
      </c>
      <c r="P885" s="5">
        <f t="shared" si="125"/>
        <v>4.6342975732241852E-7</v>
      </c>
      <c r="Q885" s="1">
        <f t="shared" si="121"/>
        <v>1.800000000000001E-6</v>
      </c>
    </row>
    <row r="886" spans="1:17" x14ac:dyDescent="0.25">
      <c r="A886" s="1">
        <v>44.2</v>
      </c>
      <c r="B886" s="1">
        <v>1.6347E-2</v>
      </c>
      <c r="C886" s="1">
        <v>3.1614999999999998E-3</v>
      </c>
      <c r="D886" s="1">
        <v>2.5262E-2</v>
      </c>
      <c r="E886" s="1">
        <v>1.8138000000000001E-2</v>
      </c>
      <c r="F886" s="1">
        <v>1.6046000000000001E-6</v>
      </c>
      <c r="G886" s="1">
        <v>6.7805</v>
      </c>
      <c r="H886" s="1">
        <v>1.7076E-7</v>
      </c>
      <c r="I886" s="1">
        <f t="shared" si="117"/>
        <v>1.7076E-7</v>
      </c>
      <c r="J886" s="4">
        <f t="shared" si="118"/>
        <v>-1.6720447731891008E-8</v>
      </c>
      <c r="K886" s="4">
        <f t="shared" si="119"/>
        <v>-2.4800720528981706E-8</v>
      </c>
      <c r="L886" s="4">
        <f t="shared" si="120"/>
        <v>-7.8500218398734865E-9</v>
      </c>
      <c r="M886" s="4">
        <f t="shared" si="122"/>
        <v>-8.3053100528786987E-9</v>
      </c>
      <c r="N886" s="5">
        <f t="shared" si="123"/>
        <v>6.4968671635846486E-8</v>
      </c>
      <c r="O886" s="5">
        <f t="shared" si="124"/>
        <v>1.2720568592547413E-6</v>
      </c>
      <c r="P886" s="5">
        <f t="shared" si="125"/>
        <v>4.6297446910941329E-7</v>
      </c>
      <c r="Q886" s="1">
        <f t="shared" si="121"/>
        <v>1.800000000000001E-6</v>
      </c>
    </row>
    <row r="887" spans="1:17" x14ac:dyDescent="0.25">
      <c r="A887" s="1">
        <v>44.25</v>
      </c>
      <c r="B887" s="1">
        <v>1.6313000000000001E-2</v>
      </c>
      <c r="C887" s="1">
        <v>3.1549999999999998E-3</v>
      </c>
      <c r="D887" s="1">
        <v>2.5281999999999999E-2</v>
      </c>
      <c r="E887" s="1">
        <v>1.8095E-2</v>
      </c>
      <c r="F887" s="1">
        <v>1.6021000000000001E-6</v>
      </c>
      <c r="G887" s="1">
        <v>6.7803000000000004</v>
      </c>
      <c r="H887" s="1">
        <v>1.7083E-7</v>
      </c>
      <c r="I887" s="1">
        <f t="shared" si="117"/>
        <v>1.7083E-7</v>
      </c>
      <c r="J887" s="4">
        <f t="shared" si="118"/>
        <v>-1.67277512971329E-8</v>
      </c>
      <c r="K887" s="4">
        <f t="shared" si="119"/>
        <v>-2.4805108755466046E-8</v>
      </c>
      <c r="L887" s="4">
        <f t="shared" si="120"/>
        <v>-7.8470834168247271E-9</v>
      </c>
      <c r="M887" s="4">
        <f t="shared" si="122"/>
        <v>-8.3010396362374877E-9</v>
      </c>
      <c r="N887" s="5">
        <f t="shared" si="123"/>
        <v>6.519894567735491E-8</v>
      </c>
      <c r="O887" s="5">
        <f t="shared" si="124"/>
        <v>1.2722805414326457E-6</v>
      </c>
      <c r="P887" s="5">
        <f t="shared" si="125"/>
        <v>4.6252051289000054E-7</v>
      </c>
      <c r="Q887" s="1">
        <f t="shared" si="121"/>
        <v>1.8000000000000012E-6</v>
      </c>
    </row>
    <row r="888" spans="1:17" x14ac:dyDescent="0.25">
      <c r="A888" s="1">
        <v>44.3</v>
      </c>
      <c r="B888" s="1">
        <v>1.6279999999999999E-2</v>
      </c>
      <c r="C888" s="1">
        <v>3.1484999999999998E-3</v>
      </c>
      <c r="D888" s="1">
        <v>2.5302000000000002E-2</v>
      </c>
      <c r="E888" s="1">
        <v>1.8053E-2</v>
      </c>
      <c r="F888" s="1">
        <v>1.5995000000000001E-6</v>
      </c>
      <c r="G888" s="1">
        <v>6.7801</v>
      </c>
      <c r="H888" s="1">
        <v>1.7091000000000001E-7</v>
      </c>
      <c r="I888" s="1">
        <f t="shared" si="117"/>
        <v>1.7091000000000001E-7</v>
      </c>
      <c r="J888" s="4">
        <f t="shared" si="118"/>
        <v>-1.6734772537632135E-8</v>
      </c>
      <c r="K888" s="4">
        <f t="shared" si="119"/>
        <v>-2.4809470557935184E-8</v>
      </c>
      <c r="L888" s="4">
        <f t="shared" si="120"/>
        <v>-7.8439872207357949E-9</v>
      </c>
      <c r="M888" s="4">
        <f t="shared" si="122"/>
        <v>-8.2962998177844013E-9</v>
      </c>
      <c r="N888" s="5">
        <f t="shared" si="123"/>
        <v>6.5429656476922159E-8</v>
      </c>
      <c r="O888" s="5">
        <f t="shared" si="124"/>
        <v>1.2725021432301271E-6</v>
      </c>
      <c r="P888" s="5">
        <f t="shared" si="125"/>
        <v>4.6206820029295195E-7</v>
      </c>
      <c r="Q888" s="1">
        <f t="shared" si="121"/>
        <v>1.8000000000000012E-6</v>
      </c>
    </row>
    <row r="889" spans="1:17" x14ac:dyDescent="0.25">
      <c r="A889" s="1">
        <v>44.35</v>
      </c>
      <c r="B889" s="1">
        <v>1.6246E-2</v>
      </c>
      <c r="C889" s="1">
        <v>3.1419999999999998E-3</v>
      </c>
      <c r="D889" s="1">
        <v>2.5322000000000001E-2</v>
      </c>
      <c r="E889" s="1">
        <v>1.8010000000000002E-2</v>
      </c>
      <c r="F889" s="1">
        <v>1.5969999999999999E-6</v>
      </c>
      <c r="G889" s="1">
        <v>6.7798999999999996</v>
      </c>
      <c r="H889" s="1">
        <v>1.7098000000000001E-7</v>
      </c>
      <c r="I889" s="1">
        <f t="shared" si="117"/>
        <v>1.7098000000000001E-7</v>
      </c>
      <c r="J889" s="4">
        <f t="shared" si="118"/>
        <v>-1.6739524948798603E-8</v>
      </c>
      <c r="K889" s="4">
        <f t="shared" si="119"/>
        <v>-2.4813791792989594E-8</v>
      </c>
      <c r="L889" s="4">
        <f t="shared" si="120"/>
        <v>-7.8407275535338799E-9</v>
      </c>
      <c r="M889" s="4">
        <f t="shared" si="122"/>
        <v>-8.2920679917678912E-9</v>
      </c>
      <c r="N889" s="5">
        <f t="shared" si="123"/>
        <v>6.5663195767579261E-8</v>
      </c>
      <c r="O889" s="5">
        <f t="shared" si="124"/>
        <v>1.2727199443777041E-6</v>
      </c>
      <c r="P889" s="5">
        <f t="shared" si="125"/>
        <v>4.6161685985471793E-7</v>
      </c>
      <c r="Q889" s="1">
        <f t="shared" si="121"/>
        <v>1.8000000000000012E-6</v>
      </c>
    </row>
    <row r="890" spans="1:17" x14ac:dyDescent="0.25">
      <c r="A890" s="1">
        <v>44.4</v>
      </c>
      <c r="B890" s="1">
        <v>1.6213000000000002E-2</v>
      </c>
      <c r="C890" s="1">
        <v>3.1354999999999998E-3</v>
      </c>
      <c r="D890" s="1">
        <v>2.5342E-2</v>
      </c>
      <c r="E890" s="1">
        <v>1.7967E-2</v>
      </c>
      <c r="F890" s="1">
        <v>1.5943999999999999E-6</v>
      </c>
      <c r="G890" s="1">
        <v>6.7797000000000001</v>
      </c>
      <c r="H890" s="1">
        <v>1.7106E-7</v>
      </c>
      <c r="I890" s="1">
        <f t="shared" si="117"/>
        <v>1.7106E-7</v>
      </c>
      <c r="J890" s="4">
        <f t="shared" si="118"/>
        <v>-1.6746800545438651E-8</v>
      </c>
      <c r="K890" s="4">
        <f t="shared" si="119"/>
        <v>-2.4818038915363823E-8</v>
      </c>
      <c r="L890" s="4">
        <f t="shared" si="120"/>
        <v>-7.8377018971002072E-9</v>
      </c>
      <c r="M890" s="4">
        <f t="shared" si="122"/>
        <v>-8.2873613232852941E-9</v>
      </c>
      <c r="N890" s="5">
        <f t="shared" si="123"/>
        <v>6.5896732240404221E-8</v>
      </c>
      <c r="O890" s="5">
        <f t="shared" si="124"/>
        <v>1.2729360673310643E-6</v>
      </c>
      <c r="P890" s="5">
        <f t="shared" si="125"/>
        <v>4.6116720042853281E-7</v>
      </c>
      <c r="Q890" s="1">
        <f t="shared" si="121"/>
        <v>1.8000000000000012E-6</v>
      </c>
    </row>
    <row r="891" spans="1:17" x14ac:dyDescent="0.25">
      <c r="A891" s="1">
        <v>44.45</v>
      </c>
      <c r="B891" s="1">
        <v>1.6178999999999999E-2</v>
      </c>
      <c r="C891" s="1">
        <v>3.1289999999999998E-3</v>
      </c>
      <c r="D891" s="1">
        <v>2.5361999999999999E-2</v>
      </c>
      <c r="E891" s="1">
        <v>1.7925E-2</v>
      </c>
      <c r="F891" s="1">
        <v>1.5919E-6</v>
      </c>
      <c r="G891" s="1">
        <v>6.7794999999999996</v>
      </c>
      <c r="H891" s="1">
        <v>1.7113E-7</v>
      </c>
      <c r="I891" s="1">
        <f t="shared" si="117"/>
        <v>1.7113E-7</v>
      </c>
      <c r="J891" s="4">
        <f t="shared" si="118"/>
        <v>-1.6751683161522408E-8</v>
      </c>
      <c r="K891" s="4">
        <f t="shared" si="119"/>
        <v>-2.4822253312957872E-8</v>
      </c>
      <c r="L891" s="4">
        <f t="shared" si="120"/>
        <v>-7.8340227618963468E-9</v>
      </c>
      <c r="M891" s="4">
        <f t="shared" si="122"/>
        <v>-8.2831624370577139E-9</v>
      </c>
      <c r="N891" s="5">
        <f t="shared" si="123"/>
        <v>6.6133279629943333E-8</v>
      </c>
      <c r="O891" s="5">
        <f t="shared" si="124"/>
        <v>1.2731486596166865E-6</v>
      </c>
      <c r="P891" s="5">
        <f t="shared" si="125"/>
        <v>4.6071806075337145E-7</v>
      </c>
      <c r="Q891" s="1">
        <f t="shared" si="121"/>
        <v>1.8000000000000012E-6</v>
      </c>
    </row>
    <row r="892" spans="1:17" x14ac:dyDescent="0.25">
      <c r="A892" s="1">
        <v>44.5</v>
      </c>
      <c r="B892" s="1">
        <v>1.6146000000000001E-2</v>
      </c>
      <c r="C892" s="1">
        <v>3.1224999999999998E-3</v>
      </c>
      <c r="D892" s="1">
        <v>2.5381999999999998E-2</v>
      </c>
      <c r="E892" s="1">
        <v>1.7883E-2</v>
      </c>
      <c r="F892" s="1">
        <v>1.5893E-6</v>
      </c>
      <c r="G892" s="1">
        <v>6.7793000000000001</v>
      </c>
      <c r="H892" s="1">
        <v>1.712E-7</v>
      </c>
      <c r="I892" s="1">
        <f t="shared" si="117"/>
        <v>1.712E-7</v>
      </c>
      <c r="J892" s="4">
        <f t="shared" si="118"/>
        <v>-1.675913602491138E-8</v>
      </c>
      <c r="K892" s="4">
        <f t="shared" si="119"/>
        <v>-2.4826398862523977E-8</v>
      </c>
      <c r="L892" s="4">
        <f t="shared" si="120"/>
        <v>-7.8314666748735872E-9</v>
      </c>
      <c r="M892" s="4">
        <f t="shared" si="122"/>
        <v>-8.2784815823555967E-9</v>
      </c>
      <c r="N892" s="5">
        <f t="shared" si="123"/>
        <v>6.6369075792682348E-8</v>
      </c>
      <c r="O892" s="5">
        <f t="shared" si="124"/>
        <v>1.2733598783614297E-6</v>
      </c>
      <c r="P892" s="5">
        <f t="shared" si="125"/>
        <v>4.6027104584588941E-7</v>
      </c>
      <c r="Q892" s="1">
        <f t="shared" si="121"/>
        <v>1.8000000000000014E-6</v>
      </c>
    </row>
    <row r="893" spans="1:17" x14ac:dyDescent="0.25">
      <c r="A893" s="1">
        <v>44.55</v>
      </c>
      <c r="B893" s="1">
        <v>1.6112000000000001E-2</v>
      </c>
      <c r="C893" s="1">
        <v>3.1159999999999998E-3</v>
      </c>
      <c r="D893" s="1">
        <v>2.5402000000000001E-2</v>
      </c>
      <c r="E893" s="1">
        <v>1.7840000000000002E-2</v>
      </c>
      <c r="F893" s="1">
        <v>1.5867E-6</v>
      </c>
      <c r="G893" s="1">
        <v>6.7790999999999997</v>
      </c>
      <c r="H893" s="1">
        <v>1.7128000000000001E-7</v>
      </c>
      <c r="I893" s="1">
        <f t="shared" si="117"/>
        <v>1.7128000000000001E-7</v>
      </c>
      <c r="J893" s="4">
        <f t="shared" si="118"/>
        <v>-1.6763995546960334E-8</v>
      </c>
      <c r="K893" s="4">
        <f t="shared" si="119"/>
        <v>-2.4830517628046469E-8</v>
      </c>
      <c r="L893" s="4">
        <f t="shared" si="120"/>
        <v>-7.8281678054496342E-9</v>
      </c>
      <c r="M893" s="4">
        <f t="shared" si="122"/>
        <v>-8.2738323201252378E-9</v>
      </c>
      <c r="N893" s="5">
        <f t="shared" si="123"/>
        <v>6.6607430068318852E-8</v>
      </c>
      <c r="O893" s="5">
        <f t="shared" si="124"/>
        <v>1.2735671886004686E-6</v>
      </c>
      <c r="P893" s="5">
        <f t="shared" si="125"/>
        <v>4.5982538133121379E-7</v>
      </c>
      <c r="Q893" s="1">
        <f t="shared" si="121"/>
        <v>1.8000000000000014E-6</v>
      </c>
    </row>
    <row r="894" spans="1:17" x14ac:dyDescent="0.25">
      <c r="A894" s="1">
        <v>44.6</v>
      </c>
      <c r="B894" s="1">
        <v>1.6079E-2</v>
      </c>
      <c r="C894" s="1">
        <v>3.1094E-3</v>
      </c>
      <c r="D894" s="1">
        <v>2.5422E-2</v>
      </c>
      <c r="E894" s="1">
        <v>1.7798000000000001E-2</v>
      </c>
      <c r="F894" s="1">
        <v>1.5841E-6</v>
      </c>
      <c r="G894" s="1">
        <v>6.7789000000000001</v>
      </c>
      <c r="H894" s="1">
        <v>1.7135000000000001E-7</v>
      </c>
      <c r="I894" s="1">
        <f t="shared" si="117"/>
        <v>1.7135000000000001E-7</v>
      </c>
      <c r="J894" s="4">
        <f t="shared" si="118"/>
        <v>-1.676919909395077E-8</v>
      </c>
      <c r="K894" s="4">
        <f t="shared" si="119"/>
        <v>-2.4834560177711254E-8</v>
      </c>
      <c r="L894" s="4">
        <f t="shared" si="120"/>
        <v>-7.8245693837507985E-9</v>
      </c>
      <c r="M894" s="4">
        <f t="shared" si="122"/>
        <v>-8.269683588013788E-9</v>
      </c>
      <c r="N894" s="5">
        <f t="shared" si="123"/>
        <v>6.684822176832855E-8</v>
      </c>
      <c r="O894" s="5">
        <f t="shared" si="124"/>
        <v>1.2737715111047217E-6</v>
      </c>
      <c r="P894" s="5">
        <f t="shared" si="125"/>
        <v>4.593802671269508E-7</v>
      </c>
      <c r="Q894" s="1">
        <f t="shared" si="121"/>
        <v>1.8000000000000012E-6</v>
      </c>
    </row>
    <row r="895" spans="1:17" x14ac:dyDescent="0.25">
      <c r="A895" s="1">
        <v>44.65</v>
      </c>
      <c r="B895" s="1">
        <v>1.6046000000000001E-2</v>
      </c>
      <c r="C895" s="1">
        <v>3.1029E-3</v>
      </c>
      <c r="D895" s="1">
        <v>2.5441999999999999E-2</v>
      </c>
      <c r="E895" s="1">
        <v>1.7756000000000001E-2</v>
      </c>
      <c r="F895" s="1">
        <v>1.5816E-6</v>
      </c>
      <c r="G895" s="1">
        <v>6.7786999999999997</v>
      </c>
      <c r="H895" s="1">
        <v>1.7142999999999999E-7</v>
      </c>
      <c r="I895" s="1">
        <f t="shared" si="117"/>
        <v>1.7142999999999999E-7</v>
      </c>
      <c r="J895" s="4">
        <f t="shared" si="118"/>
        <v>-1.6774711010228426E-8</v>
      </c>
      <c r="K895" s="4">
        <f t="shared" si="119"/>
        <v>-2.483854446654066E-8</v>
      </c>
      <c r="L895" s="4">
        <f t="shared" si="120"/>
        <v>-7.8215306623583668E-9</v>
      </c>
      <c r="M895" s="4">
        <f t="shared" si="122"/>
        <v>-8.2650549210808477E-9</v>
      </c>
      <c r="N895" s="5">
        <f t="shared" si="123"/>
        <v>6.7090524562282409E-8</v>
      </c>
      <c r="O895" s="5">
        <f t="shared" si="124"/>
        <v>1.2739727325694903E-6</v>
      </c>
      <c r="P895" s="5">
        <f t="shared" si="125"/>
        <v>4.589367428682283E-7</v>
      </c>
      <c r="Q895" s="1">
        <f t="shared" si="121"/>
        <v>1.800000000000001E-6</v>
      </c>
    </row>
    <row r="896" spans="1:17" x14ac:dyDescent="0.25">
      <c r="A896" s="1">
        <v>44.7</v>
      </c>
      <c r="B896" s="1">
        <v>1.6012999999999999E-2</v>
      </c>
      <c r="C896" s="1">
        <v>3.0964E-3</v>
      </c>
      <c r="D896" s="1">
        <v>2.5461999999999999E-2</v>
      </c>
      <c r="E896" s="1">
        <v>1.7714000000000001E-2</v>
      </c>
      <c r="F896" s="1">
        <v>1.579E-6</v>
      </c>
      <c r="G896" s="1">
        <v>6.7784000000000004</v>
      </c>
      <c r="H896" s="1">
        <v>1.7149999999999999E-7</v>
      </c>
      <c r="I896" s="1">
        <f t="shared" si="117"/>
        <v>1.7149999999999999E-7</v>
      </c>
      <c r="J896" s="4">
        <f t="shared" si="118"/>
        <v>-1.6782416696122591E-8</v>
      </c>
      <c r="K896" s="4">
        <f t="shared" si="119"/>
        <v>-2.4842468285107179E-8</v>
      </c>
      <c r="L896" s="4">
        <f t="shared" si="120"/>
        <v>-7.8189975471286266E-9</v>
      </c>
      <c r="M896" s="4">
        <f t="shared" si="122"/>
        <v>-8.2609302121402432E-9</v>
      </c>
      <c r="N896" s="5">
        <f t="shared" si="123"/>
        <v>6.7331578604138376E-8</v>
      </c>
      <c r="O896" s="5">
        <f t="shared" si="124"/>
        <v>1.2741736111926459E-6</v>
      </c>
      <c r="P896" s="5">
        <f t="shared" si="125"/>
        <v>4.5849481020321671E-7</v>
      </c>
      <c r="Q896" s="1">
        <f t="shared" si="121"/>
        <v>1.800000000000001E-6</v>
      </c>
    </row>
    <row r="897" spans="1:17" x14ac:dyDescent="0.25">
      <c r="A897" s="1">
        <v>44.75</v>
      </c>
      <c r="B897" s="1">
        <v>1.5980000000000001E-2</v>
      </c>
      <c r="C897" s="1">
        <v>3.0899E-3</v>
      </c>
      <c r="D897" s="1">
        <v>2.5481E-2</v>
      </c>
      <c r="E897" s="1">
        <v>1.7672E-2</v>
      </c>
      <c r="F897" s="1">
        <v>1.5764000000000001E-6</v>
      </c>
      <c r="G897" s="1">
        <v>6.7782</v>
      </c>
      <c r="H897" s="1">
        <v>1.7156999999999999E-7</v>
      </c>
      <c r="I897" s="1">
        <f t="shared" si="117"/>
        <v>1.7156999999999999E-7</v>
      </c>
      <c r="J897" s="4">
        <f t="shared" si="118"/>
        <v>-1.6787385237055104E-8</v>
      </c>
      <c r="K897" s="4">
        <f t="shared" si="119"/>
        <v>-2.4846385418255185E-8</v>
      </c>
      <c r="L897" s="4">
        <f t="shared" si="120"/>
        <v>-7.81566009924101E-9</v>
      </c>
      <c r="M897" s="4">
        <f t="shared" si="122"/>
        <v>-8.2563452947339553E-9</v>
      </c>
      <c r="N897" s="5">
        <f t="shared" si="123"/>
        <v>6.7574918686097443E-8</v>
      </c>
      <c r="O897" s="5">
        <f t="shared" si="124"/>
        <v>1.2743709563061799E-6</v>
      </c>
      <c r="P897" s="5">
        <f t="shared" si="125"/>
        <v>4.5805412500772376E-7</v>
      </c>
      <c r="Q897" s="1">
        <f t="shared" si="121"/>
        <v>1.800000000000001E-6</v>
      </c>
    </row>
    <row r="898" spans="1:17" x14ac:dyDescent="0.25">
      <c r="A898" s="1">
        <v>44.8</v>
      </c>
      <c r="B898" s="1">
        <v>1.5946999999999999E-2</v>
      </c>
      <c r="C898" s="1">
        <v>3.0834E-3</v>
      </c>
      <c r="D898" s="1">
        <v>2.5500999999999999E-2</v>
      </c>
      <c r="E898" s="1">
        <v>1.763E-2</v>
      </c>
      <c r="F898" s="1">
        <v>1.5738000000000001E-6</v>
      </c>
      <c r="G898" s="1">
        <v>6.7779999999999996</v>
      </c>
      <c r="H898" s="1">
        <v>1.7165000000000001E-7</v>
      </c>
      <c r="I898" s="1">
        <f t="shared" si="117"/>
        <v>1.7165000000000001E-7</v>
      </c>
      <c r="J898" s="4">
        <f t="shared" si="118"/>
        <v>-1.6792617050393723E-8</v>
      </c>
      <c r="K898" s="4">
        <f t="shared" si="119"/>
        <v>-2.4850233647969096E-8</v>
      </c>
      <c r="L898" s="4">
        <f t="shared" si="120"/>
        <v>-7.8124231371188482E-9</v>
      </c>
      <c r="M898" s="4">
        <f t="shared" si="122"/>
        <v>-8.2517763538949229E-9</v>
      </c>
      <c r="N898" s="5">
        <f t="shared" si="123"/>
        <v>6.7820112146553975E-8</v>
      </c>
      <c r="O898" s="5">
        <f t="shared" si="124"/>
        <v>1.2745651160624995E-6</v>
      </c>
      <c r="P898" s="5">
        <f t="shared" si="125"/>
        <v>4.5761477179094764E-7</v>
      </c>
      <c r="Q898" s="1">
        <f t="shared" si="121"/>
        <v>1.8000000000000012E-6</v>
      </c>
    </row>
    <row r="899" spans="1:17" x14ac:dyDescent="0.25">
      <c r="A899" s="1">
        <v>44.85</v>
      </c>
      <c r="B899" s="1">
        <v>1.5914000000000001E-2</v>
      </c>
      <c r="C899" s="1">
        <v>3.0768000000000002E-3</v>
      </c>
      <c r="D899" s="1">
        <v>2.5520999999999999E-2</v>
      </c>
      <c r="E899" s="1">
        <v>1.7587999999999999E-2</v>
      </c>
      <c r="F899" s="1">
        <v>1.5712000000000001E-6</v>
      </c>
      <c r="G899" s="1">
        <v>6.7778</v>
      </c>
      <c r="H899" s="1">
        <v>1.7172000000000001E-7</v>
      </c>
      <c r="I899" s="1">
        <f t="shared" ref="I899:I962" si="126">H899</f>
        <v>1.7172000000000001E-7</v>
      </c>
      <c r="J899" s="4">
        <f t="shared" ref="J899:J962" si="127">(-$T$4*F898^2*N898)*(A899-A898)</f>
        <v>-1.6798000333060729E-8</v>
      </c>
      <c r="K899" s="4">
        <f t="shared" ref="K899:K962" si="128">-O898*$T$7*(A899-A898)</f>
        <v>-2.4854019763220862E-8</v>
      </c>
      <c r="L899" s="4">
        <f t="shared" ref="L899:L962" si="129">-$T$5*F898*E898*(A899-A898)*N898</f>
        <v>-7.8092343078423051E-9</v>
      </c>
      <c r="M899" s="4">
        <f t="shared" si="122"/>
        <v>-8.2477054356819007E-9</v>
      </c>
      <c r="N899" s="5">
        <f t="shared" si="123"/>
        <v>6.8066897268871796E-8</v>
      </c>
      <c r="O899" s="5">
        <f t="shared" si="124"/>
        <v>1.2747568020680213E-6</v>
      </c>
      <c r="P899" s="5">
        <f t="shared" si="125"/>
        <v>4.5717630066310805E-7</v>
      </c>
      <c r="Q899" s="1">
        <f t="shared" ref="Q899:Q962" si="130">N899+O899+P899</f>
        <v>1.8000000000000012E-6</v>
      </c>
    </row>
    <row r="900" spans="1:17" x14ac:dyDescent="0.25">
      <c r="A900" s="1">
        <v>44.9</v>
      </c>
      <c r="B900" s="1">
        <v>1.5880999999999999E-2</v>
      </c>
      <c r="C900" s="1">
        <v>3.0703000000000002E-3</v>
      </c>
      <c r="D900" s="1">
        <v>2.5541000000000001E-2</v>
      </c>
      <c r="E900" s="1">
        <v>1.7545999999999999E-2</v>
      </c>
      <c r="F900" s="1">
        <v>1.5685999999999999E-6</v>
      </c>
      <c r="G900" s="1">
        <v>6.7775999999999996</v>
      </c>
      <c r="H900" s="1">
        <v>1.7179000000000001E-7</v>
      </c>
      <c r="I900" s="1">
        <f t="shared" si="126"/>
        <v>1.7179000000000001E-7</v>
      </c>
      <c r="J900" s="4">
        <f t="shared" si="127"/>
        <v>-1.6803466916327374E-8</v>
      </c>
      <c r="K900" s="4">
        <f t="shared" si="128"/>
        <v>-2.4857757640325001E-8</v>
      </c>
      <c r="L900" s="4">
        <f t="shared" si="129"/>
        <v>-7.8060616784376153E-9</v>
      </c>
      <c r="M900" s="4">
        <f t="shared" ref="M900:M963" si="131">-P899*$T$8*I899*(A900-A899)</f>
        <v>-8.2431630067357669E-9</v>
      </c>
      <c r="N900" s="5">
        <f t="shared" ref="N900:N963" si="132">N899+J900-K900+L900</f>
        <v>6.8315126314431819E-8</v>
      </c>
      <c r="O900" s="5">
        <f t="shared" ref="O900:O963" si="133">-J900+O899+K900-M900</f>
        <v>1.2749456743507593E-6</v>
      </c>
      <c r="P900" s="5">
        <f t="shared" ref="P900:P963" si="134">P899-L900+M900</f>
        <v>4.5673919933480989E-7</v>
      </c>
      <c r="Q900" s="1">
        <f t="shared" si="130"/>
        <v>1.800000000000001E-6</v>
      </c>
    </row>
    <row r="901" spans="1:17" x14ac:dyDescent="0.25">
      <c r="A901" s="1">
        <v>44.95</v>
      </c>
      <c r="B901" s="1">
        <v>1.5848999999999999E-2</v>
      </c>
      <c r="C901" s="1">
        <v>3.0638000000000002E-3</v>
      </c>
      <c r="D901" s="1">
        <v>2.5559999999999999E-2</v>
      </c>
      <c r="E901" s="1">
        <v>1.7503999999999999E-2</v>
      </c>
      <c r="F901" s="1">
        <v>1.5658999999999999E-6</v>
      </c>
      <c r="G901" s="1">
        <v>6.7774000000000001</v>
      </c>
      <c r="H901" s="1">
        <v>1.7186E-7</v>
      </c>
      <c r="I901" s="1">
        <f t="shared" si="126"/>
        <v>1.7186E-7</v>
      </c>
      <c r="J901" s="4">
        <f t="shared" si="127"/>
        <v>-1.6808977545482665E-8</v>
      </c>
      <c r="K901" s="4">
        <f t="shared" si="128"/>
        <v>-2.4861440649841925E-8</v>
      </c>
      <c r="L901" s="4">
        <f t="shared" si="129"/>
        <v>-7.8028868293644725E-9</v>
      </c>
      <c r="M901" s="4">
        <f t="shared" si="131"/>
        <v>-8.2386388406420363E-9</v>
      </c>
      <c r="N901" s="5">
        <f t="shared" si="132"/>
        <v>6.85647025894266E-8</v>
      </c>
      <c r="O901" s="5">
        <f t="shared" si="133"/>
        <v>1.2751318500870422E-6</v>
      </c>
      <c r="P901" s="5">
        <f t="shared" si="134"/>
        <v>4.5630344732353232E-7</v>
      </c>
      <c r="Q901" s="1">
        <f t="shared" si="130"/>
        <v>1.8000000000000012E-6</v>
      </c>
    </row>
    <row r="902" spans="1:17" x14ac:dyDescent="0.25">
      <c r="A902" s="1">
        <v>45</v>
      </c>
      <c r="B902" s="1">
        <v>1.5816E-2</v>
      </c>
      <c r="C902" s="1">
        <v>3.0571999999999999E-3</v>
      </c>
      <c r="D902" s="1">
        <v>2.5579999999999999E-2</v>
      </c>
      <c r="E902" s="1">
        <v>1.7462999999999999E-2</v>
      </c>
      <c r="F902" s="1">
        <v>1.5632999999999999E-6</v>
      </c>
      <c r="G902" s="1">
        <v>6.7771999999999997</v>
      </c>
      <c r="H902" s="1">
        <v>1.7193999999999999E-7</v>
      </c>
      <c r="I902" s="1">
        <f t="shared" si="126"/>
        <v>1.7193999999999999E-7</v>
      </c>
      <c r="J902" s="4">
        <f t="shared" si="127"/>
        <v>-1.6812358600418233E-8</v>
      </c>
      <c r="K902" s="4">
        <f t="shared" si="128"/>
        <v>-2.4865071076695909E-8</v>
      </c>
      <c r="L902" s="4">
        <f t="shared" si="129"/>
        <v>-7.7991993646346572E-9</v>
      </c>
      <c r="M902" s="4">
        <f t="shared" si="131"/>
        <v>-8.2341325979868694E-9</v>
      </c>
      <c r="N902" s="5">
        <f t="shared" si="132"/>
        <v>6.8818215701069623E-8</v>
      </c>
      <c r="O902" s="5">
        <f t="shared" si="133"/>
        <v>1.2753132702087514E-6</v>
      </c>
      <c r="P902" s="5">
        <f t="shared" si="134"/>
        <v>4.5586851409018013E-7</v>
      </c>
      <c r="Q902" s="1">
        <f t="shared" si="130"/>
        <v>1.8000000000000012E-6</v>
      </c>
    </row>
    <row r="903" spans="1:17" x14ac:dyDescent="0.25">
      <c r="A903" s="1">
        <v>45.05</v>
      </c>
      <c r="B903" s="1">
        <v>1.5782999999999998E-2</v>
      </c>
      <c r="C903" s="1">
        <v>3.0506999999999999E-3</v>
      </c>
      <c r="D903" s="1">
        <v>2.5599E-2</v>
      </c>
      <c r="E903" s="1">
        <v>1.7420999999999999E-2</v>
      </c>
      <c r="F903" s="1">
        <v>1.5606999999999999E-6</v>
      </c>
      <c r="G903" s="1">
        <v>6.7770000000000001</v>
      </c>
      <c r="H903" s="1">
        <v>1.7200999999999999E-7</v>
      </c>
      <c r="I903" s="1">
        <f t="shared" si="126"/>
        <v>1.7200999999999999E-7</v>
      </c>
      <c r="J903" s="4">
        <f t="shared" si="127"/>
        <v>-1.6818531150934064E-8</v>
      </c>
      <c r="K903" s="4">
        <f t="shared" si="128"/>
        <v>-2.4868608769069239E-8</v>
      </c>
      <c r="L903" s="4">
        <f t="shared" si="129"/>
        <v>-7.7967334444979243E-9</v>
      </c>
      <c r="M903" s="4">
        <f t="shared" si="131"/>
        <v>-8.2301133928294174E-9</v>
      </c>
      <c r="N903" s="5">
        <f t="shared" si="132"/>
        <v>6.9071559874706863E-8</v>
      </c>
      <c r="O903" s="5">
        <f t="shared" si="133"/>
        <v>1.2754933059834456E-6</v>
      </c>
      <c r="P903" s="5">
        <f t="shared" si="134"/>
        <v>4.5543513414184862E-7</v>
      </c>
      <c r="Q903" s="1">
        <f t="shared" si="130"/>
        <v>1.8000000000000012E-6</v>
      </c>
    </row>
    <row r="904" spans="1:17" x14ac:dyDescent="0.25">
      <c r="A904" s="1">
        <v>45.1</v>
      </c>
      <c r="B904" s="1">
        <v>1.5751000000000001E-2</v>
      </c>
      <c r="C904" s="1">
        <v>3.0441999999999999E-3</v>
      </c>
      <c r="D904" s="1">
        <v>2.5618999999999999E-2</v>
      </c>
      <c r="E904" s="1">
        <v>1.738E-2</v>
      </c>
      <c r="F904" s="1">
        <v>1.5581E-6</v>
      </c>
      <c r="G904" s="1">
        <v>6.7767999999999997</v>
      </c>
      <c r="H904" s="1">
        <v>1.7207999999999999E-7</v>
      </c>
      <c r="I904" s="1">
        <f t="shared" si="126"/>
        <v>1.7207999999999999E-7</v>
      </c>
      <c r="J904" s="4">
        <f t="shared" si="127"/>
        <v>-1.6824343424293162E-8</v>
      </c>
      <c r="K904" s="4">
        <f t="shared" si="128"/>
        <v>-2.4872119466679311E-8</v>
      </c>
      <c r="L904" s="4">
        <f t="shared" si="129"/>
        <v>-7.7936315768413948E-9</v>
      </c>
      <c r="M904" s="4">
        <f t="shared" si="131"/>
        <v>-8.2256367294933368E-9</v>
      </c>
      <c r="N904" s="5">
        <f t="shared" si="132"/>
        <v>6.9325704340251619E-8</v>
      </c>
      <c r="O904" s="5">
        <f t="shared" si="133"/>
        <v>1.2756711666705527E-6</v>
      </c>
      <c r="P904" s="5">
        <f t="shared" si="134"/>
        <v>4.5500312898919668E-7</v>
      </c>
      <c r="Q904" s="1">
        <f t="shared" si="130"/>
        <v>1.800000000000001E-6</v>
      </c>
    </row>
    <row r="905" spans="1:17" x14ac:dyDescent="0.25">
      <c r="A905" s="1">
        <v>45.15</v>
      </c>
      <c r="B905" s="1">
        <v>1.5717999999999999E-2</v>
      </c>
      <c r="C905" s="1">
        <v>3.0376000000000001E-3</v>
      </c>
      <c r="D905" s="1">
        <v>2.5638000000000001E-2</v>
      </c>
      <c r="E905" s="1">
        <v>1.7337999999999999E-2</v>
      </c>
      <c r="F905" s="1">
        <v>1.5554E-6</v>
      </c>
      <c r="G905" s="1">
        <v>6.7766000000000002</v>
      </c>
      <c r="H905" s="1">
        <v>1.7214999999999999E-7</v>
      </c>
      <c r="I905" s="1">
        <f t="shared" si="126"/>
        <v>1.7214999999999999E-7</v>
      </c>
      <c r="J905" s="4">
        <f t="shared" si="127"/>
        <v>-1.6830032157289045E-8</v>
      </c>
      <c r="K905" s="4">
        <f t="shared" si="128"/>
        <v>-2.4875587750074361E-8</v>
      </c>
      <c r="L905" s="4">
        <f t="shared" si="129"/>
        <v>-7.7908974353943045E-9</v>
      </c>
      <c r="M905" s="4">
        <f t="shared" si="131"/>
        <v>-8.2211785358279339E-9</v>
      </c>
      <c r="N905" s="5">
        <f t="shared" si="132"/>
        <v>6.9580362497642638E-8</v>
      </c>
      <c r="O905" s="5">
        <f t="shared" si="133"/>
        <v>1.2758467896135953E-6</v>
      </c>
      <c r="P905" s="5">
        <f t="shared" si="134"/>
        <v>4.5457284788876306E-7</v>
      </c>
      <c r="Q905" s="1">
        <f t="shared" si="130"/>
        <v>1.800000000000001E-6</v>
      </c>
    </row>
    <row r="906" spans="1:17" x14ac:dyDescent="0.25">
      <c r="A906" s="1">
        <v>45.2</v>
      </c>
      <c r="B906" s="1">
        <v>1.5685999999999999E-2</v>
      </c>
      <c r="C906" s="1">
        <v>3.0311000000000001E-3</v>
      </c>
      <c r="D906" s="1">
        <v>2.5658E-2</v>
      </c>
      <c r="E906" s="1">
        <v>1.7297E-2</v>
      </c>
      <c r="F906" s="1">
        <v>1.5528E-6</v>
      </c>
      <c r="G906" s="1">
        <v>6.7765000000000004</v>
      </c>
      <c r="H906" s="1">
        <v>1.7223E-7</v>
      </c>
      <c r="I906" s="1">
        <f t="shared" si="126"/>
        <v>1.7223E-7</v>
      </c>
      <c r="J906" s="4">
        <f t="shared" si="127"/>
        <v>-1.6833362513218178E-8</v>
      </c>
      <c r="K906" s="4">
        <f t="shared" si="128"/>
        <v>-2.487901239746723E-8</v>
      </c>
      <c r="L906" s="4">
        <f t="shared" si="129"/>
        <v>-7.7871022431839615E-9</v>
      </c>
      <c r="M906" s="4">
        <f t="shared" si="131"/>
        <v>-8.2167451552260087E-9</v>
      </c>
      <c r="N906" s="5">
        <f t="shared" si="132"/>
        <v>6.9838910138707719E-8</v>
      </c>
      <c r="O906" s="5">
        <f t="shared" si="133"/>
        <v>1.2760178848845722E-6</v>
      </c>
      <c r="P906" s="5">
        <f t="shared" si="134"/>
        <v>4.5414320497672104E-7</v>
      </c>
      <c r="Q906" s="1">
        <f t="shared" si="130"/>
        <v>1.800000000000001E-6</v>
      </c>
    </row>
    <row r="907" spans="1:17" x14ac:dyDescent="0.25">
      <c r="A907" s="1">
        <v>45.25</v>
      </c>
      <c r="B907" s="1">
        <v>1.5653E-2</v>
      </c>
      <c r="C907" s="1">
        <v>3.0244999999999998E-3</v>
      </c>
      <c r="D907" s="1">
        <v>2.5676999999999998E-2</v>
      </c>
      <c r="E907" s="1">
        <v>1.7255E-2</v>
      </c>
      <c r="F907" s="1">
        <v>1.5501E-6</v>
      </c>
      <c r="G907" s="1">
        <v>6.7763</v>
      </c>
      <c r="H907" s="1">
        <v>1.723E-7</v>
      </c>
      <c r="I907" s="1">
        <f t="shared" si="126"/>
        <v>1.723E-7</v>
      </c>
      <c r="J907" s="4">
        <f t="shared" si="127"/>
        <v>-1.6839473088529519E-8</v>
      </c>
      <c r="K907" s="4">
        <f t="shared" si="128"/>
        <v>-2.4882348755247748E-8</v>
      </c>
      <c r="L907" s="4">
        <f t="shared" si="129"/>
        <v>-7.7845203435794986E-9</v>
      </c>
      <c r="M907" s="4">
        <f t="shared" si="131"/>
        <v>-8.2127938402793028E-9</v>
      </c>
      <c r="N907" s="5">
        <f t="shared" si="132"/>
        <v>7.0097265461846439E-8</v>
      </c>
      <c r="O907" s="5">
        <f t="shared" si="133"/>
        <v>1.2761878030581332E-6</v>
      </c>
      <c r="P907" s="5">
        <f t="shared" si="134"/>
        <v>4.5371493148002125E-7</v>
      </c>
      <c r="Q907" s="1">
        <f t="shared" si="130"/>
        <v>1.800000000000001E-6</v>
      </c>
    </row>
    <row r="908" spans="1:17" x14ac:dyDescent="0.25">
      <c r="A908" s="1">
        <v>45.3</v>
      </c>
      <c r="B908" s="1">
        <v>1.5620999999999999E-2</v>
      </c>
      <c r="C908" s="1">
        <v>3.0179999999999998E-3</v>
      </c>
      <c r="D908" s="1">
        <v>2.5697000000000001E-2</v>
      </c>
      <c r="E908" s="1">
        <v>1.7214E-2</v>
      </c>
      <c r="F908" s="1">
        <v>1.5475E-6</v>
      </c>
      <c r="G908" s="1">
        <v>6.7760999999999996</v>
      </c>
      <c r="H908" s="1">
        <v>1.7237E-7</v>
      </c>
      <c r="I908" s="1">
        <f t="shared" si="126"/>
        <v>1.7237E-7</v>
      </c>
      <c r="J908" s="4">
        <f t="shared" si="127"/>
        <v>-1.684304111253423E-8</v>
      </c>
      <c r="K908" s="4">
        <f t="shared" si="128"/>
        <v>-2.488566215963218E-8</v>
      </c>
      <c r="L908" s="4">
        <f t="shared" si="129"/>
        <v>-7.780792843988319E-9</v>
      </c>
      <c r="M908" s="4">
        <f t="shared" si="131"/>
        <v>-8.2083836828703382E-9</v>
      </c>
      <c r="N908" s="5">
        <f t="shared" si="132"/>
        <v>7.0359093664956063E-8</v>
      </c>
      <c r="O908" s="5">
        <f t="shared" si="133"/>
        <v>1.2763535656939057E-6</v>
      </c>
      <c r="P908" s="5">
        <f t="shared" si="134"/>
        <v>4.5328734064113924E-7</v>
      </c>
      <c r="Q908" s="1">
        <f t="shared" si="130"/>
        <v>1.800000000000001E-6</v>
      </c>
    </row>
    <row r="909" spans="1:17" x14ac:dyDescent="0.25">
      <c r="A909" s="1">
        <v>45.35</v>
      </c>
      <c r="B909" s="1">
        <v>1.5589E-2</v>
      </c>
      <c r="C909" s="1">
        <v>3.0114E-3</v>
      </c>
      <c r="D909" s="1">
        <v>2.5715999999999999E-2</v>
      </c>
      <c r="E909" s="1">
        <v>1.7173000000000001E-2</v>
      </c>
      <c r="F909" s="1">
        <v>1.5448E-6</v>
      </c>
      <c r="G909" s="1">
        <v>6.7759</v>
      </c>
      <c r="H909" s="1">
        <v>1.7244E-7</v>
      </c>
      <c r="I909" s="1">
        <f t="shared" si="126"/>
        <v>1.7244E-7</v>
      </c>
      <c r="J909" s="4">
        <f t="shared" si="127"/>
        <v>-1.6849287929850329E-8</v>
      </c>
      <c r="K909" s="4">
        <f t="shared" si="128"/>
        <v>-2.4888894531033285E-8</v>
      </c>
      <c r="L909" s="4">
        <f t="shared" si="129"/>
        <v>-7.7782301522548679E-9</v>
      </c>
      <c r="M909" s="4">
        <f t="shared" si="131"/>
        <v>-8.203979585163583E-9</v>
      </c>
      <c r="N909" s="5">
        <f t="shared" si="132"/>
        <v>7.0620470113884153E-8</v>
      </c>
      <c r="O909" s="5">
        <f t="shared" si="133"/>
        <v>1.2765179386778862E-6</v>
      </c>
      <c r="P909" s="5">
        <f t="shared" si="134"/>
        <v>4.5286159120823055E-7</v>
      </c>
      <c r="Q909" s="1">
        <f t="shared" si="130"/>
        <v>1.800000000000001E-6</v>
      </c>
    </row>
    <row r="910" spans="1:17" x14ac:dyDescent="0.25">
      <c r="A910" s="1">
        <v>45.4</v>
      </c>
      <c r="B910" s="1">
        <v>1.5557E-2</v>
      </c>
      <c r="C910" s="1">
        <v>3.0049E-3</v>
      </c>
      <c r="D910" s="1">
        <v>2.5735999999999998E-2</v>
      </c>
      <c r="E910" s="1">
        <v>1.7132000000000001E-2</v>
      </c>
      <c r="F910" s="1">
        <v>1.5422E-6</v>
      </c>
      <c r="G910" s="1">
        <v>6.7756999999999996</v>
      </c>
      <c r="H910" s="1">
        <v>1.7251E-7</v>
      </c>
      <c r="I910" s="1">
        <f t="shared" si="126"/>
        <v>1.7251E-7</v>
      </c>
      <c r="J910" s="4">
        <f t="shared" si="127"/>
        <v>-1.6852918704787315E-8</v>
      </c>
      <c r="K910" s="4">
        <f t="shared" si="128"/>
        <v>-2.4892099804217365E-8</v>
      </c>
      <c r="L910" s="4">
        <f t="shared" si="129"/>
        <v>-7.7749415303395089E-9</v>
      </c>
      <c r="M910" s="4">
        <f t="shared" si="131"/>
        <v>-8.199602542733998E-9</v>
      </c>
      <c r="N910" s="5">
        <f t="shared" si="132"/>
        <v>7.0884709682974702E-8</v>
      </c>
      <c r="O910" s="5">
        <f t="shared" si="133"/>
        <v>1.2766783601211904E-6</v>
      </c>
      <c r="P910" s="5">
        <f t="shared" si="134"/>
        <v>4.5243693019583606E-7</v>
      </c>
      <c r="Q910" s="1">
        <f t="shared" si="130"/>
        <v>1.800000000000001E-6</v>
      </c>
    </row>
    <row r="911" spans="1:17" x14ac:dyDescent="0.25">
      <c r="A911" s="1">
        <v>45.45</v>
      </c>
      <c r="B911" s="1">
        <v>1.5525000000000001E-2</v>
      </c>
      <c r="C911" s="1">
        <v>2.9984E-3</v>
      </c>
      <c r="D911" s="1">
        <v>2.5755E-2</v>
      </c>
      <c r="E911" s="1">
        <v>1.7090999999999999E-2</v>
      </c>
      <c r="F911" s="1">
        <v>1.5395E-6</v>
      </c>
      <c r="G911" s="1">
        <v>6.7755000000000001</v>
      </c>
      <c r="H911" s="1">
        <v>1.7259000000000001E-7</v>
      </c>
      <c r="I911" s="1">
        <f t="shared" si="126"/>
        <v>1.7259000000000001E-7</v>
      </c>
      <c r="J911" s="4">
        <f t="shared" si="127"/>
        <v>-1.685908353589639E-8</v>
      </c>
      <c r="K911" s="4">
        <f t="shared" si="128"/>
        <v>-2.4895228022365335E-8</v>
      </c>
      <c r="L911" s="4">
        <f t="shared" si="129"/>
        <v>-7.7722976878385051E-9</v>
      </c>
      <c r="M911" s="4">
        <f t="shared" si="131"/>
        <v>-8.1952389569494843E-9</v>
      </c>
      <c r="N911" s="5">
        <f t="shared" si="132"/>
        <v>7.1148556481605134E-8</v>
      </c>
      <c r="O911" s="5">
        <f t="shared" si="133"/>
        <v>1.2768374545916711E-6</v>
      </c>
      <c r="P911" s="5">
        <f t="shared" si="134"/>
        <v>4.5201398892672509E-7</v>
      </c>
      <c r="Q911" s="1">
        <f t="shared" si="130"/>
        <v>1.8000000000000014E-6</v>
      </c>
    </row>
    <row r="912" spans="1:17" x14ac:dyDescent="0.25">
      <c r="A912" s="1">
        <v>45.5</v>
      </c>
      <c r="B912" s="1">
        <v>1.5493E-2</v>
      </c>
      <c r="C912" s="1">
        <v>2.9918000000000002E-3</v>
      </c>
      <c r="D912" s="1">
        <v>2.5773999999999998E-2</v>
      </c>
      <c r="E912" s="1">
        <v>1.7049999999999999E-2</v>
      </c>
      <c r="F912" s="1">
        <v>1.5368E-6</v>
      </c>
      <c r="G912" s="1">
        <v>6.7752999999999997</v>
      </c>
      <c r="H912" s="1">
        <v>1.7266000000000001E-7</v>
      </c>
      <c r="I912" s="1">
        <f t="shared" si="126"/>
        <v>1.7266000000000001E-7</v>
      </c>
      <c r="J912" s="4">
        <f t="shared" si="127"/>
        <v>-1.6862636556192263E-8</v>
      </c>
      <c r="K912" s="4">
        <f t="shared" si="128"/>
        <v>-2.4898330364536172E-8</v>
      </c>
      <c r="L912" s="4">
        <f t="shared" si="129"/>
        <v>-7.7689326647275728E-9</v>
      </c>
      <c r="M912" s="4">
        <f t="shared" si="131"/>
        <v>-8.1913749066302008E-9</v>
      </c>
      <c r="N912" s="5">
        <f t="shared" si="132"/>
        <v>7.1415317625221481E-8</v>
      </c>
      <c r="O912" s="5">
        <f t="shared" si="133"/>
        <v>1.2769931356899575E-6</v>
      </c>
      <c r="P912" s="5">
        <f t="shared" si="134"/>
        <v>4.5159154668482246E-7</v>
      </c>
      <c r="Q912" s="1">
        <f t="shared" si="130"/>
        <v>1.8000000000000014E-6</v>
      </c>
    </row>
    <row r="913" spans="1:17" x14ac:dyDescent="0.25">
      <c r="A913" s="1">
        <v>45.55</v>
      </c>
      <c r="B913" s="1">
        <v>1.5461000000000001E-2</v>
      </c>
      <c r="C913" s="1">
        <v>2.9853000000000002E-3</v>
      </c>
      <c r="D913" s="1">
        <v>2.5794000000000001E-2</v>
      </c>
      <c r="E913" s="1">
        <v>1.7009E-2</v>
      </c>
      <c r="F913" s="1">
        <v>1.5342000000000001E-6</v>
      </c>
      <c r="G913" s="1">
        <v>6.7751000000000001</v>
      </c>
      <c r="H913" s="1">
        <v>1.7273000000000001E-7</v>
      </c>
      <c r="I913" s="1">
        <f t="shared" si="126"/>
        <v>1.7273000000000001E-7</v>
      </c>
      <c r="J913" s="4">
        <f t="shared" si="127"/>
        <v>-1.6866542920230399E-8</v>
      </c>
      <c r="K913" s="4">
        <f t="shared" si="128"/>
        <v>-2.4901366145952757E-8</v>
      </c>
      <c r="L913" s="4">
        <f t="shared" si="129"/>
        <v>-7.7657106368961632E-9</v>
      </c>
      <c r="M913" s="4">
        <f t="shared" si="131"/>
        <v>-8.1870386273126864E-9</v>
      </c>
      <c r="N913" s="5">
        <f t="shared" si="132"/>
        <v>7.1684430214047668E-8</v>
      </c>
      <c r="O913" s="5">
        <f t="shared" si="133"/>
        <v>1.2771453510915478E-6</v>
      </c>
      <c r="P913" s="5">
        <f t="shared" si="134"/>
        <v>4.5117021869440595E-7</v>
      </c>
      <c r="Q913" s="1">
        <f t="shared" si="130"/>
        <v>1.8000000000000014E-6</v>
      </c>
    </row>
    <row r="914" spans="1:17" x14ac:dyDescent="0.25">
      <c r="A914" s="1">
        <v>45.6</v>
      </c>
      <c r="B914" s="1">
        <v>1.5429E-2</v>
      </c>
      <c r="C914" s="1">
        <v>2.9786999999999999E-3</v>
      </c>
      <c r="D914" s="1">
        <v>2.5812999999999999E-2</v>
      </c>
      <c r="E914" s="1">
        <v>1.6969000000000001E-2</v>
      </c>
      <c r="F914" s="1">
        <v>1.5315000000000001E-6</v>
      </c>
      <c r="G914" s="1">
        <v>6.7748999999999997</v>
      </c>
      <c r="H914" s="1">
        <v>1.7280000000000001E-7</v>
      </c>
      <c r="I914" s="1">
        <f t="shared" si="126"/>
        <v>1.7280000000000001E-7</v>
      </c>
      <c r="J914" s="4">
        <f t="shared" si="127"/>
        <v>-1.6872863549853847E-8</v>
      </c>
      <c r="K914" s="4">
        <f t="shared" si="128"/>
        <v>-2.4904334346287308E-8</v>
      </c>
      <c r="L914" s="4">
        <f t="shared" si="129"/>
        <v>-7.7630734252103773E-9</v>
      </c>
      <c r="M914" s="4">
        <f t="shared" si="131"/>
        <v>-8.1827163468845972E-9</v>
      </c>
      <c r="N914" s="5">
        <f t="shared" si="132"/>
        <v>7.1952827585270746E-8</v>
      </c>
      <c r="O914" s="5">
        <f t="shared" si="133"/>
        <v>1.2772965966419991E-6</v>
      </c>
      <c r="P914" s="5">
        <f t="shared" si="134"/>
        <v>4.5075057577273175E-7</v>
      </c>
      <c r="Q914" s="1">
        <f t="shared" si="130"/>
        <v>1.8000000000000016E-6</v>
      </c>
    </row>
    <row r="915" spans="1:17" x14ac:dyDescent="0.25">
      <c r="A915" s="1">
        <v>45.65</v>
      </c>
      <c r="B915" s="1">
        <v>1.5396999999999999E-2</v>
      </c>
      <c r="C915" s="1">
        <v>2.9721999999999999E-3</v>
      </c>
      <c r="D915" s="1">
        <v>2.5832000000000001E-2</v>
      </c>
      <c r="E915" s="1">
        <v>1.6927999999999999E-2</v>
      </c>
      <c r="F915" s="1">
        <v>1.5288000000000001E-6</v>
      </c>
      <c r="G915" s="1">
        <v>6.7747000000000002</v>
      </c>
      <c r="H915" s="1">
        <v>1.7287000000000001E-7</v>
      </c>
      <c r="I915" s="1">
        <f t="shared" si="126"/>
        <v>1.7287000000000001E-7</v>
      </c>
      <c r="J915" s="4">
        <f t="shared" si="127"/>
        <v>-1.6876479946682918E-8</v>
      </c>
      <c r="K915" s="4">
        <f t="shared" si="128"/>
        <v>-2.4907283634517566E-8</v>
      </c>
      <c r="L915" s="4">
        <f t="shared" si="129"/>
        <v>-7.7601338628360367E-9</v>
      </c>
      <c r="M915" s="4">
        <f t="shared" si="131"/>
        <v>-8.178418446819981E-9</v>
      </c>
      <c r="N915" s="5">
        <f t="shared" si="132"/>
        <v>7.2223497410269355E-8</v>
      </c>
      <c r="O915" s="5">
        <f t="shared" si="133"/>
        <v>1.2774442114009843E-6</v>
      </c>
      <c r="P915" s="5">
        <f t="shared" si="134"/>
        <v>4.5033229118874783E-7</v>
      </c>
      <c r="Q915" s="1">
        <f t="shared" si="130"/>
        <v>1.8000000000000016E-6</v>
      </c>
    </row>
    <row r="916" spans="1:17" x14ac:dyDescent="0.25">
      <c r="A916" s="1">
        <v>45.7</v>
      </c>
      <c r="B916" s="1">
        <v>1.5365E-2</v>
      </c>
      <c r="C916" s="1">
        <v>2.9656000000000001E-3</v>
      </c>
      <c r="D916" s="1">
        <v>2.5850999999999999E-2</v>
      </c>
      <c r="E916" s="1">
        <v>1.6886999999999999E-2</v>
      </c>
      <c r="F916" s="1">
        <v>1.5261000000000001E-6</v>
      </c>
      <c r="G916" s="1">
        <v>6.7744999999999997</v>
      </c>
      <c r="H916" s="1">
        <v>1.7294000000000001E-7</v>
      </c>
      <c r="I916" s="1">
        <f t="shared" si="126"/>
        <v>1.7294000000000001E-7</v>
      </c>
      <c r="J916" s="4">
        <f t="shared" si="127"/>
        <v>-1.688028844070597E-8</v>
      </c>
      <c r="K916" s="4">
        <f t="shared" si="128"/>
        <v>-2.491016212232132E-8</v>
      </c>
      <c r="L916" s="4">
        <f t="shared" si="129"/>
        <v>-7.7568061179076602E-9</v>
      </c>
      <c r="M916" s="4">
        <f t="shared" si="131"/>
        <v>-8.1741390336695751E-9</v>
      </c>
      <c r="N916" s="5">
        <f t="shared" si="132"/>
        <v>7.2496564973977031E-8</v>
      </c>
      <c r="O916" s="5">
        <f t="shared" si="133"/>
        <v>1.2775884767530387E-6</v>
      </c>
      <c r="P916" s="5">
        <f t="shared" si="134"/>
        <v>4.4991495827298588E-7</v>
      </c>
      <c r="Q916" s="1">
        <f t="shared" si="130"/>
        <v>1.8000000000000018E-6</v>
      </c>
    </row>
    <row r="917" spans="1:17" x14ac:dyDescent="0.25">
      <c r="A917" s="1">
        <v>45.75</v>
      </c>
      <c r="B917" s="1">
        <v>1.5332999999999999E-2</v>
      </c>
      <c r="C917" s="1">
        <v>2.9589999999999998E-3</v>
      </c>
      <c r="D917" s="1">
        <v>2.5870000000000001E-2</v>
      </c>
      <c r="E917" s="1">
        <v>1.6847000000000001E-2</v>
      </c>
      <c r="F917" s="1">
        <v>1.5234000000000001E-6</v>
      </c>
      <c r="G917" s="1">
        <v>6.7743000000000002</v>
      </c>
      <c r="H917" s="1">
        <v>1.7301000000000001E-7</v>
      </c>
      <c r="I917" s="1">
        <f t="shared" si="126"/>
        <v>1.7301000000000001E-7</v>
      </c>
      <c r="J917" s="4">
        <f t="shared" si="127"/>
        <v>-1.6884313761392706E-8</v>
      </c>
      <c r="K917" s="4">
        <f t="shared" si="128"/>
        <v>-2.4912975296682837E-8</v>
      </c>
      <c r="L917" s="4">
        <f t="shared" si="129"/>
        <v>-7.7535576759573444E-9</v>
      </c>
      <c r="M917" s="4">
        <f t="shared" si="131"/>
        <v>-8.1698707527912042E-9</v>
      </c>
      <c r="N917" s="5">
        <f t="shared" si="132"/>
        <v>7.2771668833309821E-8</v>
      </c>
      <c r="O917" s="5">
        <f t="shared" si="133"/>
        <v>1.2777296859705399E-6</v>
      </c>
      <c r="P917" s="5">
        <f t="shared" si="134"/>
        <v>4.4949864519615198E-7</v>
      </c>
      <c r="Q917" s="1">
        <f t="shared" si="130"/>
        <v>1.8000000000000018E-6</v>
      </c>
    </row>
    <row r="918" spans="1:17" x14ac:dyDescent="0.25">
      <c r="A918" s="1">
        <v>45.8</v>
      </c>
      <c r="B918" s="1">
        <v>1.5302E-2</v>
      </c>
      <c r="C918" s="1">
        <v>2.9524999999999998E-3</v>
      </c>
      <c r="D918" s="1">
        <v>2.5888999999999999E-2</v>
      </c>
      <c r="E918" s="1">
        <v>1.6806000000000001E-2</v>
      </c>
      <c r="F918" s="1">
        <v>1.5206999999999999E-6</v>
      </c>
      <c r="G918" s="1">
        <v>6.7740999999999998</v>
      </c>
      <c r="H918" s="1">
        <v>1.7308000000000001E-7</v>
      </c>
      <c r="I918" s="1">
        <f t="shared" si="126"/>
        <v>1.7308000000000001E-7</v>
      </c>
      <c r="J918" s="4">
        <f t="shared" si="127"/>
        <v>-1.6888467288202224E-8</v>
      </c>
      <c r="K918" s="4">
        <f t="shared" si="128"/>
        <v>-2.4915728876424113E-8</v>
      </c>
      <c r="L918" s="4">
        <f t="shared" si="129"/>
        <v>-7.7508076334385125E-9</v>
      </c>
      <c r="M918" s="4">
        <f t="shared" si="131"/>
        <v>-8.1656148635650943E-9</v>
      </c>
      <c r="N918" s="5">
        <f t="shared" si="132"/>
        <v>7.3048122788093191E-8</v>
      </c>
      <c r="O918" s="5">
        <f t="shared" si="133"/>
        <v>1.2778680392458832E-6</v>
      </c>
      <c r="P918" s="5">
        <f t="shared" si="134"/>
        <v>4.490838379660254E-7</v>
      </c>
      <c r="Q918" s="1">
        <f t="shared" si="130"/>
        <v>1.8000000000000018E-6</v>
      </c>
    </row>
    <row r="919" spans="1:17" x14ac:dyDescent="0.25">
      <c r="A919" s="1">
        <v>45.85</v>
      </c>
      <c r="B919" s="1">
        <v>1.5270000000000001E-2</v>
      </c>
      <c r="C919" s="1">
        <v>2.9459E-3</v>
      </c>
      <c r="D919" s="1">
        <v>2.5908E-2</v>
      </c>
      <c r="E919" s="1">
        <v>1.6766E-2</v>
      </c>
      <c r="F919" s="1">
        <v>1.5179999999999999E-6</v>
      </c>
      <c r="G919" s="1">
        <v>6.7739000000000003</v>
      </c>
      <c r="H919" s="1">
        <v>1.7315000000000001E-7</v>
      </c>
      <c r="I919" s="1">
        <f t="shared" si="126"/>
        <v>1.7315000000000001E-7</v>
      </c>
      <c r="J919" s="4">
        <f t="shared" si="127"/>
        <v>-1.689258650884981E-8</v>
      </c>
      <c r="K919" s="4">
        <f t="shared" si="128"/>
        <v>-2.4918426765296847E-8</v>
      </c>
      <c r="L919" s="4">
        <f t="shared" si="129"/>
        <v>-7.7475620227597772E-9</v>
      </c>
      <c r="M919" s="4">
        <f t="shared" si="131"/>
        <v>-8.1613802208924629E-9</v>
      </c>
      <c r="N919" s="5">
        <f t="shared" si="132"/>
        <v>7.3326401021780449E-8</v>
      </c>
      <c r="O919" s="5">
        <f t="shared" si="133"/>
        <v>1.2780035792103285E-6</v>
      </c>
      <c r="P919" s="5">
        <f t="shared" si="134"/>
        <v>4.4867001976789272E-7</v>
      </c>
      <c r="Q919" s="1">
        <f t="shared" si="130"/>
        <v>1.8000000000000018E-6</v>
      </c>
    </row>
    <row r="920" spans="1:17" x14ac:dyDescent="0.25">
      <c r="A920" s="1">
        <v>45.9</v>
      </c>
      <c r="B920" s="1">
        <v>1.5239000000000001E-2</v>
      </c>
      <c r="C920" s="1">
        <v>2.9394E-3</v>
      </c>
      <c r="D920" s="1">
        <v>2.5926999999999999E-2</v>
      </c>
      <c r="E920" s="1">
        <v>1.6725E-2</v>
      </c>
      <c r="F920" s="1">
        <v>1.5152999999999999E-6</v>
      </c>
      <c r="G920" s="1">
        <v>6.7736999999999998</v>
      </c>
      <c r="H920" s="1">
        <v>1.7322000000000001E-7</v>
      </c>
      <c r="I920" s="1">
        <f t="shared" si="126"/>
        <v>1.7322000000000001E-7</v>
      </c>
      <c r="J920" s="4">
        <f t="shared" si="127"/>
        <v>-1.6896778570810359E-8</v>
      </c>
      <c r="K920" s="4">
        <f t="shared" si="128"/>
        <v>-2.4921069794599991E-8</v>
      </c>
      <c r="L920" s="4">
        <f t="shared" si="129"/>
        <v>-7.7447909519140773E-9</v>
      </c>
      <c r="M920" s="4">
        <f t="shared" si="131"/>
        <v>-8.1571574618946533E-9</v>
      </c>
      <c r="N920" s="5">
        <f t="shared" si="132"/>
        <v>7.3605901293656002E-8</v>
      </c>
      <c r="O920" s="5">
        <f t="shared" si="133"/>
        <v>1.2781364454484335E-6</v>
      </c>
      <c r="P920" s="5">
        <f t="shared" si="134"/>
        <v>4.4825765325791219E-7</v>
      </c>
      <c r="Q920" s="1">
        <f t="shared" si="130"/>
        <v>1.8000000000000018E-6</v>
      </c>
    </row>
    <row r="921" spans="1:17" x14ac:dyDescent="0.25">
      <c r="A921" s="1">
        <v>45.95</v>
      </c>
      <c r="B921" s="1">
        <v>1.5207E-2</v>
      </c>
      <c r="C921" s="1">
        <v>2.9328000000000002E-3</v>
      </c>
      <c r="D921" s="1">
        <v>2.5946E-2</v>
      </c>
      <c r="E921" s="1">
        <v>1.6684999999999998E-2</v>
      </c>
      <c r="F921" s="1">
        <v>1.5125999999999999E-6</v>
      </c>
      <c r="G921" s="1">
        <v>6.7735000000000003</v>
      </c>
      <c r="H921" s="1">
        <v>1.733E-7</v>
      </c>
      <c r="I921" s="1">
        <f t="shared" si="126"/>
        <v>1.733E-7</v>
      </c>
      <c r="J921" s="4">
        <f t="shared" si="127"/>
        <v>-1.6900901918555306E-8</v>
      </c>
      <c r="K921" s="4">
        <f t="shared" si="128"/>
        <v>-2.4923660686246579E-8</v>
      </c>
      <c r="L921" s="4">
        <f t="shared" si="129"/>
        <v>-7.7415064742263944E-9</v>
      </c>
      <c r="M921" s="4">
        <f t="shared" si="131"/>
        <v>-8.1529550232209293E-9</v>
      </c>
      <c r="N921" s="5">
        <f t="shared" si="132"/>
        <v>7.3887153587120878E-8</v>
      </c>
      <c r="O921" s="5">
        <f t="shared" si="133"/>
        <v>1.2782666417039631E-6</v>
      </c>
      <c r="P921" s="5">
        <f t="shared" si="134"/>
        <v>4.4784620470891763E-7</v>
      </c>
      <c r="Q921" s="1">
        <f t="shared" si="130"/>
        <v>1.8000000000000014E-6</v>
      </c>
    </row>
    <row r="922" spans="1:17" x14ac:dyDescent="0.25">
      <c r="A922" s="1">
        <v>46</v>
      </c>
      <c r="B922" s="1">
        <v>1.5176E-2</v>
      </c>
      <c r="C922" s="1">
        <v>2.9263000000000002E-3</v>
      </c>
      <c r="D922" s="1">
        <v>2.5964999999999998E-2</v>
      </c>
      <c r="E922" s="1">
        <v>1.6645E-2</v>
      </c>
      <c r="F922" s="1">
        <v>1.5098999999999999E-6</v>
      </c>
      <c r="G922" s="1">
        <v>6.7732999999999999</v>
      </c>
      <c r="H922" s="1">
        <v>1.7337E-7</v>
      </c>
      <c r="I922" s="1">
        <f t="shared" si="126"/>
        <v>1.7337E-7</v>
      </c>
      <c r="J922" s="4">
        <f t="shared" si="127"/>
        <v>-1.6905076030110899E-8</v>
      </c>
      <c r="K922" s="4">
        <f t="shared" si="128"/>
        <v>-2.4926199513225864E-8</v>
      </c>
      <c r="L922" s="4">
        <f t="shared" si="129"/>
        <v>-7.7386880423374418E-9</v>
      </c>
      <c r="M922" s="4">
        <f t="shared" si="131"/>
        <v>-8.1492334639853559E-9</v>
      </c>
      <c r="N922" s="5">
        <f t="shared" si="132"/>
        <v>7.4169589027898406E-8</v>
      </c>
      <c r="O922" s="5">
        <f t="shared" si="133"/>
        <v>1.2783947516848336E-6</v>
      </c>
      <c r="P922" s="5">
        <f t="shared" si="134"/>
        <v>4.4743565928726971E-7</v>
      </c>
      <c r="Q922" s="1">
        <f t="shared" si="130"/>
        <v>1.8000000000000018E-6</v>
      </c>
    </row>
    <row r="923" spans="1:17" x14ac:dyDescent="0.25">
      <c r="A923" s="1">
        <v>46.05</v>
      </c>
      <c r="B923" s="1">
        <v>1.5145E-2</v>
      </c>
      <c r="C923" s="1">
        <v>2.9196999999999999E-3</v>
      </c>
      <c r="D923" s="1">
        <v>2.5984E-2</v>
      </c>
      <c r="E923" s="1">
        <v>1.6605000000000002E-2</v>
      </c>
      <c r="F923" s="1">
        <v>1.5070999999999999E-6</v>
      </c>
      <c r="G923" s="1">
        <v>6.7732000000000001</v>
      </c>
      <c r="H923" s="1">
        <v>1.7344E-7</v>
      </c>
      <c r="I923" s="1">
        <f t="shared" si="126"/>
        <v>1.7344E-7</v>
      </c>
      <c r="J923" s="4">
        <f t="shared" si="127"/>
        <v>-1.69091681468311E-8</v>
      </c>
      <c r="K923" s="4">
        <f t="shared" si="128"/>
        <v>-2.4928697657852841E-8</v>
      </c>
      <c r="L923" s="4">
        <f t="shared" si="129"/>
        <v>-7.7358128404968227E-9</v>
      </c>
      <c r="M923" s="4">
        <f t="shared" si="131"/>
        <v>-8.1450516263161021E-9</v>
      </c>
      <c r="N923" s="5">
        <f t="shared" si="132"/>
        <v>7.4453305698423326E-8</v>
      </c>
      <c r="O923" s="5">
        <f t="shared" si="133"/>
        <v>1.2785202738001279E-6</v>
      </c>
      <c r="P923" s="5">
        <f t="shared" si="134"/>
        <v>4.4702642050145042E-7</v>
      </c>
      <c r="Q923" s="1">
        <f t="shared" si="130"/>
        <v>1.8000000000000018E-6</v>
      </c>
    </row>
    <row r="924" spans="1:17" x14ac:dyDescent="0.25">
      <c r="A924" s="1">
        <v>46.1</v>
      </c>
      <c r="B924" s="1">
        <v>1.5113E-2</v>
      </c>
      <c r="C924" s="1">
        <v>2.9131999999999999E-3</v>
      </c>
      <c r="D924" s="1">
        <v>2.6002999999999998E-2</v>
      </c>
      <c r="E924" s="1">
        <v>1.6565E-2</v>
      </c>
      <c r="F924" s="1">
        <v>1.5043999999999999E-6</v>
      </c>
      <c r="G924" s="1">
        <v>6.7729999999999997</v>
      </c>
      <c r="H924" s="1">
        <v>1.7351E-7</v>
      </c>
      <c r="I924" s="1">
        <f t="shared" si="126"/>
        <v>1.7351E-7</v>
      </c>
      <c r="J924" s="4">
        <f t="shared" si="127"/>
        <v>-1.6910954642398357E-8</v>
      </c>
      <c r="K924" s="4">
        <f t="shared" si="128"/>
        <v>-2.4931145339104621E-8</v>
      </c>
      <c r="L924" s="4">
        <f t="shared" si="129"/>
        <v>-7.7323771987502679E-9</v>
      </c>
      <c r="M924" s="4">
        <f t="shared" si="131"/>
        <v>-8.1408875490367081E-9</v>
      </c>
      <c r="N924" s="5">
        <f t="shared" si="132"/>
        <v>7.4741119196379324E-8</v>
      </c>
      <c r="O924" s="5">
        <f t="shared" si="133"/>
        <v>1.2786409706524586E-6</v>
      </c>
      <c r="P924" s="5">
        <f t="shared" si="134"/>
        <v>4.4661791015116399E-7</v>
      </c>
      <c r="Q924" s="1">
        <f t="shared" si="130"/>
        <v>1.8000000000000018E-6</v>
      </c>
    </row>
    <row r="925" spans="1:17" x14ac:dyDescent="0.25">
      <c r="A925" s="1">
        <v>46.15</v>
      </c>
      <c r="B925" s="1">
        <v>1.5082E-2</v>
      </c>
      <c r="C925" s="1">
        <v>2.9066000000000001E-3</v>
      </c>
      <c r="D925" s="1">
        <v>2.6022E-2</v>
      </c>
      <c r="E925" s="1">
        <v>1.6525000000000001E-2</v>
      </c>
      <c r="F925" s="1">
        <v>1.5017E-6</v>
      </c>
      <c r="G925" s="1">
        <v>6.7728000000000002</v>
      </c>
      <c r="H925" s="1">
        <v>1.7358E-7</v>
      </c>
      <c r="I925" s="1">
        <f t="shared" si="126"/>
        <v>1.7358E-7</v>
      </c>
      <c r="J925" s="4">
        <f t="shared" si="127"/>
        <v>-1.6915554795330371E-8</v>
      </c>
      <c r="K925" s="4">
        <f t="shared" si="128"/>
        <v>-2.4933498927721526E-8</v>
      </c>
      <c r="L925" s="4">
        <f t="shared" si="129"/>
        <v>-7.7296967928495577E-9</v>
      </c>
      <c r="M925" s="4">
        <f t="shared" si="131"/>
        <v>-8.1367307269840267E-9</v>
      </c>
      <c r="N925" s="5">
        <f t="shared" si="132"/>
        <v>7.5029366535920916E-8</v>
      </c>
      <c r="O925" s="5">
        <f t="shared" si="133"/>
        <v>1.2787597572470515E-6</v>
      </c>
      <c r="P925" s="5">
        <f t="shared" si="134"/>
        <v>4.4621087621702951E-7</v>
      </c>
      <c r="Q925" s="1">
        <f t="shared" si="130"/>
        <v>1.8000000000000018E-6</v>
      </c>
    </row>
    <row r="926" spans="1:17" x14ac:dyDescent="0.25">
      <c r="A926" s="1">
        <v>46.2</v>
      </c>
      <c r="B926" s="1">
        <v>1.5051E-2</v>
      </c>
      <c r="C926" s="1">
        <v>2.8999999999999998E-3</v>
      </c>
      <c r="D926" s="1">
        <v>2.6041000000000002E-2</v>
      </c>
      <c r="E926" s="1">
        <v>1.6485E-2</v>
      </c>
      <c r="F926" s="1">
        <v>1.4989E-6</v>
      </c>
      <c r="G926" s="1">
        <v>6.7725999999999997</v>
      </c>
      <c r="H926" s="1">
        <v>1.7364000000000001E-7</v>
      </c>
      <c r="I926" s="1">
        <f t="shared" si="126"/>
        <v>1.7364000000000001E-7</v>
      </c>
      <c r="J926" s="4">
        <f t="shared" si="127"/>
        <v>-1.6919894131003897E-8</v>
      </c>
      <c r="K926" s="4">
        <f t="shared" si="128"/>
        <v>-2.4935815266319632E-8</v>
      </c>
      <c r="L926" s="4">
        <f t="shared" si="129"/>
        <v>-7.7268774697781417E-9</v>
      </c>
      <c r="M926" s="4">
        <f t="shared" si="131"/>
        <v>-8.1325948088446508E-9</v>
      </c>
      <c r="N926" s="5">
        <f t="shared" si="132"/>
        <v>7.531841020145852E-8</v>
      </c>
      <c r="O926" s="5">
        <f t="shared" si="133"/>
        <v>1.2788764309205806E-6</v>
      </c>
      <c r="P926" s="5">
        <f t="shared" si="134"/>
        <v>4.45805158877963E-7</v>
      </c>
      <c r="Q926" s="1">
        <f t="shared" si="130"/>
        <v>1.8000000000000022E-6</v>
      </c>
    </row>
    <row r="927" spans="1:17" x14ac:dyDescent="0.25">
      <c r="A927" s="1">
        <v>46.25</v>
      </c>
      <c r="B927" s="1">
        <v>1.502E-2</v>
      </c>
      <c r="C927" s="1">
        <v>2.8934999999999998E-3</v>
      </c>
      <c r="D927" s="1">
        <v>2.606E-2</v>
      </c>
      <c r="E927" s="1">
        <v>1.6445000000000001E-2</v>
      </c>
      <c r="F927" s="1">
        <v>1.4962E-6</v>
      </c>
      <c r="G927" s="1">
        <v>6.7724000000000002</v>
      </c>
      <c r="H927" s="1">
        <v>1.7371000000000001E-7</v>
      </c>
      <c r="I927" s="1">
        <f t="shared" si="126"/>
        <v>1.7371000000000001E-7</v>
      </c>
      <c r="J927" s="4">
        <f t="shared" si="127"/>
        <v>-1.6921796333488358E-8</v>
      </c>
      <c r="K927" s="4">
        <f t="shared" si="128"/>
        <v>-2.4938090402949908E-8</v>
      </c>
      <c r="L927" s="4">
        <f t="shared" si="129"/>
        <v>-7.7234413377400467E-9</v>
      </c>
      <c r="M927" s="4">
        <f t="shared" si="131"/>
        <v>-8.1280088176943358E-9</v>
      </c>
      <c r="N927" s="5">
        <f t="shared" si="132"/>
        <v>7.5611262933180022E-8</v>
      </c>
      <c r="O927" s="5">
        <f t="shared" si="133"/>
        <v>1.2789881456688134E-6</v>
      </c>
      <c r="P927" s="5">
        <f t="shared" si="134"/>
        <v>4.4540059139800869E-7</v>
      </c>
      <c r="Q927" s="1">
        <f t="shared" si="130"/>
        <v>1.800000000000002E-6</v>
      </c>
    </row>
    <row r="928" spans="1:17" x14ac:dyDescent="0.25">
      <c r="A928" s="1">
        <v>46.3</v>
      </c>
      <c r="B928" s="1">
        <v>1.4989000000000001E-2</v>
      </c>
      <c r="C928" s="1">
        <v>2.8869E-3</v>
      </c>
      <c r="D928" s="1">
        <v>2.6079000000000001E-2</v>
      </c>
      <c r="E928" s="1">
        <v>1.6406E-2</v>
      </c>
      <c r="F928" s="1">
        <v>1.4935E-6</v>
      </c>
      <c r="G928" s="1">
        <v>6.7721999999999998</v>
      </c>
      <c r="H928" s="1">
        <v>1.7378000000000001E-7</v>
      </c>
      <c r="I928" s="1">
        <f t="shared" si="126"/>
        <v>1.7378000000000001E-7</v>
      </c>
      <c r="J928" s="4">
        <f t="shared" si="127"/>
        <v>-1.6926446502884393E-8</v>
      </c>
      <c r="K928" s="4">
        <f t="shared" si="128"/>
        <v>-2.4940268840540443E-8</v>
      </c>
      <c r="L928" s="4">
        <f t="shared" si="129"/>
        <v>-7.7207255906344447E-9</v>
      </c>
      <c r="M928" s="4">
        <f t="shared" si="131"/>
        <v>-8.1239063568330888E-9</v>
      </c>
      <c r="N928" s="5">
        <f t="shared" si="132"/>
        <v>7.5904359680201624E-8</v>
      </c>
      <c r="O928" s="5">
        <f t="shared" si="133"/>
        <v>1.2790982296879904E-6</v>
      </c>
      <c r="P928" s="5">
        <f t="shared" si="134"/>
        <v>4.4499741063181003E-7</v>
      </c>
      <c r="Q928" s="1">
        <f t="shared" si="130"/>
        <v>1.800000000000002E-6</v>
      </c>
    </row>
    <row r="929" spans="1:17" x14ac:dyDescent="0.25">
      <c r="A929" s="1">
        <v>46.35</v>
      </c>
      <c r="B929" s="1">
        <v>1.4958000000000001E-2</v>
      </c>
      <c r="C929" s="1">
        <v>2.8804E-3</v>
      </c>
      <c r="D929" s="1">
        <v>2.6096999999999999E-2</v>
      </c>
      <c r="E929" s="1">
        <v>1.6365999999999999E-2</v>
      </c>
      <c r="F929" s="1">
        <v>1.4907E-6</v>
      </c>
      <c r="G929" s="1">
        <v>6.7720000000000002</v>
      </c>
      <c r="H929" s="1">
        <v>1.7385000000000001E-7</v>
      </c>
      <c r="I929" s="1">
        <f t="shared" si="126"/>
        <v>1.7385000000000001E-7</v>
      </c>
      <c r="J929" s="4">
        <f t="shared" si="127"/>
        <v>-1.6930788122590066E-8</v>
      </c>
      <c r="K929" s="4">
        <f t="shared" si="128"/>
        <v>-2.4942415478917943E-8</v>
      </c>
      <c r="L929" s="4">
        <f t="shared" si="129"/>
        <v>-7.7183194927869579E-9</v>
      </c>
      <c r="M929" s="4">
        <f t="shared" si="131"/>
        <v>-8.1198232520582669E-9</v>
      </c>
      <c r="N929" s="5">
        <f t="shared" si="132"/>
        <v>7.6197667543742545E-8</v>
      </c>
      <c r="O929" s="5">
        <f t="shared" si="133"/>
        <v>1.279206425583721E-6</v>
      </c>
      <c r="P929" s="5">
        <f t="shared" si="134"/>
        <v>4.4459590687253872E-7</v>
      </c>
      <c r="Q929" s="1">
        <f t="shared" si="130"/>
        <v>1.8000000000000022E-6</v>
      </c>
    </row>
    <row r="930" spans="1:17" x14ac:dyDescent="0.25">
      <c r="A930" s="1">
        <v>46.4</v>
      </c>
      <c r="B930" s="1">
        <v>1.4926999999999999E-2</v>
      </c>
      <c r="C930" s="1">
        <v>2.8738000000000001E-3</v>
      </c>
      <c r="D930" s="1">
        <v>2.6116E-2</v>
      </c>
      <c r="E930" s="1">
        <v>1.6326E-2</v>
      </c>
      <c r="F930" s="1">
        <v>1.488E-6</v>
      </c>
      <c r="G930" s="1">
        <v>6.7717999999999998</v>
      </c>
      <c r="H930" s="1">
        <v>1.7392000000000001E-7</v>
      </c>
      <c r="I930" s="1">
        <f t="shared" si="126"/>
        <v>1.7392000000000001E-7</v>
      </c>
      <c r="J930" s="4">
        <f t="shared" si="127"/>
        <v>-1.6932542738520655E-8</v>
      </c>
      <c r="K930" s="4">
        <f t="shared" si="128"/>
        <v>-2.4944525298881144E-8</v>
      </c>
      <c r="L930" s="4">
        <f t="shared" si="129"/>
        <v>-7.7147627088167332E-9</v>
      </c>
      <c r="M930" s="4">
        <f t="shared" si="131"/>
        <v>-8.115764833027579E-9</v>
      </c>
      <c r="N930" s="5">
        <f t="shared" si="132"/>
        <v>7.6494887395286306E-8</v>
      </c>
      <c r="O930" s="5">
        <f t="shared" si="133"/>
        <v>1.2793102078563883E-6</v>
      </c>
      <c r="P930" s="5">
        <f t="shared" si="134"/>
        <v>4.4419490474832789E-7</v>
      </c>
      <c r="Q930" s="1">
        <f t="shared" si="130"/>
        <v>1.8000000000000025E-6</v>
      </c>
    </row>
    <row r="931" spans="1:17" x14ac:dyDescent="0.25">
      <c r="A931" s="1">
        <v>46.45</v>
      </c>
      <c r="B931" s="1">
        <v>1.4897000000000001E-2</v>
      </c>
      <c r="C931" s="1">
        <v>2.8671999999999999E-3</v>
      </c>
      <c r="D931" s="1">
        <v>2.6134999999999999E-2</v>
      </c>
      <c r="E931" s="1">
        <v>1.6286999999999999E-2</v>
      </c>
      <c r="F931" s="1">
        <v>1.4852E-6</v>
      </c>
      <c r="G931" s="1">
        <v>6.7716000000000003</v>
      </c>
      <c r="H931" s="1">
        <v>1.7399000000000001E-7</v>
      </c>
      <c r="I931" s="1">
        <f t="shared" si="126"/>
        <v>1.7399000000000001E-7</v>
      </c>
      <c r="J931" s="4">
        <f t="shared" si="127"/>
        <v>-1.6937069595696325E-8</v>
      </c>
      <c r="K931" s="4">
        <f t="shared" si="128"/>
        <v>-2.49465490532017E-8</v>
      </c>
      <c r="L931" s="4">
        <f t="shared" si="129"/>
        <v>-7.7119326788323488E-9</v>
      </c>
      <c r="M931" s="4">
        <f t="shared" si="131"/>
        <v>-8.1117096725527562E-9</v>
      </c>
      <c r="N931" s="5">
        <f t="shared" si="132"/>
        <v>7.6792434173959328E-8</v>
      </c>
      <c r="O931" s="5">
        <f t="shared" si="133"/>
        <v>1.2794124380714358E-6</v>
      </c>
      <c r="P931" s="5">
        <f t="shared" si="134"/>
        <v>4.4379512775460746E-7</v>
      </c>
      <c r="Q931" s="1">
        <f t="shared" si="130"/>
        <v>1.8000000000000027E-6</v>
      </c>
    </row>
    <row r="932" spans="1:17" x14ac:dyDescent="0.25">
      <c r="A932" s="1">
        <v>46.5</v>
      </c>
      <c r="B932" s="1">
        <v>1.4866000000000001E-2</v>
      </c>
      <c r="C932" s="1">
        <v>2.8606999999999999E-3</v>
      </c>
      <c r="D932" s="1">
        <v>2.6152999999999999E-2</v>
      </c>
      <c r="E932" s="1">
        <v>1.6247000000000001E-2</v>
      </c>
      <c r="F932" s="1">
        <v>1.4824E-6</v>
      </c>
      <c r="G932" s="1">
        <v>6.7714999999999996</v>
      </c>
      <c r="H932" s="1">
        <v>1.7406000000000001E-7</v>
      </c>
      <c r="I932" s="1">
        <f t="shared" si="126"/>
        <v>1.7406000000000001E-7</v>
      </c>
      <c r="J932" s="4">
        <f t="shared" si="127"/>
        <v>-1.6939021342885651E-8</v>
      </c>
      <c r="K932" s="4">
        <f t="shared" si="128"/>
        <v>-2.4948542542391582E-8</v>
      </c>
      <c r="L932" s="4">
        <f t="shared" si="129"/>
        <v>-7.7089027641937189E-9</v>
      </c>
      <c r="M932" s="4">
        <f t="shared" si="131"/>
        <v>-8.107670999192076E-9</v>
      </c>
      <c r="N932" s="5">
        <f t="shared" si="132"/>
        <v>7.7093052609271544E-8</v>
      </c>
      <c r="O932" s="5">
        <f t="shared" si="133"/>
        <v>1.2795105878711221E-6</v>
      </c>
      <c r="P932" s="5">
        <f t="shared" si="134"/>
        <v>4.4339635951960907E-7</v>
      </c>
      <c r="Q932" s="1">
        <f t="shared" si="130"/>
        <v>1.8000000000000027E-6</v>
      </c>
    </row>
    <row r="933" spans="1:17" x14ac:dyDescent="0.25">
      <c r="A933" s="1">
        <v>46.55</v>
      </c>
      <c r="B933" s="1">
        <v>1.4834999999999999E-2</v>
      </c>
      <c r="C933" s="1">
        <v>2.8541E-3</v>
      </c>
      <c r="D933" s="1">
        <v>2.6172000000000001E-2</v>
      </c>
      <c r="E933" s="1">
        <v>1.6208E-2</v>
      </c>
      <c r="F933" s="1">
        <v>1.4797E-6</v>
      </c>
      <c r="G933" s="1">
        <v>6.7713000000000001</v>
      </c>
      <c r="H933" s="1">
        <v>1.7413000000000001E-7</v>
      </c>
      <c r="I933" s="1">
        <f t="shared" si="126"/>
        <v>1.7413000000000001E-7</v>
      </c>
      <c r="J933" s="4">
        <f t="shared" si="127"/>
        <v>-1.6941273553705805E-8</v>
      </c>
      <c r="K933" s="4">
        <f t="shared" si="128"/>
        <v>-2.4950456463485462E-8</v>
      </c>
      <c r="L933" s="4">
        <f t="shared" si="129"/>
        <v>-7.7055195387364515E-9</v>
      </c>
      <c r="M933" s="4">
        <f t="shared" si="131"/>
        <v>-8.1036448854877715E-9</v>
      </c>
      <c r="N933" s="5">
        <f t="shared" si="132"/>
        <v>7.7396715980314759E-8</v>
      </c>
      <c r="O933" s="5">
        <f t="shared" si="133"/>
        <v>1.2796050498468301E-6</v>
      </c>
      <c r="P933" s="5">
        <f t="shared" si="134"/>
        <v>4.4299823417285775E-7</v>
      </c>
      <c r="Q933" s="1">
        <f t="shared" si="130"/>
        <v>1.8000000000000027E-6</v>
      </c>
    </row>
    <row r="934" spans="1:17" x14ac:dyDescent="0.25">
      <c r="A934" s="1">
        <v>46.6</v>
      </c>
      <c r="B934" s="1">
        <v>1.4805E-2</v>
      </c>
      <c r="C934" s="1">
        <v>2.8476E-3</v>
      </c>
      <c r="D934" s="1">
        <v>2.6190999999999999E-2</v>
      </c>
      <c r="E934" s="1">
        <v>1.6168999999999999E-2</v>
      </c>
      <c r="F934" s="1">
        <v>1.4769E-6</v>
      </c>
      <c r="G934" s="1">
        <v>6.7710999999999997</v>
      </c>
      <c r="H934" s="1">
        <v>1.7420000000000001E-7</v>
      </c>
      <c r="I934" s="1">
        <f t="shared" si="126"/>
        <v>1.7420000000000001E-7</v>
      </c>
      <c r="J934" s="4">
        <f t="shared" si="127"/>
        <v>-1.694610453652098E-8</v>
      </c>
      <c r="K934" s="4">
        <f t="shared" si="128"/>
        <v>-2.4952298472015317E-8</v>
      </c>
      <c r="L934" s="4">
        <f t="shared" si="129"/>
        <v>-7.7032453785288778E-9</v>
      </c>
      <c r="M934" s="4">
        <f t="shared" si="131"/>
        <v>-8.0996246642352622E-9</v>
      </c>
      <c r="N934" s="5">
        <f t="shared" si="132"/>
        <v>7.7699664537280211E-8</v>
      </c>
      <c r="O934" s="5">
        <f t="shared" si="133"/>
        <v>1.279698480575571E-6</v>
      </c>
      <c r="P934" s="5">
        <f t="shared" si="134"/>
        <v>4.4260185488715135E-7</v>
      </c>
      <c r="Q934" s="1">
        <f t="shared" si="130"/>
        <v>1.8000000000000025E-6</v>
      </c>
    </row>
    <row r="935" spans="1:17" x14ac:dyDescent="0.25">
      <c r="A935" s="1">
        <v>46.65</v>
      </c>
      <c r="B935" s="1">
        <v>1.4774000000000001E-2</v>
      </c>
      <c r="C935" s="1">
        <v>2.8410000000000002E-3</v>
      </c>
      <c r="D935" s="1">
        <v>2.6209E-2</v>
      </c>
      <c r="E935" s="1">
        <v>1.6129000000000001E-2</v>
      </c>
      <c r="F935" s="1">
        <v>1.4741E-6</v>
      </c>
      <c r="G935" s="1">
        <v>6.7709000000000001</v>
      </c>
      <c r="H935" s="1">
        <v>1.7427000000000001E-7</v>
      </c>
      <c r="I935" s="1">
        <f t="shared" si="126"/>
        <v>1.7427000000000001E-7</v>
      </c>
      <c r="J935" s="4">
        <f t="shared" si="127"/>
        <v>-1.6948111977443106E-8</v>
      </c>
      <c r="K935" s="4">
        <f t="shared" si="128"/>
        <v>-2.4954120371222216E-8</v>
      </c>
      <c r="L935" s="4">
        <f t="shared" si="129"/>
        <v>-7.700190897404035E-9</v>
      </c>
      <c r="M935" s="4">
        <f t="shared" si="131"/>
        <v>-8.0956305277404248E-9</v>
      </c>
      <c r="N935" s="5">
        <f t="shared" si="132"/>
        <v>7.8005482033655297E-8</v>
      </c>
      <c r="O935" s="5">
        <f t="shared" si="133"/>
        <v>1.2797881027095324E-6</v>
      </c>
      <c r="P935" s="5">
        <f t="shared" si="134"/>
        <v>4.4220641525681494E-7</v>
      </c>
      <c r="Q935" s="1">
        <f t="shared" si="130"/>
        <v>1.8000000000000027E-6</v>
      </c>
    </row>
    <row r="936" spans="1:17" x14ac:dyDescent="0.25">
      <c r="A936" s="1">
        <v>46.7</v>
      </c>
      <c r="B936" s="1">
        <v>1.4744E-2</v>
      </c>
      <c r="C936" s="1">
        <v>2.8345000000000002E-3</v>
      </c>
      <c r="D936" s="1">
        <v>2.6228000000000001E-2</v>
      </c>
      <c r="E936" s="1">
        <v>1.609E-2</v>
      </c>
      <c r="F936" s="1">
        <v>1.4714E-6</v>
      </c>
      <c r="G936" s="1">
        <v>6.7706999999999997</v>
      </c>
      <c r="H936" s="1">
        <v>1.7433E-7</v>
      </c>
      <c r="I936" s="1">
        <f t="shared" si="126"/>
        <v>1.7433E-7</v>
      </c>
      <c r="J936" s="4">
        <f t="shared" si="127"/>
        <v>-1.6950363547912685E-8</v>
      </c>
      <c r="K936" s="4">
        <f t="shared" si="128"/>
        <v>-2.495586800283801E-8</v>
      </c>
      <c r="L936" s="4">
        <f t="shared" si="129"/>
        <v>-7.6967540648991073E-9</v>
      </c>
      <c r="M936" s="4">
        <f t="shared" si="131"/>
        <v>-8.09164775861523E-9</v>
      </c>
      <c r="N936" s="5">
        <f t="shared" si="132"/>
        <v>7.8314232423681516E-8</v>
      </c>
      <c r="O936" s="5">
        <f t="shared" si="133"/>
        <v>1.2798742460132224E-6</v>
      </c>
      <c r="P936" s="5">
        <f t="shared" si="134"/>
        <v>4.4181152156309884E-7</v>
      </c>
      <c r="Q936" s="1">
        <f t="shared" si="130"/>
        <v>1.8000000000000027E-6</v>
      </c>
    </row>
    <row r="937" spans="1:17" x14ac:dyDescent="0.25">
      <c r="A937" s="1">
        <v>46.75</v>
      </c>
      <c r="B937" s="1">
        <v>1.4713E-2</v>
      </c>
      <c r="C937" s="1">
        <v>2.8278999999999999E-3</v>
      </c>
      <c r="D937" s="1">
        <v>2.6245999999999998E-2</v>
      </c>
      <c r="E937" s="1">
        <v>1.6050999999999999E-2</v>
      </c>
      <c r="F937" s="1">
        <v>1.4686E-6</v>
      </c>
      <c r="G937" s="1">
        <v>6.7705000000000002</v>
      </c>
      <c r="H937" s="1">
        <v>1.744E-7</v>
      </c>
      <c r="I937" s="1">
        <f t="shared" si="126"/>
        <v>1.744E-7</v>
      </c>
      <c r="J937" s="4">
        <f t="shared" si="127"/>
        <v>-1.6955171972087519E-8</v>
      </c>
      <c r="K937" s="4">
        <f t="shared" si="128"/>
        <v>-2.4957547797256416E-8</v>
      </c>
      <c r="L937" s="4">
        <f t="shared" si="129"/>
        <v>-7.6944146777095678E-9</v>
      </c>
      <c r="M937" s="4">
        <f t="shared" si="131"/>
        <v>-8.0872052681795174E-9</v>
      </c>
      <c r="N937" s="5">
        <f t="shared" si="132"/>
        <v>7.8622193571140856E-8</v>
      </c>
      <c r="O937" s="5">
        <f t="shared" si="133"/>
        <v>1.279959075456233E-6</v>
      </c>
      <c r="P937" s="5">
        <f t="shared" si="134"/>
        <v>4.4141873097262892E-7</v>
      </c>
      <c r="Q937" s="1">
        <f t="shared" si="130"/>
        <v>1.8000000000000029E-6</v>
      </c>
    </row>
    <row r="938" spans="1:17" x14ac:dyDescent="0.25">
      <c r="A938" s="1">
        <v>46.8</v>
      </c>
      <c r="B938" s="1">
        <v>1.4683E-2</v>
      </c>
      <c r="C938" s="1">
        <v>2.8213000000000001E-3</v>
      </c>
      <c r="D938" s="1">
        <v>2.6265E-2</v>
      </c>
      <c r="E938" s="1">
        <v>1.6011999999999998E-2</v>
      </c>
      <c r="F938" s="1">
        <v>1.4658E-6</v>
      </c>
      <c r="G938" s="1">
        <v>6.7704000000000004</v>
      </c>
      <c r="H938" s="1">
        <v>1.7447E-7</v>
      </c>
      <c r="I938" s="1">
        <f t="shared" si="126"/>
        <v>1.7447E-7</v>
      </c>
      <c r="J938" s="4">
        <f t="shared" si="127"/>
        <v>-1.6957124323862922E-8</v>
      </c>
      <c r="K938" s="4">
        <f t="shared" si="128"/>
        <v>-2.4959201971395128E-8</v>
      </c>
      <c r="L938" s="4">
        <f t="shared" si="129"/>
        <v>-7.6912844237208472E-9</v>
      </c>
      <c r="M938" s="4">
        <f t="shared" si="131"/>
        <v>-8.0832598015703217E-9</v>
      </c>
      <c r="N938" s="5">
        <f t="shared" si="132"/>
        <v>7.8932986794952212E-8</v>
      </c>
      <c r="O938" s="5">
        <f t="shared" si="133"/>
        <v>1.2800402576102712E-6</v>
      </c>
      <c r="P938" s="5">
        <f t="shared" si="134"/>
        <v>4.4102675559477945E-7</v>
      </c>
      <c r="Q938" s="1">
        <f t="shared" si="130"/>
        <v>1.8000000000000029E-6</v>
      </c>
    </row>
    <row r="939" spans="1:17" x14ac:dyDescent="0.25">
      <c r="A939" s="1">
        <v>46.85</v>
      </c>
      <c r="B939" s="1">
        <v>1.4652999999999999E-2</v>
      </c>
      <c r="C939" s="1">
        <v>2.8148000000000001E-3</v>
      </c>
      <c r="D939" s="1">
        <v>2.6283000000000001E-2</v>
      </c>
      <c r="E939" s="1">
        <v>1.5973000000000001E-2</v>
      </c>
      <c r="F939" s="1">
        <v>1.463E-6</v>
      </c>
      <c r="G939" s="1">
        <v>6.7702</v>
      </c>
      <c r="H939" s="1">
        <v>1.7454E-7</v>
      </c>
      <c r="I939" s="1">
        <f t="shared" si="126"/>
        <v>1.7454E-7</v>
      </c>
      <c r="J939" s="4">
        <f t="shared" si="127"/>
        <v>-1.6959301902216972E-8</v>
      </c>
      <c r="K939" s="4">
        <f t="shared" si="128"/>
        <v>-2.496078502340242E-8</v>
      </c>
      <c r="L939" s="4">
        <f t="shared" si="129"/>
        <v>-7.6882400023327679E-9</v>
      </c>
      <c r="M939" s="4">
        <f t="shared" si="131"/>
        <v>-8.0793234951059128E-9</v>
      </c>
      <c r="N939" s="5">
        <f t="shared" si="132"/>
        <v>7.9246229913804876E-8</v>
      </c>
      <c r="O939" s="5">
        <f t="shared" si="133"/>
        <v>1.2801180979841917E-6</v>
      </c>
      <c r="P939" s="5">
        <f t="shared" si="134"/>
        <v>4.406356721020063E-7</v>
      </c>
      <c r="Q939" s="1">
        <f t="shared" si="130"/>
        <v>1.8000000000000029E-6</v>
      </c>
    </row>
    <row r="940" spans="1:17" x14ac:dyDescent="0.25">
      <c r="A940" s="1">
        <v>46.9</v>
      </c>
      <c r="B940" s="1">
        <v>1.4622E-2</v>
      </c>
      <c r="C940" s="1">
        <v>2.8081999999999998E-3</v>
      </c>
      <c r="D940" s="1">
        <v>2.6301999999999999E-2</v>
      </c>
      <c r="E940" s="1">
        <v>1.5934E-2</v>
      </c>
      <c r="F940" s="1">
        <v>1.4602E-6</v>
      </c>
      <c r="G940" s="1">
        <v>6.77</v>
      </c>
      <c r="H940" s="1">
        <v>1.7461E-7</v>
      </c>
      <c r="I940" s="1">
        <f t="shared" si="126"/>
        <v>1.7461E-7</v>
      </c>
      <c r="J940" s="4">
        <f t="shared" si="127"/>
        <v>-1.6961617387437099E-8</v>
      </c>
      <c r="K940" s="4">
        <f t="shared" si="128"/>
        <v>-2.4962302910690318E-8</v>
      </c>
      <c r="L940" s="4">
        <f t="shared" si="129"/>
        <v>-7.685241594651819E-9</v>
      </c>
      <c r="M940" s="4">
        <f t="shared" si="131"/>
        <v>-8.0753977719113806E-9</v>
      </c>
      <c r="N940" s="5">
        <f t="shared" si="132"/>
        <v>7.9561673842406268E-8</v>
      </c>
      <c r="O940" s="5">
        <f t="shared" si="133"/>
        <v>1.28019281023285E-6</v>
      </c>
      <c r="P940" s="5">
        <f t="shared" si="134"/>
        <v>4.4024551592474676E-7</v>
      </c>
      <c r="Q940" s="1">
        <f t="shared" si="130"/>
        <v>1.8000000000000031E-6</v>
      </c>
    </row>
    <row r="941" spans="1:17" x14ac:dyDescent="0.25">
      <c r="A941" s="1">
        <v>46.95</v>
      </c>
      <c r="B941" s="1">
        <v>1.4592000000000001E-2</v>
      </c>
      <c r="C941" s="1">
        <v>2.8016999999999999E-3</v>
      </c>
      <c r="D941" s="1">
        <v>2.632E-2</v>
      </c>
      <c r="E941" s="1">
        <v>1.5896E-2</v>
      </c>
      <c r="F941" s="1">
        <v>1.4574E-6</v>
      </c>
      <c r="G941" s="1">
        <v>6.7698</v>
      </c>
      <c r="H941" s="1">
        <v>1.7466999999999999E-7</v>
      </c>
      <c r="I941" s="1">
        <f t="shared" si="126"/>
        <v>1.7466999999999999E-7</v>
      </c>
      <c r="J941" s="4">
        <f t="shared" si="127"/>
        <v>-1.696401311624786E-8</v>
      </c>
      <c r="K941" s="4">
        <f t="shared" si="128"/>
        <v>-2.4963759799542705E-8</v>
      </c>
      <c r="L941" s="4">
        <f t="shared" si="129"/>
        <v>-7.6822628936194877E-9</v>
      </c>
      <c r="M941" s="4">
        <f t="shared" si="131"/>
        <v>-8.0714833012407909E-9</v>
      </c>
      <c r="N941" s="5">
        <f t="shared" si="132"/>
        <v>7.9879157632081618E-8</v>
      </c>
      <c r="O941" s="5">
        <f t="shared" si="133"/>
        <v>1.2802645468507961E-6</v>
      </c>
      <c r="P941" s="5">
        <f t="shared" si="134"/>
        <v>4.3985629551712545E-7</v>
      </c>
      <c r="Q941" s="1">
        <f t="shared" si="130"/>
        <v>1.8000000000000031E-6</v>
      </c>
    </row>
    <row r="942" spans="1:17" x14ac:dyDescent="0.25">
      <c r="A942" s="1">
        <v>47</v>
      </c>
      <c r="B942" s="1">
        <v>1.4562E-2</v>
      </c>
      <c r="C942" s="1">
        <v>2.7951E-3</v>
      </c>
      <c r="D942" s="1">
        <v>2.6338E-2</v>
      </c>
      <c r="E942" s="1">
        <v>1.5857E-2</v>
      </c>
      <c r="F942" s="1">
        <v>1.4546E-6</v>
      </c>
      <c r="G942" s="1">
        <v>6.7695999999999996</v>
      </c>
      <c r="H942" s="1">
        <v>1.7473999999999999E-7</v>
      </c>
      <c r="I942" s="1">
        <f t="shared" si="126"/>
        <v>1.7473999999999999E-7</v>
      </c>
      <c r="J942" s="4">
        <f t="shared" si="127"/>
        <v>-1.6966450982689839E-8</v>
      </c>
      <c r="K942" s="4">
        <f t="shared" si="128"/>
        <v>-2.4965158663589102E-8</v>
      </c>
      <c r="L942" s="4">
        <f t="shared" si="129"/>
        <v>-7.6797696240323605E-9</v>
      </c>
      <c r="M942" s="4">
        <f t="shared" si="131"/>
        <v>-8.067118409487052E-9</v>
      </c>
      <c r="N942" s="5">
        <f t="shared" si="132"/>
        <v>8.019809568894853E-8</v>
      </c>
      <c r="O942" s="5">
        <f t="shared" si="133"/>
        <v>1.2803329575793837E-6</v>
      </c>
      <c r="P942" s="5">
        <f t="shared" si="134"/>
        <v>4.3946894673167076E-7</v>
      </c>
      <c r="Q942" s="1">
        <f t="shared" si="130"/>
        <v>1.8000000000000031E-6</v>
      </c>
    </row>
    <row r="943" spans="1:17" x14ac:dyDescent="0.25">
      <c r="A943" s="1">
        <v>47.05</v>
      </c>
      <c r="B943" s="1">
        <v>1.4532E-2</v>
      </c>
      <c r="C943" s="1">
        <v>2.7886E-3</v>
      </c>
      <c r="D943" s="1">
        <v>2.6356999999999998E-2</v>
      </c>
      <c r="E943" s="1">
        <v>1.5817999999999999E-2</v>
      </c>
      <c r="F943" s="1">
        <v>1.4518E-6</v>
      </c>
      <c r="G943" s="1">
        <v>6.7694000000000001</v>
      </c>
      <c r="H943" s="1">
        <v>1.7480999999999999E-7</v>
      </c>
      <c r="I943" s="1">
        <f t="shared" si="126"/>
        <v>1.7480999999999999E-7</v>
      </c>
      <c r="J943" s="4">
        <f t="shared" si="127"/>
        <v>-1.6968803577420002E-8</v>
      </c>
      <c r="K943" s="4">
        <f t="shared" si="128"/>
        <v>-2.4966492672796564E-8</v>
      </c>
      <c r="L943" s="4">
        <f t="shared" si="129"/>
        <v>-7.6767387670677024E-9</v>
      </c>
      <c r="M943" s="4">
        <f t="shared" si="131"/>
        <v>-8.0632443939482169E-9</v>
      </c>
      <c r="N943" s="5">
        <f t="shared" si="132"/>
        <v>8.0519046017257386E-8</v>
      </c>
      <c r="O943" s="5">
        <f t="shared" si="133"/>
        <v>1.2803985128779555E-6</v>
      </c>
      <c r="P943" s="5">
        <f t="shared" si="134"/>
        <v>4.3908244110479026E-7</v>
      </c>
      <c r="Q943" s="1">
        <f t="shared" si="130"/>
        <v>1.8000000000000031E-6</v>
      </c>
    </row>
    <row r="944" spans="1:17" x14ac:dyDescent="0.25">
      <c r="A944" s="1">
        <v>47.1</v>
      </c>
      <c r="B944" s="1">
        <v>1.4501999999999999E-2</v>
      </c>
      <c r="C944" s="1">
        <v>2.7820000000000002E-3</v>
      </c>
      <c r="D944" s="1">
        <v>2.6374999999999999E-2</v>
      </c>
      <c r="E944" s="1">
        <v>1.5779999999999999E-2</v>
      </c>
      <c r="F944" s="1">
        <v>1.449E-6</v>
      </c>
      <c r="G944" s="1">
        <v>6.7693000000000003</v>
      </c>
      <c r="H944" s="1">
        <v>1.7487999999999999E-7</v>
      </c>
      <c r="I944" s="1">
        <f t="shared" si="126"/>
        <v>1.7487999999999999E-7</v>
      </c>
      <c r="J944" s="4">
        <f t="shared" si="127"/>
        <v>-1.697118645532173E-8</v>
      </c>
      <c r="K944" s="4">
        <f t="shared" si="128"/>
        <v>-2.4967771001122261E-8</v>
      </c>
      <c r="L944" s="4">
        <f t="shared" si="129"/>
        <v>-7.6737046666459452E-9</v>
      </c>
      <c r="M944" s="4">
        <f t="shared" si="131"/>
        <v>-8.0593801606011674E-9</v>
      </c>
      <c r="N944" s="5">
        <f t="shared" si="132"/>
        <v>8.0841925896411973E-8</v>
      </c>
      <c r="O944" s="5">
        <f t="shared" si="133"/>
        <v>1.2804613084927564E-6</v>
      </c>
      <c r="P944" s="5">
        <f t="shared" si="134"/>
        <v>4.3869676561083505E-7</v>
      </c>
      <c r="Q944" s="1">
        <f t="shared" si="130"/>
        <v>1.8000000000000035E-6</v>
      </c>
    </row>
    <row r="945" spans="1:17" x14ac:dyDescent="0.25">
      <c r="A945" s="1">
        <v>47.15</v>
      </c>
      <c r="B945" s="1">
        <v>1.4472E-2</v>
      </c>
      <c r="C945" s="1">
        <v>2.7755000000000002E-3</v>
      </c>
      <c r="D945" s="1">
        <v>2.6393E-2</v>
      </c>
      <c r="E945" s="1">
        <v>1.5741000000000002E-2</v>
      </c>
      <c r="F945" s="1">
        <v>1.4462E-6</v>
      </c>
      <c r="G945" s="1">
        <v>6.7690999999999999</v>
      </c>
      <c r="H945" s="1">
        <v>1.7494E-7</v>
      </c>
      <c r="I945" s="1">
        <f t="shared" si="126"/>
        <v>1.7494E-7</v>
      </c>
      <c r="J945" s="4">
        <f t="shared" si="127"/>
        <v>-1.6973578845402285E-8</v>
      </c>
      <c r="K945" s="4">
        <f t="shared" si="128"/>
        <v>-2.4968995515607333E-8</v>
      </c>
      <c r="L945" s="4">
        <f t="shared" si="129"/>
        <v>-7.6711439465069636E-9</v>
      </c>
      <c r="M945" s="4">
        <f t="shared" si="131"/>
        <v>-8.0555254888519401E-9</v>
      </c>
      <c r="N945" s="5">
        <f t="shared" si="132"/>
        <v>8.1166198620110058E-8</v>
      </c>
      <c r="O945" s="5">
        <f t="shared" si="133"/>
        <v>1.2805214173114033E-6</v>
      </c>
      <c r="P945" s="5">
        <f t="shared" si="134"/>
        <v>4.3831238406849006E-7</v>
      </c>
      <c r="Q945" s="1">
        <f t="shared" si="130"/>
        <v>1.8000000000000035E-6</v>
      </c>
    </row>
    <row r="946" spans="1:17" x14ac:dyDescent="0.25">
      <c r="A946" s="1">
        <v>47.2</v>
      </c>
      <c r="B946" s="1">
        <v>1.4442E-2</v>
      </c>
      <c r="C946" s="1">
        <v>2.7688999999999999E-3</v>
      </c>
      <c r="D946" s="1">
        <v>2.6411E-2</v>
      </c>
      <c r="E946" s="1">
        <v>1.5703000000000002E-2</v>
      </c>
      <c r="F946" s="1">
        <v>1.4434E-6</v>
      </c>
      <c r="G946" s="1">
        <v>6.7689000000000004</v>
      </c>
      <c r="H946" s="1">
        <v>1.7501E-7</v>
      </c>
      <c r="I946" s="1">
        <f t="shared" si="126"/>
        <v>1.7501E-7</v>
      </c>
      <c r="J946" s="4">
        <f t="shared" si="127"/>
        <v>-1.6975865312991031E-8</v>
      </c>
      <c r="K946" s="4">
        <f t="shared" si="128"/>
        <v>-2.4970167637574496E-8</v>
      </c>
      <c r="L946" s="4">
        <f t="shared" si="129"/>
        <v>-7.6680331071147577E-9</v>
      </c>
      <c r="M946" s="4">
        <f t="shared" si="131"/>
        <v>-8.0512286892395603E-9</v>
      </c>
      <c r="N946" s="5">
        <f t="shared" si="132"/>
        <v>8.1492467837578775E-8</v>
      </c>
      <c r="O946" s="5">
        <f t="shared" si="133"/>
        <v>1.2805783436760593E-6</v>
      </c>
      <c r="P946" s="5">
        <f t="shared" si="134"/>
        <v>4.3792918848636523E-7</v>
      </c>
      <c r="Q946" s="1">
        <f t="shared" si="130"/>
        <v>1.8000000000000035E-6</v>
      </c>
    </row>
    <row r="947" spans="1:17" x14ac:dyDescent="0.25">
      <c r="A947" s="1">
        <v>47.25</v>
      </c>
      <c r="B947" s="1">
        <v>1.4413E-2</v>
      </c>
      <c r="C947" s="1">
        <v>2.7623999999999999E-3</v>
      </c>
      <c r="D947" s="1">
        <v>2.6429000000000001E-2</v>
      </c>
      <c r="E947" s="1">
        <v>1.5664999999999998E-2</v>
      </c>
      <c r="F947" s="1">
        <v>1.4406E-6</v>
      </c>
      <c r="G947" s="1">
        <v>6.7686999999999999</v>
      </c>
      <c r="H947" s="1">
        <v>1.7508E-7</v>
      </c>
      <c r="I947" s="1">
        <f t="shared" si="126"/>
        <v>1.7508E-7</v>
      </c>
      <c r="J947" s="4">
        <f t="shared" si="127"/>
        <v>-1.6978169760598746E-8</v>
      </c>
      <c r="K947" s="4">
        <f t="shared" si="128"/>
        <v>-2.4971277701681741E-8</v>
      </c>
      <c r="L947" s="4">
        <f t="shared" si="129"/>
        <v>-7.6654013368804978E-9</v>
      </c>
      <c r="M947" s="4">
        <f t="shared" si="131"/>
        <v>-8.0474086640844138E-9</v>
      </c>
      <c r="N947" s="5">
        <f t="shared" si="132"/>
        <v>8.182017444178128E-8</v>
      </c>
      <c r="O947" s="5">
        <f t="shared" si="133"/>
        <v>1.2806326443990606E-6</v>
      </c>
      <c r="P947" s="5">
        <f t="shared" si="134"/>
        <v>4.3754718115916134E-7</v>
      </c>
      <c r="Q947" s="1">
        <f t="shared" si="130"/>
        <v>1.8000000000000031E-6</v>
      </c>
    </row>
    <row r="948" spans="1:17" x14ac:dyDescent="0.25">
      <c r="A948" s="1">
        <v>47.3</v>
      </c>
      <c r="B948" s="1">
        <v>1.4383E-2</v>
      </c>
      <c r="C948" s="1">
        <v>2.7558000000000001E-3</v>
      </c>
      <c r="D948" s="1">
        <v>2.6447999999999999E-2</v>
      </c>
      <c r="E948" s="1">
        <v>1.5626000000000001E-2</v>
      </c>
      <c r="F948" s="1">
        <v>1.4377E-6</v>
      </c>
      <c r="G948" s="1">
        <v>6.7685000000000004</v>
      </c>
      <c r="H948" s="1">
        <v>1.7515E-7</v>
      </c>
      <c r="I948" s="1">
        <f t="shared" si="126"/>
        <v>1.7515E-7</v>
      </c>
      <c r="J948" s="4">
        <f t="shared" si="127"/>
        <v>-1.6980372843916624E-8</v>
      </c>
      <c r="K948" s="4">
        <f t="shared" si="128"/>
        <v>-2.4972336565780261E-8</v>
      </c>
      <c r="L948" s="4">
        <f t="shared" si="129"/>
        <v>-7.662708548450705E-9</v>
      </c>
      <c r="M948" s="4">
        <f t="shared" si="131"/>
        <v>-8.043604850120869E-9</v>
      </c>
      <c r="N948" s="5">
        <f t="shared" si="132"/>
        <v>8.2149429615194217E-8</v>
      </c>
      <c r="O948" s="5">
        <f t="shared" si="133"/>
        <v>1.280684285527318E-6</v>
      </c>
      <c r="P948" s="5">
        <f t="shared" si="134"/>
        <v>4.3716628485749117E-7</v>
      </c>
      <c r="Q948" s="1">
        <f t="shared" si="130"/>
        <v>1.8000000000000033E-6</v>
      </c>
    </row>
    <row r="949" spans="1:17" x14ac:dyDescent="0.25">
      <c r="A949" s="1">
        <v>47.35</v>
      </c>
      <c r="B949" s="1">
        <v>1.4352999999999999E-2</v>
      </c>
      <c r="C949" s="1">
        <v>2.7493000000000001E-3</v>
      </c>
      <c r="D949" s="1">
        <v>2.6466E-2</v>
      </c>
      <c r="E949" s="1">
        <v>1.5587999999999999E-2</v>
      </c>
      <c r="F949" s="1">
        <v>1.4349E-6</v>
      </c>
      <c r="G949" s="1">
        <v>6.7683999999999997</v>
      </c>
      <c r="H949" s="1">
        <v>1.7520999999999999E-7</v>
      </c>
      <c r="I949" s="1">
        <f t="shared" si="126"/>
        <v>1.7520999999999999E-7</v>
      </c>
      <c r="J949" s="4">
        <f t="shared" si="127"/>
        <v>-1.6980133399879285E-8</v>
      </c>
      <c r="K949" s="4">
        <f t="shared" si="128"/>
        <v>-2.4973343567784831E-8</v>
      </c>
      <c r="L949" s="4">
        <f t="shared" si="129"/>
        <v>-7.6589413139182854E-9</v>
      </c>
      <c r="M949" s="4">
        <f t="shared" si="131"/>
        <v>-8.0398158532435915E-9</v>
      </c>
      <c r="N949" s="5">
        <f t="shared" si="132"/>
        <v>8.2483698469181478E-8</v>
      </c>
      <c r="O949" s="5">
        <f t="shared" si="133"/>
        <v>1.2807308912126561E-6</v>
      </c>
      <c r="P949" s="5">
        <f t="shared" si="134"/>
        <v>4.3678541031816586E-7</v>
      </c>
      <c r="Q949" s="1">
        <f t="shared" si="130"/>
        <v>1.8000000000000035E-6</v>
      </c>
    </row>
    <row r="950" spans="1:17" x14ac:dyDescent="0.25">
      <c r="A950" s="1">
        <v>47.4</v>
      </c>
      <c r="B950" s="1">
        <v>1.4324E-2</v>
      </c>
      <c r="C950" s="1">
        <v>2.7426999999999998E-3</v>
      </c>
      <c r="D950" s="1">
        <v>2.6484000000000001E-2</v>
      </c>
      <c r="E950" s="1">
        <v>1.555E-2</v>
      </c>
      <c r="F950" s="1">
        <v>1.4321E-6</v>
      </c>
      <c r="G950" s="1">
        <v>6.7682000000000002</v>
      </c>
      <c r="H950" s="1">
        <v>1.7527999999999999E-7</v>
      </c>
      <c r="I950" s="1">
        <f t="shared" si="126"/>
        <v>1.7527999999999999E-7</v>
      </c>
      <c r="J950" s="4">
        <f t="shared" si="127"/>
        <v>-1.6982882198356689E-8</v>
      </c>
      <c r="K950" s="4">
        <f t="shared" si="128"/>
        <v>-2.4974252378645373E-8</v>
      </c>
      <c r="L950" s="4">
        <f t="shared" si="129"/>
        <v>-7.6564641855748403E-9</v>
      </c>
      <c r="M950" s="4">
        <f t="shared" si="131"/>
        <v>-8.0355630328933562E-9</v>
      </c>
      <c r="N950" s="5">
        <f t="shared" si="132"/>
        <v>8.281860446389533E-8</v>
      </c>
      <c r="O950" s="5">
        <f t="shared" si="133"/>
        <v>1.2807750840652608E-6</v>
      </c>
      <c r="P950" s="5">
        <f t="shared" si="134"/>
        <v>4.3640631147084734E-7</v>
      </c>
      <c r="Q950" s="1">
        <f t="shared" si="130"/>
        <v>1.8000000000000035E-6</v>
      </c>
    </row>
    <row r="951" spans="1:17" x14ac:dyDescent="0.25">
      <c r="A951" s="1">
        <v>47.45</v>
      </c>
      <c r="B951" s="1">
        <v>1.4293999999999999E-2</v>
      </c>
      <c r="C951" s="1">
        <v>2.7361999999999998E-3</v>
      </c>
      <c r="D951" s="1">
        <v>2.6502000000000001E-2</v>
      </c>
      <c r="E951" s="1">
        <v>1.5512E-2</v>
      </c>
      <c r="F951" s="1">
        <v>1.4293E-6</v>
      </c>
      <c r="G951" s="1">
        <v>6.7679999999999998</v>
      </c>
      <c r="H951" s="1">
        <v>1.7534999999999999E-7</v>
      </c>
      <c r="I951" s="1">
        <f t="shared" si="126"/>
        <v>1.7534999999999999E-7</v>
      </c>
      <c r="J951" s="4">
        <f t="shared" si="127"/>
        <v>-1.6985353803668989E-8</v>
      </c>
      <c r="K951" s="4">
        <f t="shared" si="128"/>
        <v>-2.4975114139274716E-8</v>
      </c>
      <c r="L951" s="4">
        <f t="shared" si="129"/>
        <v>-7.6538464097148865E-9</v>
      </c>
      <c r="M951" s="4">
        <f t="shared" si="131"/>
        <v>-8.031796318834747E-9</v>
      </c>
      <c r="N951" s="5">
        <f t="shared" si="132"/>
        <v>8.315451838978617E-8</v>
      </c>
      <c r="O951" s="5">
        <f t="shared" si="133"/>
        <v>1.2808171200484898E-6</v>
      </c>
      <c r="P951" s="5">
        <f t="shared" si="134"/>
        <v>4.3602836156172748E-7</v>
      </c>
      <c r="Q951" s="1">
        <f t="shared" si="130"/>
        <v>1.8000000000000035E-6</v>
      </c>
    </row>
    <row r="952" spans="1:17" x14ac:dyDescent="0.25">
      <c r="A952" s="1">
        <v>47.5</v>
      </c>
      <c r="B952" s="1">
        <v>1.4265E-2</v>
      </c>
      <c r="C952" s="1">
        <v>2.7296E-3</v>
      </c>
      <c r="D952" s="1">
        <v>2.6519999999999998E-2</v>
      </c>
      <c r="E952" s="1">
        <v>1.5474E-2</v>
      </c>
      <c r="F952" s="1">
        <v>1.4264E-6</v>
      </c>
      <c r="G952" s="1">
        <v>6.7678000000000003</v>
      </c>
      <c r="H952" s="1">
        <v>1.7541000000000001E-7</v>
      </c>
      <c r="I952" s="1">
        <f t="shared" si="126"/>
        <v>1.7541000000000001E-7</v>
      </c>
      <c r="J952" s="4">
        <f t="shared" si="127"/>
        <v>-1.6987624005516172E-8</v>
      </c>
      <c r="K952" s="4">
        <f t="shared" si="128"/>
        <v>-2.4975933840944134E-8</v>
      </c>
      <c r="L952" s="4">
        <f t="shared" si="129"/>
        <v>-7.6511222124837513E-9</v>
      </c>
      <c r="M952" s="4">
        <f t="shared" si="131"/>
        <v>-8.0280451859836796E-9</v>
      </c>
      <c r="N952" s="5">
        <f t="shared" si="132"/>
        <v>8.3491706012730385E-8</v>
      </c>
      <c r="O952" s="5">
        <f t="shared" si="133"/>
        <v>1.2808568553990454E-6</v>
      </c>
      <c r="P952" s="5">
        <f t="shared" si="134"/>
        <v>4.3565143858822758E-7</v>
      </c>
      <c r="Q952" s="1">
        <f t="shared" si="130"/>
        <v>1.8000000000000035E-6</v>
      </c>
    </row>
    <row r="953" spans="1:17" x14ac:dyDescent="0.25">
      <c r="A953" s="1">
        <v>47.55</v>
      </c>
      <c r="B953" s="1">
        <v>1.4234999999999999E-2</v>
      </c>
      <c r="C953" s="1">
        <v>2.7231E-3</v>
      </c>
      <c r="D953" s="1">
        <v>2.6537999999999999E-2</v>
      </c>
      <c r="E953" s="1">
        <v>1.5436E-2</v>
      </c>
      <c r="F953" s="1">
        <v>1.4236E-6</v>
      </c>
      <c r="G953" s="1">
        <v>6.7675999999999998</v>
      </c>
      <c r="H953" s="1">
        <v>1.7548000000000001E-7</v>
      </c>
      <c r="I953" s="1">
        <f t="shared" si="126"/>
        <v>1.7548000000000001E-7</v>
      </c>
      <c r="J953" s="4">
        <f t="shared" si="127"/>
        <v>-1.6987364107282558E-8</v>
      </c>
      <c r="K953" s="4">
        <f t="shared" si="128"/>
        <v>-2.4976708680279969E-8</v>
      </c>
      <c r="L953" s="4">
        <f t="shared" si="129"/>
        <v>-7.647779442048336E-9</v>
      </c>
      <c r="M953" s="4">
        <f t="shared" si="131"/>
        <v>-8.0238499784894492E-9</v>
      </c>
      <c r="N953" s="5">
        <f t="shared" si="132"/>
        <v>8.3833271143679457E-8</v>
      </c>
      <c r="O953" s="5">
        <f t="shared" si="133"/>
        <v>1.2808913608045376E-6</v>
      </c>
      <c r="P953" s="5">
        <f t="shared" si="134"/>
        <v>4.3527536805178643E-7</v>
      </c>
      <c r="Q953" s="1">
        <f t="shared" si="130"/>
        <v>1.8000000000000035E-6</v>
      </c>
    </row>
    <row r="954" spans="1:17" x14ac:dyDescent="0.25">
      <c r="A954" s="1">
        <v>47.6</v>
      </c>
      <c r="B954" s="1">
        <v>1.4206E-2</v>
      </c>
      <c r="C954" s="1">
        <v>2.7166E-3</v>
      </c>
      <c r="D954" s="1">
        <v>2.6556E-2</v>
      </c>
      <c r="E954" s="1">
        <v>1.5398E-2</v>
      </c>
      <c r="F954" s="1">
        <v>1.4208E-6</v>
      </c>
      <c r="G954" s="1">
        <v>6.7675000000000001</v>
      </c>
      <c r="H954" s="1">
        <v>1.7554E-7</v>
      </c>
      <c r="I954" s="1">
        <f t="shared" si="126"/>
        <v>1.7554E-7</v>
      </c>
      <c r="J954" s="4">
        <f t="shared" si="127"/>
        <v>-1.6989960577749675E-8</v>
      </c>
      <c r="K954" s="4">
        <f t="shared" si="128"/>
        <v>-2.4977381535690613E-8</v>
      </c>
      <c r="L954" s="4">
        <f t="shared" si="129"/>
        <v>-7.6451719628708734E-9</v>
      </c>
      <c r="M954" s="4">
        <f t="shared" si="131"/>
        <v>-8.0201227665020699E-9</v>
      </c>
      <c r="N954" s="5">
        <f t="shared" si="132"/>
        <v>8.4175520138749534E-8</v>
      </c>
      <c r="O954" s="5">
        <f t="shared" si="133"/>
        <v>1.2809240626130989E-6</v>
      </c>
      <c r="P954" s="5">
        <f t="shared" si="134"/>
        <v>4.3490041724815523E-7</v>
      </c>
      <c r="Q954" s="1">
        <f t="shared" si="130"/>
        <v>1.8000000000000037E-6</v>
      </c>
    </row>
    <row r="955" spans="1:17" x14ac:dyDescent="0.25">
      <c r="A955" s="1">
        <v>47.65</v>
      </c>
      <c r="B955" s="1">
        <v>1.4177E-2</v>
      </c>
      <c r="C955" s="1">
        <v>2.7100000000000002E-3</v>
      </c>
      <c r="D955" s="1">
        <v>2.6574E-2</v>
      </c>
      <c r="E955" s="1">
        <v>1.536E-2</v>
      </c>
      <c r="F955" s="1">
        <v>1.4179E-6</v>
      </c>
      <c r="G955" s="1">
        <v>6.7672999999999996</v>
      </c>
      <c r="H955" s="1">
        <v>1.7561E-7</v>
      </c>
      <c r="I955" s="1">
        <f t="shared" si="126"/>
        <v>1.7561E-7</v>
      </c>
      <c r="J955" s="4">
        <f t="shared" si="127"/>
        <v>-1.6992281946185305E-8</v>
      </c>
      <c r="K955" s="4">
        <f t="shared" si="128"/>
        <v>-2.4978019220954007E-8</v>
      </c>
      <c r="L955" s="4">
        <f t="shared" si="129"/>
        <v>-7.6424247131232349E-9</v>
      </c>
      <c r="M955" s="4">
        <f t="shared" si="131"/>
        <v>-8.0159540205923675E-9</v>
      </c>
      <c r="N955" s="5">
        <f t="shared" si="132"/>
        <v>8.4518832700395004E-8</v>
      </c>
      <c r="O955" s="5">
        <f t="shared" si="133"/>
        <v>1.2809542793589225E-6</v>
      </c>
      <c r="P955" s="5">
        <f t="shared" si="134"/>
        <v>4.345268879406861E-7</v>
      </c>
      <c r="Q955" s="1">
        <f t="shared" si="130"/>
        <v>1.8000000000000035E-6</v>
      </c>
    </row>
    <row r="956" spans="1:17" x14ac:dyDescent="0.25">
      <c r="A956" s="1">
        <v>47.7</v>
      </c>
      <c r="B956" s="1">
        <v>1.4148000000000001E-2</v>
      </c>
      <c r="C956" s="1">
        <v>2.7035000000000002E-3</v>
      </c>
      <c r="D956" s="1">
        <v>2.6591E-2</v>
      </c>
      <c r="E956" s="1">
        <v>1.5323E-2</v>
      </c>
      <c r="F956" s="1">
        <v>1.4151E-6</v>
      </c>
      <c r="G956" s="1">
        <v>6.7671000000000001</v>
      </c>
      <c r="H956" s="1">
        <v>1.7568E-7</v>
      </c>
      <c r="I956" s="1">
        <f t="shared" si="126"/>
        <v>1.7568E-7</v>
      </c>
      <c r="J956" s="4">
        <f t="shared" si="127"/>
        <v>-1.6992007666691804E-8</v>
      </c>
      <c r="K956" s="4">
        <f t="shared" si="128"/>
        <v>-2.497860844750112E-8</v>
      </c>
      <c r="L956" s="4">
        <f t="shared" si="129"/>
        <v>-7.6390333359588288E-9</v>
      </c>
      <c r="M956" s="4">
        <f t="shared" si="131"/>
        <v>-8.0122630130833904E-9</v>
      </c>
      <c r="N956" s="5">
        <f t="shared" si="132"/>
        <v>8.4866400145245486E-8</v>
      </c>
      <c r="O956" s="5">
        <f t="shared" si="133"/>
        <v>1.2809799415911965E-6</v>
      </c>
      <c r="P956" s="5">
        <f t="shared" si="134"/>
        <v>4.3415365826356149E-7</v>
      </c>
      <c r="Q956" s="1">
        <f t="shared" si="130"/>
        <v>1.8000000000000035E-6</v>
      </c>
    </row>
    <row r="957" spans="1:17" x14ac:dyDescent="0.25">
      <c r="A957" s="1">
        <v>47.75</v>
      </c>
      <c r="B957" s="1">
        <v>1.4118E-2</v>
      </c>
      <c r="C957" s="1">
        <v>2.6968999999999999E-3</v>
      </c>
      <c r="D957" s="1">
        <v>2.6609000000000001E-2</v>
      </c>
      <c r="E957" s="1">
        <v>1.5285E-2</v>
      </c>
      <c r="F957" s="1">
        <v>1.4122E-6</v>
      </c>
      <c r="G957" s="1">
        <v>6.7668999999999997</v>
      </c>
      <c r="H957" s="1">
        <v>1.7574000000000001E-7</v>
      </c>
      <c r="I957" s="1">
        <f t="shared" si="126"/>
        <v>1.7574000000000001E-7</v>
      </c>
      <c r="J957" s="4">
        <f t="shared" si="127"/>
        <v>-1.6994564607070956E-8</v>
      </c>
      <c r="K957" s="4">
        <f t="shared" si="128"/>
        <v>-2.497910886102691E-8</v>
      </c>
      <c r="L957" s="4">
        <f t="shared" si="129"/>
        <v>-7.6368596630465374E-9</v>
      </c>
      <c r="M957" s="4">
        <f t="shared" si="131"/>
        <v>-8.0085720417925047E-9</v>
      </c>
      <c r="N957" s="5">
        <f t="shared" si="132"/>
        <v>8.5214084736154903E-8</v>
      </c>
      <c r="O957" s="5">
        <f t="shared" si="133"/>
        <v>1.2810039693790331E-6</v>
      </c>
      <c r="P957" s="5">
        <f t="shared" si="134"/>
        <v>4.3378194588481557E-7</v>
      </c>
      <c r="Q957" s="1">
        <f t="shared" si="130"/>
        <v>1.8000000000000035E-6</v>
      </c>
    </row>
    <row r="958" spans="1:17" x14ac:dyDescent="0.25">
      <c r="A958" s="1">
        <v>47.8</v>
      </c>
      <c r="B958" s="1">
        <v>1.4089000000000001E-2</v>
      </c>
      <c r="C958" s="1">
        <v>2.6903999999999999E-3</v>
      </c>
      <c r="D958" s="1">
        <v>2.6627000000000001E-2</v>
      </c>
      <c r="E958" s="1">
        <v>1.5247999999999999E-2</v>
      </c>
      <c r="F958" s="1">
        <v>1.4094E-6</v>
      </c>
      <c r="G958" s="1">
        <v>6.7667999999999999</v>
      </c>
      <c r="H958" s="1">
        <v>1.7581000000000001E-7</v>
      </c>
      <c r="I958" s="1">
        <f t="shared" si="126"/>
        <v>1.7581000000000001E-7</v>
      </c>
      <c r="J958" s="4">
        <f t="shared" si="127"/>
        <v>-1.6994320248181315E-8</v>
      </c>
      <c r="K958" s="4">
        <f t="shared" si="128"/>
        <v>-2.4979577402889726E-8</v>
      </c>
      <c r="L958" s="4">
        <f t="shared" si="129"/>
        <v>-7.6334546645151054E-9</v>
      </c>
      <c r="M958" s="4">
        <f t="shared" si="131"/>
        <v>-8.0044481128282815E-9</v>
      </c>
      <c r="N958" s="5">
        <f t="shared" si="132"/>
        <v>8.5565887226348221E-8</v>
      </c>
      <c r="O958" s="5">
        <f t="shared" si="133"/>
        <v>1.2810231603371528E-6</v>
      </c>
      <c r="P958" s="5">
        <f t="shared" si="134"/>
        <v>4.3341095243650236E-7</v>
      </c>
      <c r="Q958" s="1">
        <f t="shared" si="130"/>
        <v>1.8000000000000035E-6</v>
      </c>
    </row>
    <row r="959" spans="1:17" x14ac:dyDescent="0.25">
      <c r="A959" s="1">
        <v>47.85</v>
      </c>
      <c r="B959" s="1">
        <v>1.406E-2</v>
      </c>
      <c r="C959" s="1">
        <v>2.6838999999999999E-3</v>
      </c>
      <c r="D959" s="1">
        <v>2.6644999999999999E-2</v>
      </c>
      <c r="E959" s="1">
        <v>1.521E-2</v>
      </c>
      <c r="F959" s="1">
        <v>1.4065E-6</v>
      </c>
      <c r="G959" s="1">
        <v>6.7666000000000004</v>
      </c>
      <c r="H959" s="1">
        <v>1.7587E-7</v>
      </c>
      <c r="I959" s="1">
        <f t="shared" si="126"/>
        <v>1.7587E-7</v>
      </c>
      <c r="J959" s="4">
        <f t="shared" si="127"/>
        <v>-1.6996879371724983E-8</v>
      </c>
      <c r="K959" s="4">
        <f t="shared" si="128"/>
        <v>-2.4979951626576609E-8</v>
      </c>
      <c r="L959" s="4">
        <f t="shared" si="129"/>
        <v>-7.6312539317387486E-9</v>
      </c>
      <c r="M959" s="4">
        <f t="shared" si="131"/>
        <v>-8.0007878525261378E-9</v>
      </c>
      <c r="N959" s="5">
        <f t="shared" si="132"/>
        <v>8.5917705549461105E-8</v>
      </c>
      <c r="O959" s="5">
        <f t="shared" si="133"/>
        <v>1.2810408759348275E-6</v>
      </c>
      <c r="P959" s="5">
        <f t="shared" si="134"/>
        <v>4.3304141851571498E-7</v>
      </c>
      <c r="Q959" s="1">
        <f t="shared" si="130"/>
        <v>1.8000000000000035E-6</v>
      </c>
    </row>
    <row r="960" spans="1:17" x14ac:dyDescent="0.25">
      <c r="A960" s="1">
        <v>47.9</v>
      </c>
      <c r="B960" s="1">
        <v>1.4031E-2</v>
      </c>
      <c r="C960" s="1">
        <v>2.6773000000000001E-3</v>
      </c>
      <c r="D960" s="1">
        <v>2.6662999999999999E-2</v>
      </c>
      <c r="E960" s="1">
        <v>1.5173000000000001E-2</v>
      </c>
      <c r="F960" s="1">
        <v>1.4037E-6</v>
      </c>
      <c r="G960" s="1">
        <v>6.7664</v>
      </c>
      <c r="H960" s="1">
        <v>1.7594E-7</v>
      </c>
      <c r="I960" s="1">
        <f t="shared" si="126"/>
        <v>1.7594E-7</v>
      </c>
      <c r="J960" s="4">
        <f t="shared" si="127"/>
        <v>-1.6996603514099374E-8</v>
      </c>
      <c r="K960" s="4">
        <f t="shared" si="128"/>
        <v>-2.4980297080727717E-8</v>
      </c>
      <c r="L960" s="4">
        <f t="shared" si="129"/>
        <v>-7.6278073851064612E-9</v>
      </c>
      <c r="M960" s="4">
        <f t="shared" si="131"/>
        <v>-7.9966943988072177E-9</v>
      </c>
      <c r="N960" s="5">
        <f t="shared" si="132"/>
        <v>8.6273591730982982E-8</v>
      </c>
      <c r="O960" s="5">
        <f t="shared" si="133"/>
        <v>1.2810538767670064E-6</v>
      </c>
      <c r="P960" s="5">
        <f t="shared" si="134"/>
        <v>4.3267253150201419E-7</v>
      </c>
      <c r="Q960" s="1">
        <f t="shared" si="130"/>
        <v>1.8000000000000035E-6</v>
      </c>
    </row>
    <row r="961" spans="1:17" x14ac:dyDescent="0.25">
      <c r="A961" s="1">
        <v>47.95</v>
      </c>
      <c r="B961" s="1">
        <v>1.4003E-2</v>
      </c>
      <c r="C961" s="1">
        <v>2.6708000000000001E-3</v>
      </c>
      <c r="D961" s="1">
        <v>2.6679999999999999E-2</v>
      </c>
      <c r="E961" s="1">
        <v>1.5134999999999999E-2</v>
      </c>
      <c r="F961" s="1">
        <v>1.4008E-6</v>
      </c>
      <c r="G961" s="1">
        <v>6.7662000000000004</v>
      </c>
      <c r="H961" s="1">
        <v>1.7599999999999999E-7</v>
      </c>
      <c r="I961" s="1">
        <f t="shared" si="126"/>
        <v>1.7599999999999999E-7</v>
      </c>
      <c r="J961" s="4">
        <f t="shared" si="127"/>
        <v>-1.6999121528854491E-8</v>
      </c>
      <c r="K961" s="4">
        <f t="shared" si="128"/>
        <v>-2.4980550596958754E-8</v>
      </c>
      <c r="L961" s="4">
        <f t="shared" si="129"/>
        <v>-7.6255598380909958E-9</v>
      </c>
      <c r="M961" s="4">
        <f t="shared" si="131"/>
        <v>-7.9930625452094398E-9</v>
      </c>
      <c r="N961" s="5">
        <f t="shared" si="132"/>
        <v>8.6629460960996243E-8</v>
      </c>
      <c r="O961" s="5">
        <f t="shared" si="133"/>
        <v>1.2810655102441117E-6</v>
      </c>
      <c r="P961" s="5">
        <f t="shared" si="134"/>
        <v>4.3230502879489574E-7</v>
      </c>
      <c r="Q961" s="1">
        <f t="shared" si="130"/>
        <v>1.8000000000000035E-6</v>
      </c>
    </row>
    <row r="962" spans="1:17" x14ac:dyDescent="0.25">
      <c r="A962" s="1">
        <v>48</v>
      </c>
      <c r="B962" s="1">
        <v>1.3974E-2</v>
      </c>
      <c r="C962" s="1">
        <v>2.6643000000000001E-3</v>
      </c>
      <c r="D962" s="1">
        <v>2.6698E-2</v>
      </c>
      <c r="E962" s="1">
        <v>1.5098E-2</v>
      </c>
      <c r="F962" s="1">
        <v>1.3979E-6</v>
      </c>
      <c r="G962" s="1">
        <v>6.7660999999999998</v>
      </c>
      <c r="H962" s="1">
        <v>1.7606999999999999E-7</v>
      </c>
      <c r="I962" s="1">
        <f t="shared" si="126"/>
        <v>1.7606999999999999E-7</v>
      </c>
      <c r="J962" s="4">
        <f t="shared" si="127"/>
        <v>-1.6998784891895061E-8</v>
      </c>
      <c r="K962" s="4">
        <f t="shared" si="128"/>
        <v>-2.4980777449758761E-8</v>
      </c>
      <c r="L962" s="4">
        <f t="shared" si="129"/>
        <v>-7.6220583149354068E-9</v>
      </c>
      <c r="M962" s="4">
        <f t="shared" si="131"/>
        <v>-7.9889969321292189E-9</v>
      </c>
      <c r="N962" s="5">
        <f t="shared" si="132"/>
        <v>8.6989395203924534E-8</v>
      </c>
      <c r="O962" s="5">
        <f t="shared" si="133"/>
        <v>1.281072514618377E-6</v>
      </c>
      <c r="P962" s="5">
        <f t="shared" si="134"/>
        <v>4.319380901777019E-7</v>
      </c>
      <c r="Q962" s="1">
        <f t="shared" si="130"/>
        <v>1.8000000000000035E-6</v>
      </c>
    </row>
    <row r="963" spans="1:17" x14ac:dyDescent="0.25">
      <c r="A963" s="1">
        <v>48.05</v>
      </c>
      <c r="B963" s="1">
        <v>1.3945000000000001E-2</v>
      </c>
      <c r="C963" s="1">
        <v>2.6578000000000001E-3</v>
      </c>
      <c r="D963" s="1">
        <v>2.6716E-2</v>
      </c>
      <c r="E963" s="1">
        <v>1.5061E-2</v>
      </c>
      <c r="F963" s="1">
        <v>1.3951E-6</v>
      </c>
      <c r="G963" s="1">
        <v>6.7659000000000002</v>
      </c>
      <c r="H963" s="1">
        <v>1.7613E-7</v>
      </c>
      <c r="I963" s="1">
        <f t="shared" ref="I963:I1026" si="135">H963</f>
        <v>1.7613E-7</v>
      </c>
      <c r="J963" s="4">
        <f t="shared" ref="J963:J1026" si="136">(-$T$4*F962^2*N962)*(A963-A962)</f>
        <v>-1.6998810057911617E-8</v>
      </c>
      <c r="K963" s="4">
        <f t="shared" ref="K963:K1026" si="137">-O962*$T$7*(A963-A962)</f>
        <v>-2.4980914035056933E-8</v>
      </c>
      <c r="L963" s="4">
        <f t="shared" ref="L963:L1026" si="138">-$T$5*F962*E962*(A963-A962)*N962</f>
        <v>-7.6192098301420059E-9</v>
      </c>
      <c r="M963" s="4">
        <f t="shared" si="131"/>
        <v>-7.9853906514462819E-9</v>
      </c>
      <c r="N963" s="5">
        <f t="shared" si="132"/>
        <v>8.7352289350927831E-8</v>
      </c>
      <c r="O963" s="5">
        <f t="shared" si="133"/>
        <v>1.2810758012926779E-6</v>
      </c>
      <c r="P963" s="5">
        <f t="shared" si="134"/>
        <v>4.3157190935639762E-7</v>
      </c>
      <c r="Q963" s="1">
        <f t="shared" ref="Q963:Q1026" si="139">N963+O963+P963</f>
        <v>1.8000000000000035E-6</v>
      </c>
    </row>
    <row r="964" spans="1:17" x14ac:dyDescent="0.25">
      <c r="A964" s="1">
        <v>48.1</v>
      </c>
      <c r="B964" s="1">
        <v>1.3916E-2</v>
      </c>
      <c r="C964" s="1">
        <v>2.6511999999999998E-3</v>
      </c>
      <c r="D964" s="1">
        <v>2.6733E-2</v>
      </c>
      <c r="E964" s="1">
        <v>1.5023999999999999E-2</v>
      </c>
      <c r="F964" s="1">
        <v>1.3922E-6</v>
      </c>
      <c r="G964" s="1">
        <v>6.7656999999999998</v>
      </c>
      <c r="H964" s="1">
        <v>1.762E-7</v>
      </c>
      <c r="I964" s="1">
        <f t="shared" si="135"/>
        <v>1.762E-7</v>
      </c>
      <c r="J964" s="4">
        <f t="shared" si="136"/>
        <v>-1.7001411104640564E-8</v>
      </c>
      <c r="K964" s="4">
        <f t="shared" si="137"/>
        <v>-2.4980978125209353E-8</v>
      </c>
      <c r="L964" s="4">
        <f t="shared" si="138"/>
        <v>-7.6169575549065643E-9</v>
      </c>
      <c r="M964" s="4">
        <f t="shared" ref="M964:M1027" si="140">-P963*$T$8*I963*(A964-A963)</f>
        <v>-7.9813398414696226E-9</v>
      </c>
      <c r="N964" s="5">
        <f t="shared" ref="N964:N1027" si="141">N963+J964-K964+L964</f>
        <v>8.7714898816590056E-8</v>
      </c>
      <c r="O964" s="5">
        <f t="shared" ref="O964:O1027" si="142">-J964+O963+K964-M964</f>
        <v>1.2810775741135787E-6</v>
      </c>
      <c r="P964" s="5">
        <f t="shared" ref="P964:P1027" si="143">P963-L964+M964</f>
        <v>4.3120752706983457E-7</v>
      </c>
      <c r="Q964" s="1">
        <f t="shared" si="139"/>
        <v>1.8000000000000033E-6</v>
      </c>
    </row>
    <row r="965" spans="1:17" x14ac:dyDescent="0.25">
      <c r="A965" s="1">
        <v>48.15</v>
      </c>
      <c r="B965" s="1">
        <v>1.3887999999999999E-2</v>
      </c>
      <c r="C965" s="1">
        <v>2.6446999999999998E-3</v>
      </c>
      <c r="D965" s="1">
        <v>2.6751E-2</v>
      </c>
      <c r="E965" s="1">
        <v>1.4987E-2</v>
      </c>
      <c r="F965" s="1">
        <v>1.3893E-6</v>
      </c>
      <c r="G965" s="1">
        <v>6.7655000000000003</v>
      </c>
      <c r="H965" s="1">
        <v>1.7625999999999999E-7</v>
      </c>
      <c r="I965" s="1">
        <f t="shared" si="135"/>
        <v>1.7625999999999999E-7</v>
      </c>
      <c r="J965" s="4">
        <f t="shared" si="136"/>
        <v>-1.700108448647965E-8</v>
      </c>
      <c r="K965" s="4">
        <f t="shared" si="137"/>
        <v>-2.4981012695213363E-8</v>
      </c>
      <c r="L965" s="4">
        <f t="shared" si="138"/>
        <v>-7.6139262842853874E-9</v>
      </c>
      <c r="M965" s="4">
        <f t="shared" si="140"/>
        <v>-7.9777704583185559E-9</v>
      </c>
      <c r="N965" s="5">
        <f t="shared" si="141"/>
        <v>8.8080900741038382E-8</v>
      </c>
      <c r="O965" s="5">
        <f t="shared" si="142"/>
        <v>1.2810754163631636E-6</v>
      </c>
      <c r="P965" s="5">
        <f t="shared" si="143"/>
        <v>4.3084368289580137E-7</v>
      </c>
      <c r="Q965" s="1">
        <f t="shared" si="139"/>
        <v>1.8000000000000033E-6</v>
      </c>
    </row>
    <row r="966" spans="1:17" x14ac:dyDescent="0.25">
      <c r="A966" s="1">
        <v>48.2</v>
      </c>
      <c r="B966" s="1">
        <v>1.3859E-2</v>
      </c>
      <c r="C966" s="1">
        <v>2.6381999999999998E-3</v>
      </c>
      <c r="D966" s="1">
        <v>2.6768E-2</v>
      </c>
      <c r="E966" s="1">
        <v>1.495E-2</v>
      </c>
      <c r="F966" s="1">
        <v>1.3865E-6</v>
      </c>
      <c r="G966" s="1">
        <v>6.7653999999999996</v>
      </c>
      <c r="H966" s="1">
        <v>1.7632999999999999E-7</v>
      </c>
      <c r="I966" s="1">
        <f t="shared" si="135"/>
        <v>1.7632999999999999E-7</v>
      </c>
      <c r="J966" s="4">
        <f t="shared" si="136"/>
        <v>-1.7000974604857406E-8</v>
      </c>
      <c r="K966" s="4">
        <f t="shared" si="137"/>
        <v>-2.4980970619083822E-8</v>
      </c>
      <c r="L966" s="4">
        <f t="shared" si="138"/>
        <v>-7.6109801092092513E-9</v>
      </c>
      <c r="M966" s="4">
        <f t="shared" si="140"/>
        <v>-7.9737532924581443E-9</v>
      </c>
      <c r="N966" s="5">
        <f t="shared" si="141"/>
        <v>8.8449916646055548E-8</v>
      </c>
      <c r="O966" s="5">
        <f t="shared" si="142"/>
        <v>1.2810691736413954E-6</v>
      </c>
      <c r="P966" s="5">
        <f t="shared" si="143"/>
        <v>4.3048090971255248E-7</v>
      </c>
      <c r="Q966" s="1">
        <f t="shared" si="139"/>
        <v>1.8000000000000035E-6</v>
      </c>
    </row>
    <row r="967" spans="1:17" x14ac:dyDescent="0.25">
      <c r="A967" s="1">
        <v>48.25</v>
      </c>
      <c r="B967" s="1">
        <v>1.383E-2</v>
      </c>
      <c r="C967" s="1">
        <v>2.6316999999999998E-3</v>
      </c>
      <c r="D967" s="1">
        <v>2.6786000000000001E-2</v>
      </c>
      <c r="E967" s="1">
        <v>1.4912999999999999E-2</v>
      </c>
      <c r="F967" s="1">
        <v>1.3836E-6</v>
      </c>
      <c r="G967" s="1">
        <v>6.7652000000000001</v>
      </c>
      <c r="H967" s="1">
        <v>1.7639000000000001E-7</v>
      </c>
      <c r="I967" s="1">
        <f t="shared" si="135"/>
        <v>1.7639000000000001E-7</v>
      </c>
      <c r="J967" s="4">
        <f t="shared" si="136"/>
        <v>-1.7003454977434704E-8</v>
      </c>
      <c r="K967" s="4">
        <f t="shared" si="137"/>
        <v>-2.4980848886005792E-8</v>
      </c>
      <c r="L967" s="4">
        <f t="shared" si="138"/>
        <v>-7.6086322065452046E-9</v>
      </c>
      <c r="M967" s="4">
        <f t="shared" si="140"/>
        <v>-7.9702033750090571E-9</v>
      </c>
      <c r="N967" s="5">
        <f t="shared" si="141"/>
        <v>8.8818678348081433E-8</v>
      </c>
      <c r="O967" s="5">
        <f t="shared" si="142"/>
        <v>1.2810619831078334E-6</v>
      </c>
      <c r="P967" s="5">
        <f t="shared" si="143"/>
        <v>4.3011933854408862E-7</v>
      </c>
      <c r="Q967" s="1">
        <f t="shared" si="139"/>
        <v>1.8000000000000035E-6</v>
      </c>
    </row>
    <row r="968" spans="1:17" x14ac:dyDescent="0.25">
      <c r="A968" s="1">
        <v>48.3</v>
      </c>
      <c r="B968" s="1">
        <v>1.3802E-2</v>
      </c>
      <c r="C968" s="1">
        <v>2.6251999999999998E-3</v>
      </c>
      <c r="D968" s="1">
        <v>2.6804000000000001E-2</v>
      </c>
      <c r="E968" s="1">
        <v>1.4876E-2</v>
      </c>
      <c r="F968" s="1">
        <v>1.3807E-6</v>
      </c>
      <c r="G968" s="1">
        <v>6.7649999999999997</v>
      </c>
      <c r="H968" s="1">
        <v>1.7646000000000001E-7</v>
      </c>
      <c r="I968" s="1">
        <f t="shared" si="135"/>
        <v>1.7646000000000001E-7</v>
      </c>
      <c r="J968" s="4">
        <f t="shared" si="136"/>
        <v>-1.7002994452421455E-8</v>
      </c>
      <c r="K968" s="4">
        <f t="shared" si="137"/>
        <v>-2.4980708670601335E-8</v>
      </c>
      <c r="L968" s="4">
        <f t="shared" si="138"/>
        <v>-7.60550356689931E-9</v>
      </c>
      <c r="M968" s="4">
        <f t="shared" si="140"/>
        <v>-7.9662187632076849E-9</v>
      </c>
      <c r="N968" s="5">
        <f t="shared" si="141"/>
        <v>8.9190888999362001E-8</v>
      </c>
      <c r="O968" s="5">
        <f t="shared" si="142"/>
        <v>1.2810504876528612E-6</v>
      </c>
      <c r="P968" s="5">
        <f t="shared" si="143"/>
        <v>4.2975862334778023E-7</v>
      </c>
      <c r="Q968" s="1">
        <f t="shared" si="139"/>
        <v>1.8000000000000035E-6</v>
      </c>
    </row>
    <row r="969" spans="1:17" x14ac:dyDescent="0.25">
      <c r="A969" s="1">
        <v>48.35</v>
      </c>
      <c r="B969" s="1">
        <v>1.3774E-2</v>
      </c>
      <c r="C969" s="1">
        <v>2.6186E-3</v>
      </c>
      <c r="D969" s="1">
        <v>2.6821000000000001E-2</v>
      </c>
      <c r="E969" s="1">
        <v>1.4839E-2</v>
      </c>
      <c r="F969" s="1">
        <v>1.3778E-6</v>
      </c>
      <c r="G969" s="1">
        <v>6.7648999999999999</v>
      </c>
      <c r="H969" s="1">
        <v>1.7652E-7</v>
      </c>
      <c r="I969" s="1">
        <f t="shared" si="135"/>
        <v>1.7652E-7</v>
      </c>
      <c r="J969" s="4">
        <f t="shared" si="136"/>
        <v>-1.7002748951148185E-8</v>
      </c>
      <c r="K969" s="4">
        <f t="shared" si="137"/>
        <v>-2.4980484509232924E-8</v>
      </c>
      <c r="L969" s="4">
        <f t="shared" si="138"/>
        <v>-7.6024589526958336E-9</v>
      </c>
      <c r="M969" s="4">
        <f t="shared" si="140"/>
        <v>-7.962696700975356E-9</v>
      </c>
      <c r="N969" s="5">
        <f t="shared" si="141"/>
        <v>8.9566165604750911E-8</v>
      </c>
      <c r="O969" s="5">
        <f t="shared" si="142"/>
        <v>1.2810354487957518E-6</v>
      </c>
      <c r="P969" s="5">
        <f t="shared" si="143"/>
        <v>4.2939838559950068E-7</v>
      </c>
      <c r="Q969" s="1">
        <f t="shared" si="139"/>
        <v>1.8000000000000035E-6</v>
      </c>
    </row>
    <row r="970" spans="1:17" x14ac:dyDescent="0.25">
      <c r="A970" s="1">
        <v>48.4</v>
      </c>
      <c r="B970" s="1">
        <v>1.3745E-2</v>
      </c>
      <c r="C970" s="1">
        <v>2.6121E-3</v>
      </c>
      <c r="D970" s="1">
        <v>2.6838000000000001E-2</v>
      </c>
      <c r="E970" s="1">
        <v>1.4803E-2</v>
      </c>
      <c r="F970" s="1">
        <v>1.3749E-6</v>
      </c>
      <c r="G970" s="1">
        <v>6.7647000000000004</v>
      </c>
      <c r="H970" s="1">
        <v>1.7658000000000001E-7</v>
      </c>
      <c r="I970" s="1">
        <f t="shared" si="135"/>
        <v>1.7658000000000001E-7</v>
      </c>
      <c r="J970" s="4">
        <f t="shared" si="136"/>
        <v>-1.7002639352036744E-8</v>
      </c>
      <c r="K970" s="4">
        <f t="shared" si="137"/>
        <v>-2.4980191251515741E-8</v>
      </c>
      <c r="L970" s="4">
        <f t="shared" si="138"/>
        <v>-7.5994628115925667E-9</v>
      </c>
      <c r="M970" s="4">
        <f t="shared" si="140"/>
        <v>-7.9587273177320518E-9</v>
      </c>
      <c r="N970" s="5">
        <f t="shared" si="141"/>
        <v>8.9944254692637353E-8</v>
      </c>
      <c r="O970" s="5">
        <f t="shared" si="142"/>
        <v>1.281016624214005E-6</v>
      </c>
      <c r="P970" s="5">
        <f t="shared" si="143"/>
        <v>4.2903912109336121E-7</v>
      </c>
      <c r="Q970" s="1">
        <f t="shared" si="139"/>
        <v>1.8000000000000035E-6</v>
      </c>
    </row>
    <row r="971" spans="1:17" x14ac:dyDescent="0.25">
      <c r="A971" s="1">
        <v>48.45</v>
      </c>
      <c r="B971" s="1">
        <v>1.3717E-2</v>
      </c>
      <c r="C971" s="1">
        <v>2.6056E-3</v>
      </c>
      <c r="D971" s="1">
        <v>2.6856000000000001E-2</v>
      </c>
      <c r="E971" s="1">
        <v>1.4766E-2</v>
      </c>
      <c r="F971" s="1">
        <v>1.372E-6</v>
      </c>
      <c r="G971" s="1">
        <v>6.7645</v>
      </c>
      <c r="H971" s="1">
        <v>1.7665000000000001E-7</v>
      </c>
      <c r="I971" s="1">
        <f t="shared" si="135"/>
        <v>1.7665000000000001E-7</v>
      </c>
      <c r="J971" s="4">
        <f t="shared" si="136"/>
        <v>-1.7002612275768406E-8</v>
      </c>
      <c r="K971" s="4">
        <f t="shared" si="137"/>
        <v>-2.4979824172175229E-8</v>
      </c>
      <c r="L971" s="4">
        <f t="shared" si="138"/>
        <v>-7.5970043530477046E-9</v>
      </c>
      <c r="M971" s="4">
        <f t="shared" si="140"/>
        <v>-7.9547714402805797E-9</v>
      </c>
      <c r="N971" s="5">
        <f t="shared" si="141"/>
        <v>9.0324462235996472E-8</v>
      </c>
      <c r="O971" s="5">
        <f t="shared" si="142"/>
        <v>1.280994183757879E-6</v>
      </c>
      <c r="P971" s="5">
        <f t="shared" si="143"/>
        <v>4.2868135400612832E-7</v>
      </c>
      <c r="Q971" s="1">
        <f t="shared" si="139"/>
        <v>1.8000000000000039E-6</v>
      </c>
    </row>
    <row r="972" spans="1:17" x14ac:dyDescent="0.25">
      <c r="A972" s="1">
        <v>48.5</v>
      </c>
      <c r="B972" s="1">
        <v>1.3689E-2</v>
      </c>
      <c r="C972" s="1">
        <v>2.5991E-3</v>
      </c>
      <c r="D972" s="1">
        <v>2.6873000000000001E-2</v>
      </c>
      <c r="E972" s="1">
        <v>1.4729000000000001E-2</v>
      </c>
      <c r="F972" s="1">
        <v>1.3692E-6</v>
      </c>
      <c r="G972" s="1">
        <v>6.7643000000000004</v>
      </c>
      <c r="H972" s="1">
        <v>1.7671E-7</v>
      </c>
      <c r="I972" s="1">
        <f t="shared" si="135"/>
        <v>1.7671E-7</v>
      </c>
      <c r="J972" s="4">
        <f t="shared" si="136"/>
        <v>-1.7002532252163429E-8</v>
      </c>
      <c r="K972" s="4">
        <f t="shared" si="137"/>
        <v>-2.4979386583277219E-8</v>
      </c>
      <c r="L972" s="4">
        <f t="shared" si="138"/>
        <v>-7.5939976211887584E-9</v>
      </c>
      <c r="M972" s="4">
        <f t="shared" si="140"/>
        <v>-7.9512889244437188E-9</v>
      </c>
      <c r="N972" s="5">
        <f t="shared" si="141"/>
        <v>9.0707318945921498E-8</v>
      </c>
      <c r="O972" s="5">
        <f t="shared" si="142"/>
        <v>1.2809686183512091E-6</v>
      </c>
      <c r="P972" s="5">
        <f t="shared" si="143"/>
        <v>4.2832406270287332E-7</v>
      </c>
      <c r="Q972" s="1">
        <f t="shared" si="139"/>
        <v>1.8000000000000037E-6</v>
      </c>
    </row>
    <row r="973" spans="1:17" x14ac:dyDescent="0.25">
      <c r="A973" s="1">
        <v>48.55</v>
      </c>
      <c r="B973" s="1">
        <v>1.3661E-2</v>
      </c>
      <c r="C973" s="1">
        <v>2.5926E-3</v>
      </c>
      <c r="D973" s="1">
        <v>2.6891000000000002E-2</v>
      </c>
      <c r="E973" s="1">
        <v>1.4692999999999999E-2</v>
      </c>
      <c r="F973" s="1">
        <v>1.3662999999999999E-6</v>
      </c>
      <c r="G973" s="1">
        <v>6.7641999999999998</v>
      </c>
      <c r="H973" s="1">
        <v>1.7678E-7</v>
      </c>
      <c r="I973" s="1">
        <f t="shared" si="135"/>
        <v>1.7678E-7</v>
      </c>
      <c r="J973" s="4">
        <f t="shared" si="136"/>
        <v>-1.7004979453914503E-8</v>
      </c>
      <c r="K973" s="4">
        <f t="shared" si="137"/>
        <v>-2.4978888057847158E-8</v>
      </c>
      <c r="L973" s="4">
        <f t="shared" si="138"/>
        <v>-7.5915521535446474E-9</v>
      </c>
      <c r="M973" s="4">
        <f t="shared" si="140"/>
        <v>-7.9473602376231461E-9</v>
      </c>
      <c r="N973" s="5">
        <f t="shared" si="141"/>
        <v>9.10896753963095E-8</v>
      </c>
      <c r="O973" s="5">
        <f t="shared" si="142"/>
        <v>1.2809420699848995E-6</v>
      </c>
      <c r="P973" s="5">
        <f t="shared" si="143"/>
        <v>4.2796825461879479E-7</v>
      </c>
      <c r="Q973" s="1">
        <f t="shared" si="139"/>
        <v>1.8000000000000039E-6</v>
      </c>
    </row>
    <row r="974" spans="1:17" x14ac:dyDescent="0.25">
      <c r="A974" s="1">
        <v>48.6</v>
      </c>
      <c r="B974" s="1">
        <v>1.3632999999999999E-2</v>
      </c>
      <c r="C974" s="1">
        <v>2.5861E-3</v>
      </c>
      <c r="D974" s="1">
        <v>2.6908000000000001E-2</v>
      </c>
      <c r="E974" s="1">
        <v>1.4657E-2</v>
      </c>
      <c r="F974" s="1">
        <v>1.3633999999999999E-6</v>
      </c>
      <c r="G974" s="1">
        <v>6.7640000000000002</v>
      </c>
      <c r="H974" s="1">
        <v>1.7683999999999999E-7</v>
      </c>
      <c r="I974" s="1">
        <f t="shared" si="135"/>
        <v>1.7683999999999999E-7</v>
      </c>
      <c r="J974" s="4">
        <f t="shared" si="136"/>
        <v>-1.7004399163983616E-8</v>
      </c>
      <c r="K974" s="4">
        <f t="shared" si="137"/>
        <v>-2.4978370364707673E-8</v>
      </c>
      <c r="L974" s="4">
        <f t="shared" si="138"/>
        <v>-7.588812070578255E-9</v>
      </c>
      <c r="M974" s="4">
        <f t="shared" si="140"/>
        <v>-7.9439039454092831E-9</v>
      </c>
      <c r="N974" s="5">
        <f t="shared" si="141"/>
        <v>9.1474834526455299E-8</v>
      </c>
      <c r="O974" s="5">
        <f t="shared" si="142"/>
        <v>1.2809120027295849E-6</v>
      </c>
      <c r="P974" s="5">
        <f t="shared" si="143"/>
        <v>4.2761316274396374E-7</v>
      </c>
      <c r="Q974" s="1">
        <f t="shared" si="139"/>
        <v>1.8000000000000037E-6</v>
      </c>
    </row>
    <row r="975" spans="1:17" x14ac:dyDescent="0.25">
      <c r="A975" s="1">
        <v>48.65</v>
      </c>
      <c r="B975" s="1">
        <v>1.3605000000000001E-2</v>
      </c>
      <c r="C975" s="1">
        <v>2.5796E-3</v>
      </c>
      <c r="D975" s="1">
        <v>2.6925000000000001E-2</v>
      </c>
      <c r="E975" s="1">
        <v>1.4619999999999999E-2</v>
      </c>
      <c r="F975" s="1">
        <v>1.3604999999999999E-6</v>
      </c>
      <c r="G975" s="1">
        <v>6.7637999999999998</v>
      </c>
      <c r="H975" s="1">
        <v>1.769E-7</v>
      </c>
      <c r="I975" s="1">
        <f t="shared" si="135"/>
        <v>1.769E-7</v>
      </c>
      <c r="J975" s="4">
        <f t="shared" si="136"/>
        <v>-1.7003887065890982E-8</v>
      </c>
      <c r="K975" s="4">
        <f t="shared" si="137"/>
        <v>-2.4977784053225483E-8</v>
      </c>
      <c r="L975" s="4">
        <f t="shared" si="138"/>
        <v>-7.5860920258748072E-9</v>
      </c>
      <c r="M975" s="4">
        <f t="shared" si="140"/>
        <v>-7.9400067284620151E-9</v>
      </c>
      <c r="N975" s="5">
        <f t="shared" si="141"/>
        <v>9.1862639487914993E-8</v>
      </c>
      <c r="O975" s="5">
        <f t="shared" si="142"/>
        <v>1.2808781124707122E-6</v>
      </c>
      <c r="P975" s="5">
        <f t="shared" si="143"/>
        <v>4.272592480413765E-7</v>
      </c>
      <c r="Q975" s="1">
        <f t="shared" si="139"/>
        <v>1.8000000000000035E-6</v>
      </c>
    </row>
    <row r="976" spans="1:17" x14ac:dyDescent="0.25">
      <c r="A976" s="1">
        <v>48.7</v>
      </c>
      <c r="B976" s="1">
        <v>1.3577000000000001E-2</v>
      </c>
      <c r="C976" s="1">
        <v>2.5731E-3</v>
      </c>
      <c r="D976" s="1">
        <v>2.6942000000000001E-2</v>
      </c>
      <c r="E976" s="1">
        <v>1.4584E-2</v>
      </c>
      <c r="F976" s="1">
        <v>1.3575999999999999E-6</v>
      </c>
      <c r="G976" s="1">
        <v>6.7637</v>
      </c>
      <c r="H976" s="1">
        <v>1.7697E-7</v>
      </c>
      <c r="I976" s="1">
        <f t="shared" si="135"/>
        <v>1.7697E-7</v>
      </c>
      <c r="J976" s="4">
        <f t="shared" si="136"/>
        <v>-1.700340941522255E-8</v>
      </c>
      <c r="K976" s="4">
        <f t="shared" si="137"/>
        <v>-2.4977123193181016E-8</v>
      </c>
      <c r="L976" s="4">
        <f t="shared" si="138"/>
        <v>-7.5828582098478336E-9</v>
      </c>
      <c r="M976" s="4">
        <f t="shared" si="140"/>
        <v>-7.9361269027452237E-9</v>
      </c>
      <c r="N976" s="5">
        <f t="shared" si="141"/>
        <v>9.2253495056025626E-8</v>
      </c>
      <c r="O976" s="5">
        <f t="shared" si="142"/>
        <v>1.2808405255954989E-6</v>
      </c>
      <c r="P976" s="5">
        <f t="shared" si="143"/>
        <v>4.2690597934847907E-7</v>
      </c>
      <c r="Q976" s="1">
        <f t="shared" si="139"/>
        <v>1.8000000000000035E-6</v>
      </c>
    </row>
    <row r="977" spans="1:17" x14ac:dyDescent="0.25">
      <c r="A977" s="1">
        <v>48.75</v>
      </c>
      <c r="B977" s="1">
        <v>1.3549E-2</v>
      </c>
      <c r="C977" s="1">
        <v>2.5666E-3</v>
      </c>
      <c r="D977" s="1">
        <v>2.6960000000000001E-2</v>
      </c>
      <c r="E977" s="1">
        <v>1.4548E-2</v>
      </c>
      <c r="F977" s="1">
        <v>1.3546999999999999E-6</v>
      </c>
      <c r="G977" s="1">
        <v>6.7634999999999996</v>
      </c>
      <c r="H977" s="1">
        <v>1.7702999999999999E-7</v>
      </c>
      <c r="I977" s="1">
        <f t="shared" si="135"/>
        <v>1.7702999999999999E-7</v>
      </c>
      <c r="J977" s="4">
        <f t="shared" si="136"/>
        <v>-1.7003036502002108E-8</v>
      </c>
      <c r="K977" s="4">
        <f t="shared" si="137"/>
        <v>-2.4976390249110812E-8</v>
      </c>
      <c r="L977" s="4">
        <f t="shared" si="138"/>
        <v>-7.5801781086665793E-9</v>
      </c>
      <c r="M977" s="4">
        <f t="shared" si="140"/>
        <v>-7.9327028723560841E-9</v>
      </c>
      <c r="N977" s="5">
        <f t="shared" si="141"/>
        <v>9.2646670694467758E-8</v>
      </c>
      <c r="O977" s="5">
        <f t="shared" si="142"/>
        <v>1.2807998747207463E-6</v>
      </c>
      <c r="P977" s="5">
        <f t="shared" si="143"/>
        <v>4.2655345458478954E-7</v>
      </c>
      <c r="Q977" s="1">
        <f t="shared" si="139"/>
        <v>1.8000000000000035E-6</v>
      </c>
    </row>
    <row r="978" spans="1:17" x14ac:dyDescent="0.25">
      <c r="A978" s="1">
        <v>48.8</v>
      </c>
      <c r="B978" s="1">
        <v>1.3521E-2</v>
      </c>
      <c r="C978" s="1">
        <v>2.5601E-3</v>
      </c>
      <c r="D978" s="1">
        <v>2.6977000000000001E-2</v>
      </c>
      <c r="E978" s="1">
        <v>1.4512000000000001E-2</v>
      </c>
      <c r="F978" s="1">
        <v>1.3517999999999999E-6</v>
      </c>
      <c r="G978" s="1">
        <v>6.7633000000000001</v>
      </c>
      <c r="H978" s="1">
        <v>1.7709000000000001E-7</v>
      </c>
      <c r="I978" s="1">
        <f t="shared" si="135"/>
        <v>1.7709000000000001E-7</v>
      </c>
      <c r="J978" s="4">
        <f t="shared" si="136"/>
        <v>-1.7002629015672625E-8</v>
      </c>
      <c r="K978" s="4">
        <f t="shared" si="137"/>
        <v>-2.4975597557053136E-8</v>
      </c>
      <c r="L978" s="4">
        <f t="shared" si="138"/>
        <v>-7.5774719474276384E-9</v>
      </c>
      <c r="M978" s="4">
        <f t="shared" si="140"/>
        <v>-7.9288395968398057E-9</v>
      </c>
      <c r="N978" s="5">
        <f t="shared" si="141"/>
        <v>9.3042167288420638E-8</v>
      </c>
      <c r="O978" s="5">
        <f t="shared" si="142"/>
        <v>1.2807557457762055E-6</v>
      </c>
      <c r="P978" s="5">
        <f t="shared" si="143"/>
        <v>4.2620208693537736E-7</v>
      </c>
      <c r="Q978" s="1">
        <f t="shared" si="139"/>
        <v>1.8000000000000035E-6</v>
      </c>
    </row>
    <row r="979" spans="1:17" x14ac:dyDescent="0.25">
      <c r="A979" s="1">
        <v>48.85</v>
      </c>
      <c r="B979" s="1">
        <v>1.3493E-2</v>
      </c>
      <c r="C979" s="1">
        <v>2.5536000000000001E-3</v>
      </c>
      <c r="D979" s="1">
        <v>2.6994000000000001E-2</v>
      </c>
      <c r="E979" s="1">
        <v>1.4475999999999999E-2</v>
      </c>
      <c r="F979" s="1">
        <v>1.3488999999999999E-6</v>
      </c>
      <c r="G979" s="1">
        <v>6.7632000000000003</v>
      </c>
      <c r="H979" s="1">
        <v>1.7716000000000001E-7</v>
      </c>
      <c r="I979" s="1">
        <f t="shared" si="135"/>
        <v>1.7716000000000001E-7</v>
      </c>
      <c r="J979" s="4">
        <f t="shared" si="136"/>
        <v>-1.7002183627280481E-8</v>
      </c>
      <c r="K979" s="4">
        <f t="shared" si="137"/>
        <v>-2.4974737042638139E-8</v>
      </c>
      <c r="L979" s="4">
        <f t="shared" si="138"/>
        <v>-7.574738189941129E-9</v>
      </c>
      <c r="M979" s="4">
        <f t="shared" si="140"/>
        <v>-7.9249933954162028E-9</v>
      </c>
      <c r="N979" s="5">
        <f t="shared" si="141"/>
        <v>9.3439982513837168E-8</v>
      </c>
      <c r="O979" s="5">
        <f t="shared" si="142"/>
        <v>1.2807081857562641E-6</v>
      </c>
      <c r="P979" s="5">
        <f t="shared" si="143"/>
        <v>4.2585183172990231E-7</v>
      </c>
      <c r="Q979" s="1">
        <f t="shared" si="139"/>
        <v>1.8000000000000035E-6</v>
      </c>
    </row>
    <row r="980" spans="1:17" x14ac:dyDescent="0.25">
      <c r="A980" s="1">
        <v>48.9</v>
      </c>
      <c r="B980" s="1">
        <v>1.3465E-2</v>
      </c>
      <c r="C980" s="1">
        <v>2.5471999999999999E-3</v>
      </c>
      <c r="D980" s="1">
        <v>2.7011E-2</v>
      </c>
      <c r="E980" s="1">
        <v>1.444E-2</v>
      </c>
      <c r="F980" s="1">
        <v>1.3458999999999999E-6</v>
      </c>
      <c r="G980" s="1">
        <v>6.7629999999999999</v>
      </c>
      <c r="H980" s="1">
        <v>1.7721999999999999E-7</v>
      </c>
      <c r="I980" s="1">
        <f t="shared" si="135"/>
        <v>1.7721999999999999E-7</v>
      </c>
      <c r="J980" s="4">
        <f t="shared" si="136"/>
        <v>-1.7001696444577129E-8</v>
      </c>
      <c r="K980" s="4">
        <f t="shared" si="137"/>
        <v>-2.497380962224573E-8</v>
      </c>
      <c r="L980" s="4">
        <f t="shared" si="138"/>
        <v>-7.5719750506824002E-9</v>
      </c>
      <c r="M980" s="4">
        <f t="shared" si="140"/>
        <v>-7.9216106034728463E-9</v>
      </c>
      <c r="N980" s="5">
        <f t="shared" si="141"/>
        <v>9.3840120640823369E-8</v>
      </c>
      <c r="O980" s="5">
        <f t="shared" si="142"/>
        <v>1.2806576831820682E-6</v>
      </c>
      <c r="P980" s="5">
        <f t="shared" si="143"/>
        <v>4.2550219617711185E-7</v>
      </c>
      <c r="Q980" s="1">
        <f t="shared" si="139"/>
        <v>1.8000000000000035E-6</v>
      </c>
    </row>
    <row r="981" spans="1:17" x14ac:dyDescent="0.25">
      <c r="A981" s="1">
        <v>48.95</v>
      </c>
      <c r="B981" s="1">
        <v>1.3438E-2</v>
      </c>
      <c r="C981" s="1">
        <v>2.5406999999999999E-3</v>
      </c>
      <c r="D981" s="1">
        <v>2.7028E-2</v>
      </c>
      <c r="E981" s="1">
        <v>1.4404E-2</v>
      </c>
      <c r="F981" s="1">
        <v>1.3430000000000001E-6</v>
      </c>
      <c r="G981" s="1">
        <v>6.7628000000000004</v>
      </c>
      <c r="H981" s="1">
        <v>1.7728000000000001E-7</v>
      </c>
      <c r="I981" s="1">
        <f t="shared" si="135"/>
        <v>1.7728000000000001E-7</v>
      </c>
      <c r="J981" s="4">
        <f t="shared" si="136"/>
        <v>-1.6998638718484914E-8</v>
      </c>
      <c r="K981" s="4">
        <f t="shared" si="137"/>
        <v>-2.4972824822052462E-8</v>
      </c>
      <c r="L981" s="4">
        <f t="shared" si="138"/>
        <v>-7.5686189452702788E-9</v>
      </c>
      <c r="M981" s="4">
        <f t="shared" si="140"/>
        <v>-7.91778741668399E-9</v>
      </c>
      <c r="N981" s="5">
        <f t="shared" si="141"/>
        <v>9.4245687799120633E-8</v>
      </c>
      <c r="O981" s="5">
        <f t="shared" si="142"/>
        <v>1.2806012844951846E-6</v>
      </c>
      <c r="P981" s="5">
        <f t="shared" si="143"/>
        <v>4.2515302770569813E-7</v>
      </c>
      <c r="Q981" s="1">
        <f t="shared" si="139"/>
        <v>1.8000000000000035E-6</v>
      </c>
    </row>
    <row r="982" spans="1:17" x14ac:dyDescent="0.25">
      <c r="A982" s="1">
        <v>49</v>
      </c>
      <c r="B982" s="1">
        <v>1.341E-2</v>
      </c>
      <c r="C982" s="1">
        <v>2.5341999999999999E-3</v>
      </c>
      <c r="D982" s="1">
        <v>2.7045E-2</v>
      </c>
      <c r="E982" s="1">
        <v>1.4368000000000001E-2</v>
      </c>
      <c r="F982" s="1">
        <v>1.3401000000000001E-6</v>
      </c>
      <c r="G982" s="1">
        <v>6.7626999999999997</v>
      </c>
      <c r="H982" s="1">
        <v>1.7734E-7</v>
      </c>
      <c r="I982" s="1">
        <f t="shared" si="135"/>
        <v>1.7734E-7</v>
      </c>
      <c r="J982" s="4">
        <f t="shared" si="136"/>
        <v>-1.6998614055318651E-8</v>
      </c>
      <c r="K982" s="4">
        <f t="shared" si="137"/>
        <v>-2.4971725047654684E-8</v>
      </c>
      <c r="L982" s="4">
        <f t="shared" si="138"/>
        <v>-7.5660413472759541E-9</v>
      </c>
      <c r="M982" s="4">
        <f t="shared" si="140"/>
        <v>-7.9139685189244983E-9</v>
      </c>
      <c r="N982" s="5">
        <f t="shared" si="141"/>
        <v>9.4652757444180702E-8</v>
      </c>
      <c r="O982" s="5">
        <f t="shared" si="142"/>
        <v>1.2805421420217732E-6</v>
      </c>
      <c r="P982" s="5">
        <f t="shared" si="143"/>
        <v>4.2480510053404958E-7</v>
      </c>
      <c r="Q982" s="1">
        <f t="shared" si="139"/>
        <v>1.8000000000000035E-6</v>
      </c>
    </row>
    <row r="983" spans="1:17" x14ac:dyDescent="0.25">
      <c r="A983" s="1">
        <v>49.05</v>
      </c>
      <c r="B983" s="1">
        <v>1.3383000000000001E-2</v>
      </c>
      <c r="C983" s="1">
        <v>2.5276999999999999E-3</v>
      </c>
      <c r="D983" s="1">
        <v>2.7061999999999999E-2</v>
      </c>
      <c r="E983" s="1">
        <v>1.4331999999999999E-2</v>
      </c>
      <c r="F983" s="1">
        <v>1.3372000000000001E-6</v>
      </c>
      <c r="G983" s="1">
        <v>6.7625000000000002</v>
      </c>
      <c r="H983" s="1">
        <v>1.7741E-7</v>
      </c>
      <c r="I983" s="1">
        <f t="shared" si="135"/>
        <v>1.7741E-7</v>
      </c>
      <c r="J983" s="4">
        <f t="shared" si="136"/>
        <v>-1.6998385915228382E-8</v>
      </c>
      <c r="K983" s="4">
        <f t="shared" si="137"/>
        <v>-2.4970571769423158E-8</v>
      </c>
      <c r="L983" s="4">
        <f t="shared" si="138"/>
        <v>-7.5633621121148104E-9</v>
      </c>
      <c r="M983" s="4">
        <f t="shared" si="140"/>
        <v>-7.9101683355139276E-9</v>
      </c>
      <c r="N983" s="5">
        <f t="shared" si="141"/>
        <v>9.5061581186260662E-8</v>
      </c>
      <c r="O983" s="5">
        <f t="shared" si="142"/>
        <v>1.2804801245030924E-6</v>
      </c>
      <c r="P983" s="5">
        <f t="shared" si="143"/>
        <v>4.2445829431065048E-7</v>
      </c>
      <c r="Q983" s="1">
        <f t="shared" si="139"/>
        <v>1.8000000000000035E-6</v>
      </c>
    </row>
    <row r="984" spans="1:17" x14ac:dyDescent="0.25">
      <c r="A984" s="1">
        <v>49.1</v>
      </c>
      <c r="B984" s="1">
        <v>1.3355000000000001E-2</v>
      </c>
      <c r="C984" s="1">
        <v>2.5213000000000002E-3</v>
      </c>
      <c r="D984" s="1">
        <v>2.7078999999999999E-2</v>
      </c>
      <c r="E984" s="1">
        <v>1.4297000000000001E-2</v>
      </c>
      <c r="F984" s="1">
        <v>1.3343000000000001E-6</v>
      </c>
      <c r="G984" s="1">
        <v>6.7622999999999998</v>
      </c>
      <c r="H984" s="1">
        <v>1.7746999999999999E-7</v>
      </c>
      <c r="I984" s="1">
        <f t="shared" si="135"/>
        <v>1.7746999999999999E-7</v>
      </c>
      <c r="J984" s="4">
        <f t="shared" si="136"/>
        <v>-1.6997997835563896E-8</v>
      </c>
      <c r="K984" s="4">
        <f t="shared" si="137"/>
        <v>-2.4969362427812429E-8</v>
      </c>
      <c r="L984" s="4">
        <f t="shared" si="138"/>
        <v>-7.5606006256663332E-9</v>
      </c>
      <c r="M984" s="4">
        <f t="shared" si="140"/>
        <v>-7.9068303293341867E-9</v>
      </c>
      <c r="N984" s="5">
        <f t="shared" si="141"/>
        <v>9.5472345152842864E-8</v>
      </c>
      <c r="O984" s="5">
        <f t="shared" si="142"/>
        <v>1.2804155902401782E-6</v>
      </c>
      <c r="P984" s="5">
        <f t="shared" si="143"/>
        <v>4.2411206460698262E-7</v>
      </c>
      <c r="Q984" s="1">
        <f t="shared" si="139"/>
        <v>1.8000000000000035E-6</v>
      </c>
    </row>
    <row r="985" spans="1:17" x14ac:dyDescent="0.25">
      <c r="A985" s="1">
        <v>49.15</v>
      </c>
      <c r="B985" s="1">
        <v>1.3328E-2</v>
      </c>
      <c r="C985" s="1">
        <v>2.5148000000000002E-3</v>
      </c>
      <c r="D985" s="1">
        <v>2.7095999999999999E-2</v>
      </c>
      <c r="E985" s="1">
        <v>1.4260999999999999E-2</v>
      </c>
      <c r="F985" s="1">
        <v>1.3314000000000001E-6</v>
      </c>
      <c r="G985" s="1">
        <v>6.7622</v>
      </c>
      <c r="H985" s="1">
        <v>1.7753E-7</v>
      </c>
      <c r="I985" s="1">
        <f t="shared" si="135"/>
        <v>1.7753E-7</v>
      </c>
      <c r="J985" s="4">
        <f t="shared" si="136"/>
        <v>-1.6997480930837418E-8</v>
      </c>
      <c r="K985" s="4">
        <f t="shared" si="137"/>
        <v>-2.4968104009682059E-8</v>
      </c>
      <c r="L985" s="4">
        <f t="shared" si="138"/>
        <v>-7.558299386966633E-9</v>
      </c>
      <c r="M985" s="4">
        <f t="shared" si="140"/>
        <v>-7.9030526511086759E-9</v>
      </c>
      <c r="N985" s="5">
        <f t="shared" si="141"/>
        <v>9.5884668844720866E-8</v>
      </c>
      <c r="O985" s="5">
        <f t="shared" si="142"/>
        <v>1.2803480198124423E-6</v>
      </c>
      <c r="P985" s="5">
        <f t="shared" si="143"/>
        <v>4.2376731134284058E-7</v>
      </c>
      <c r="Q985" s="1">
        <f t="shared" si="139"/>
        <v>1.8000000000000037E-6</v>
      </c>
    </row>
    <row r="986" spans="1:17" x14ac:dyDescent="0.25">
      <c r="A986" s="1">
        <v>49.2</v>
      </c>
      <c r="B986" s="1">
        <v>1.3299999999999999E-2</v>
      </c>
      <c r="C986" s="1">
        <v>2.5083000000000002E-3</v>
      </c>
      <c r="D986" s="1">
        <v>2.7113000000000002E-2</v>
      </c>
      <c r="E986" s="1">
        <v>1.4225E-2</v>
      </c>
      <c r="F986" s="1">
        <v>1.3285000000000001E-6</v>
      </c>
      <c r="G986" s="1">
        <v>6.7619999999999996</v>
      </c>
      <c r="H986" s="1">
        <v>1.7758999999999999E-7</v>
      </c>
      <c r="I986" s="1">
        <f t="shared" si="135"/>
        <v>1.7758999999999999E-7</v>
      </c>
      <c r="J986" s="4">
        <f t="shared" si="136"/>
        <v>-1.6996765316016992E-8</v>
      </c>
      <c r="K986" s="4">
        <f t="shared" si="137"/>
        <v>-2.4966786386344756E-8</v>
      </c>
      <c r="L986" s="4">
        <f t="shared" si="138"/>
        <v>-7.5553711222219537E-9</v>
      </c>
      <c r="M986" s="4">
        <f t="shared" si="140"/>
        <v>-7.8992981321835951E-9</v>
      </c>
      <c r="N986" s="5">
        <f t="shared" si="141"/>
        <v>9.6299318792826673E-8</v>
      </c>
      <c r="O986" s="5">
        <f t="shared" si="142"/>
        <v>1.2802772968742982E-6</v>
      </c>
      <c r="P986" s="5">
        <f t="shared" si="143"/>
        <v>4.2342338433287898E-7</v>
      </c>
      <c r="Q986" s="1">
        <f t="shared" si="139"/>
        <v>1.8000000000000039E-6</v>
      </c>
    </row>
    <row r="987" spans="1:17" x14ac:dyDescent="0.25">
      <c r="A987" s="1">
        <v>49.25</v>
      </c>
      <c r="B987" s="1">
        <v>1.3273E-2</v>
      </c>
      <c r="C987" s="1">
        <v>2.5019E-3</v>
      </c>
      <c r="D987" s="1">
        <v>2.7130000000000001E-2</v>
      </c>
      <c r="E987" s="1">
        <v>1.4189999999999999E-2</v>
      </c>
      <c r="F987" s="1">
        <v>1.3255000000000001E-6</v>
      </c>
      <c r="G987" s="1">
        <v>6.7618</v>
      </c>
      <c r="H987" s="1">
        <v>1.7765999999999999E-7</v>
      </c>
      <c r="I987" s="1">
        <f t="shared" si="135"/>
        <v>1.7765999999999999E-7</v>
      </c>
      <c r="J987" s="4">
        <f t="shared" si="136"/>
        <v>-1.6995984740410538E-8</v>
      </c>
      <c r="K987" s="4">
        <f t="shared" si="137"/>
        <v>-2.4965407289047395E-8</v>
      </c>
      <c r="L987" s="4">
        <f t="shared" si="138"/>
        <v>-7.552402816478814E-9</v>
      </c>
      <c r="M987" s="4">
        <f t="shared" si="140"/>
        <v>-7.8955546764855286E-9</v>
      </c>
      <c r="N987" s="5">
        <f t="shared" si="141"/>
        <v>9.6716338524984707E-8</v>
      </c>
      <c r="O987" s="5">
        <f t="shared" si="142"/>
        <v>1.2802034290021469E-6</v>
      </c>
      <c r="P987" s="5">
        <f t="shared" si="143"/>
        <v>4.2308023247287223E-7</v>
      </c>
      <c r="Q987" s="1">
        <f t="shared" si="139"/>
        <v>1.8000000000000039E-6</v>
      </c>
    </row>
    <row r="988" spans="1:17" x14ac:dyDescent="0.25">
      <c r="A988" s="1">
        <v>49.3</v>
      </c>
      <c r="B988" s="1">
        <v>1.3246000000000001E-2</v>
      </c>
      <c r="C988" s="1">
        <v>2.4954E-3</v>
      </c>
      <c r="D988" s="1">
        <v>2.7147000000000001E-2</v>
      </c>
      <c r="E988" s="1">
        <v>1.4154999999999999E-2</v>
      </c>
      <c r="F988" s="1">
        <v>1.3226000000000001E-6</v>
      </c>
      <c r="G988" s="1">
        <v>6.7617000000000003</v>
      </c>
      <c r="H988" s="1">
        <v>1.7772000000000001E-7</v>
      </c>
      <c r="I988" s="1">
        <f t="shared" si="135"/>
        <v>1.7772000000000001E-7</v>
      </c>
      <c r="J988" s="4">
        <f t="shared" si="136"/>
        <v>-1.6992579515054689E-8</v>
      </c>
      <c r="K988" s="4">
        <f t="shared" si="137"/>
        <v>-2.4963966865540445E-8</v>
      </c>
      <c r="L988" s="4">
        <f t="shared" si="138"/>
        <v>-7.5493588741780308E-9</v>
      </c>
      <c r="M988" s="4">
        <f t="shared" si="140"/>
        <v>-7.8922655806182508E-9</v>
      </c>
      <c r="N988" s="5">
        <f t="shared" si="141"/>
        <v>9.7138367001292427E-8</v>
      </c>
      <c r="O988" s="5">
        <f t="shared" si="142"/>
        <v>1.2801243072322793E-6</v>
      </c>
      <c r="P988" s="5">
        <f t="shared" si="143"/>
        <v>4.2273732576643201E-7</v>
      </c>
      <c r="Q988" s="1">
        <f t="shared" si="139"/>
        <v>1.8000000000000037E-6</v>
      </c>
    </row>
    <row r="989" spans="1:17" x14ac:dyDescent="0.25">
      <c r="A989" s="1">
        <v>49.35</v>
      </c>
      <c r="B989" s="1">
        <v>1.3219E-2</v>
      </c>
      <c r="C989" s="1">
        <v>2.4889000000000001E-3</v>
      </c>
      <c r="D989" s="1">
        <v>2.7164000000000001E-2</v>
      </c>
      <c r="E989" s="1">
        <v>1.4119E-2</v>
      </c>
      <c r="F989" s="1">
        <v>1.3197E-6</v>
      </c>
      <c r="G989" s="1">
        <v>6.7614999999999998</v>
      </c>
      <c r="H989" s="1">
        <v>1.7777999999999999E-7</v>
      </c>
      <c r="I989" s="1">
        <f t="shared" si="135"/>
        <v>1.7777999999999999E-7</v>
      </c>
      <c r="J989" s="4">
        <f t="shared" si="136"/>
        <v>-1.6992130506952424E-8</v>
      </c>
      <c r="K989" s="4">
        <f t="shared" si="137"/>
        <v>-2.4962423991031574E-8</v>
      </c>
      <c r="L989" s="4">
        <f t="shared" si="138"/>
        <v>-7.5470510388819963E-9</v>
      </c>
      <c r="M989" s="4">
        <f t="shared" si="140"/>
        <v>-7.8885321411977537E-9</v>
      </c>
      <c r="N989" s="5">
        <f t="shared" si="141"/>
        <v>9.7561609446489577E-8</v>
      </c>
      <c r="O989" s="5">
        <f t="shared" si="142"/>
        <v>1.2800425458893978E-6</v>
      </c>
      <c r="P989" s="5">
        <f t="shared" si="143"/>
        <v>4.2239584466411627E-7</v>
      </c>
      <c r="Q989" s="1">
        <f t="shared" si="139"/>
        <v>1.8000000000000037E-6</v>
      </c>
    </row>
    <row r="990" spans="1:17" x14ac:dyDescent="0.25">
      <c r="A990" s="1">
        <v>49.4</v>
      </c>
      <c r="B990" s="1">
        <v>1.3192000000000001E-2</v>
      </c>
      <c r="C990" s="1">
        <v>2.4824999999999999E-3</v>
      </c>
      <c r="D990" s="1">
        <v>2.7179999999999999E-2</v>
      </c>
      <c r="E990" s="1">
        <v>1.4083999999999999E-2</v>
      </c>
      <c r="F990" s="1">
        <v>1.3168E-6</v>
      </c>
      <c r="G990" s="1">
        <v>6.7613000000000003</v>
      </c>
      <c r="H990" s="1">
        <v>1.7784000000000001E-7</v>
      </c>
      <c r="I990" s="1">
        <f t="shared" si="135"/>
        <v>1.7784000000000001E-7</v>
      </c>
      <c r="J990" s="4">
        <f t="shared" si="136"/>
        <v>-1.6991408828541703E-8</v>
      </c>
      <c r="K990" s="4">
        <f t="shared" si="137"/>
        <v>-2.4960829644841838E-8</v>
      </c>
      <c r="L990" s="4">
        <f t="shared" si="138"/>
        <v>-7.5440786556660456E-9</v>
      </c>
      <c r="M990" s="4">
        <f t="shared" si="140"/>
        <v>-7.884820992760143E-9</v>
      </c>
      <c r="N990" s="5">
        <f t="shared" si="141"/>
        <v>9.7986951607123673E-8</v>
      </c>
      <c r="O990" s="5">
        <f t="shared" si="142"/>
        <v>1.2799579460658578E-6</v>
      </c>
      <c r="P990" s="5">
        <f t="shared" si="143"/>
        <v>4.2205510232702219E-7</v>
      </c>
      <c r="Q990" s="1">
        <f t="shared" si="139"/>
        <v>1.8000000000000037E-6</v>
      </c>
    </row>
    <row r="991" spans="1:17" x14ac:dyDescent="0.25">
      <c r="A991" s="1">
        <v>49.45</v>
      </c>
      <c r="B991" s="1">
        <v>1.3164E-2</v>
      </c>
      <c r="C991" s="1">
        <v>2.4759999999999999E-3</v>
      </c>
      <c r="D991" s="1">
        <v>2.7196999999999999E-2</v>
      </c>
      <c r="E991" s="1">
        <v>1.4049000000000001E-2</v>
      </c>
      <c r="F991" s="1">
        <v>1.3138E-6</v>
      </c>
      <c r="G991" s="1">
        <v>6.7611999999999997</v>
      </c>
      <c r="H991" s="1">
        <v>1.779E-7</v>
      </c>
      <c r="I991" s="1">
        <f t="shared" si="135"/>
        <v>1.779E-7</v>
      </c>
      <c r="J991" s="4">
        <f t="shared" si="136"/>
        <v>-1.6990567409947427E-8</v>
      </c>
      <c r="K991" s="4">
        <f t="shared" si="137"/>
        <v>-2.4959179948286359E-8</v>
      </c>
      <c r="L991" s="4">
        <f t="shared" si="138"/>
        <v>-7.5415771439630397E-9</v>
      </c>
      <c r="M991" s="4">
        <f t="shared" si="140"/>
        <v>-7.8811193367736239E-9</v>
      </c>
      <c r="N991" s="5">
        <f t="shared" si="141"/>
        <v>9.8413987001499569E-8</v>
      </c>
      <c r="O991" s="5">
        <f t="shared" si="142"/>
        <v>1.2798704528642925E-6</v>
      </c>
      <c r="P991" s="5">
        <f t="shared" si="143"/>
        <v>4.2171556013421161E-7</v>
      </c>
      <c r="Q991" s="1">
        <f t="shared" si="139"/>
        <v>1.8000000000000037E-6</v>
      </c>
    </row>
    <row r="992" spans="1:17" x14ac:dyDescent="0.25">
      <c r="A992" s="1">
        <v>49.5</v>
      </c>
      <c r="B992" s="1">
        <v>1.3136999999999999E-2</v>
      </c>
      <c r="C992" s="1">
        <v>2.4696000000000002E-3</v>
      </c>
      <c r="D992" s="1">
        <v>2.7213999999999999E-2</v>
      </c>
      <c r="E992" s="1">
        <v>1.4014E-2</v>
      </c>
      <c r="F992" s="1">
        <v>1.3109E-6</v>
      </c>
      <c r="G992" s="1">
        <v>6.7610000000000001</v>
      </c>
      <c r="H992" s="1">
        <v>1.7795999999999999E-7</v>
      </c>
      <c r="I992" s="1">
        <f t="shared" si="135"/>
        <v>1.7795999999999999E-7</v>
      </c>
      <c r="J992" s="4">
        <f t="shared" si="136"/>
        <v>-1.6986947384582301E-8</v>
      </c>
      <c r="K992" s="4">
        <f t="shared" si="137"/>
        <v>-2.4957473830852287E-8</v>
      </c>
      <c r="L992" s="4">
        <f t="shared" si="138"/>
        <v>-7.538407206537422E-9</v>
      </c>
      <c r="M992" s="4">
        <f t="shared" si="140"/>
        <v>-7.8774358055265574E-9</v>
      </c>
      <c r="N992" s="5">
        <f t="shared" si="141"/>
        <v>9.8846106241232136E-8</v>
      </c>
      <c r="O992" s="5">
        <f t="shared" si="142"/>
        <v>1.2797773622235492E-6</v>
      </c>
      <c r="P992" s="5">
        <f t="shared" si="143"/>
        <v>4.2137653153522249E-7</v>
      </c>
      <c r="Q992" s="1">
        <f t="shared" si="139"/>
        <v>1.8000000000000039E-6</v>
      </c>
    </row>
    <row r="993" spans="1:17" x14ac:dyDescent="0.25">
      <c r="A993" s="1">
        <v>49.55</v>
      </c>
      <c r="B993" s="1">
        <v>1.3110999999999999E-2</v>
      </c>
      <c r="C993" s="1">
        <v>2.4631000000000002E-3</v>
      </c>
      <c r="D993" s="1">
        <v>2.7231000000000002E-2</v>
      </c>
      <c r="E993" s="1">
        <v>1.3979E-2</v>
      </c>
      <c r="F993" s="1">
        <v>1.308E-6</v>
      </c>
      <c r="G993" s="1">
        <v>6.7609000000000004</v>
      </c>
      <c r="H993" s="1">
        <v>1.7802E-7</v>
      </c>
      <c r="I993" s="1">
        <f t="shared" si="135"/>
        <v>1.7802E-7</v>
      </c>
      <c r="J993" s="4">
        <f t="shared" si="136"/>
        <v>-1.6986296210443171E-8</v>
      </c>
      <c r="K993" s="4">
        <f t="shared" si="137"/>
        <v>-2.495565856335779E-8</v>
      </c>
      <c r="L993" s="4">
        <f t="shared" si="138"/>
        <v>-7.5359730996763657E-9</v>
      </c>
      <c r="M993" s="4">
        <f t="shared" si="140"/>
        <v>-7.8737575929604121E-9</v>
      </c>
      <c r="N993" s="5">
        <f t="shared" si="141"/>
        <v>9.9279495494470393E-8</v>
      </c>
      <c r="O993" s="5">
        <f t="shared" si="142"/>
        <v>1.2796817574635949E-6</v>
      </c>
      <c r="P993" s="5">
        <f t="shared" si="143"/>
        <v>4.2103874704193843E-7</v>
      </c>
      <c r="Q993" s="1">
        <f t="shared" si="139"/>
        <v>1.8000000000000037E-6</v>
      </c>
    </row>
    <row r="994" spans="1:17" x14ac:dyDescent="0.25">
      <c r="A994" s="1">
        <v>49.6</v>
      </c>
      <c r="B994" s="1">
        <v>1.3084E-2</v>
      </c>
      <c r="C994" s="1">
        <v>2.4567E-3</v>
      </c>
      <c r="D994" s="1">
        <v>2.7247E-2</v>
      </c>
      <c r="E994" s="1">
        <v>1.3944E-2</v>
      </c>
      <c r="F994" s="1">
        <v>1.305E-6</v>
      </c>
      <c r="G994" s="1">
        <v>6.7606999999999999</v>
      </c>
      <c r="H994" s="1">
        <v>1.7809E-7</v>
      </c>
      <c r="I994" s="1">
        <f t="shared" si="135"/>
        <v>1.7809E-7</v>
      </c>
      <c r="J994" s="4">
        <f t="shared" si="136"/>
        <v>-1.6985371477966609E-8</v>
      </c>
      <c r="K994" s="4">
        <f t="shared" si="137"/>
        <v>-2.4953794270542231E-8</v>
      </c>
      <c r="L994" s="4">
        <f t="shared" si="138"/>
        <v>-7.5334083160975169E-9</v>
      </c>
      <c r="M994" s="4">
        <f t="shared" si="140"/>
        <v>-7.8700983635832894E-9</v>
      </c>
      <c r="N994" s="5">
        <f t="shared" si="141"/>
        <v>9.9714509970948503E-8</v>
      </c>
      <c r="O994" s="5">
        <f t="shared" si="142"/>
        <v>1.2795834330346027E-6</v>
      </c>
      <c r="P994" s="5">
        <f t="shared" si="143"/>
        <v>4.2070205699445262E-7</v>
      </c>
      <c r="Q994" s="1">
        <f t="shared" si="139"/>
        <v>1.8000000000000037E-6</v>
      </c>
    </row>
    <row r="995" spans="1:17" x14ac:dyDescent="0.25">
      <c r="A995" s="1">
        <v>49.65</v>
      </c>
      <c r="B995" s="1">
        <v>1.3056999999999999E-2</v>
      </c>
      <c r="C995" s="1">
        <v>2.4502999999999999E-3</v>
      </c>
      <c r="D995" s="1">
        <v>2.7264E-2</v>
      </c>
      <c r="E995" s="1">
        <v>1.3908999999999999E-2</v>
      </c>
      <c r="F995" s="1">
        <v>1.3021E-6</v>
      </c>
      <c r="G995" s="1">
        <v>6.7605000000000004</v>
      </c>
      <c r="H995" s="1">
        <v>1.7814999999999999E-7</v>
      </c>
      <c r="I995" s="1">
        <f t="shared" si="135"/>
        <v>1.7814999999999999E-7</v>
      </c>
      <c r="J995" s="4">
        <f t="shared" si="136"/>
        <v>-1.6981630334326492E-8</v>
      </c>
      <c r="K995" s="4">
        <f t="shared" si="137"/>
        <v>-2.4951876944173337E-8</v>
      </c>
      <c r="L995" s="4">
        <f t="shared" si="138"/>
        <v>-7.5301623872388637E-9</v>
      </c>
      <c r="M995" s="4">
        <f t="shared" si="140"/>
        <v>-7.8668970796644699E-9</v>
      </c>
      <c r="N995" s="5">
        <f t="shared" si="141"/>
        <v>1.0015459419355647E-7</v>
      </c>
      <c r="O995" s="5">
        <f t="shared" si="142"/>
        <v>1.2794800835044205E-6</v>
      </c>
      <c r="P995" s="5">
        <f t="shared" si="143"/>
        <v>4.2036532230202704E-7</v>
      </c>
      <c r="Q995" s="1">
        <f t="shared" si="139"/>
        <v>1.8000000000000039E-6</v>
      </c>
    </row>
    <row r="996" spans="1:17" x14ac:dyDescent="0.25">
      <c r="A996" s="1">
        <v>49.7</v>
      </c>
      <c r="B996" s="1">
        <v>1.303E-2</v>
      </c>
      <c r="C996" s="1">
        <v>2.4437999999999999E-3</v>
      </c>
      <c r="D996" s="1">
        <v>2.7279999999999999E-2</v>
      </c>
      <c r="E996" s="1">
        <v>1.3873999999999999E-2</v>
      </c>
      <c r="F996" s="1">
        <v>1.2992E-6</v>
      </c>
      <c r="G996" s="1">
        <v>6.7603999999999997</v>
      </c>
      <c r="H996" s="1">
        <v>1.7821000000000001E-7</v>
      </c>
      <c r="I996" s="1">
        <f t="shared" si="135"/>
        <v>1.7821000000000001E-7</v>
      </c>
      <c r="J996" s="4">
        <f t="shared" si="136"/>
        <v>-1.6980854995318212E-8</v>
      </c>
      <c r="K996" s="4">
        <f t="shared" si="137"/>
        <v>-2.4949861628338328E-8</v>
      </c>
      <c r="L996" s="4">
        <f t="shared" si="138"/>
        <v>-7.5276465351279166E-9</v>
      </c>
      <c r="M996" s="4">
        <f t="shared" si="140"/>
        <v>-7.8632486276518129E-9</v>
      </c>
      <c r="N996" s="5">
        <f t="shared" si="141"/>
        <v>1.0059595429144867E-7</v>
      </c>
      <c r="O996" s="5">
        <f t="shared" si="142"/>
        <v>1.2793743254990522E-6</v>
      </c>
      <c r="P996" s="5">
        <f t="shared" si="143"/>
        <v>4.2002972020950314E-7</v>
      </c>
      <c r="Q996" s="1">
        <f t="shared" si="139"/>
        <v>1.8000000000000039E-6</v>
      </c>
    </row>
    <row r="997" spans="1:17" x14ac:dyDescent="0.25">
      <c r="A997" s="1">
        <v>49.75</v>
      </c>
      <c r="B997" s="1">
        <v>1.3003000000000001E-2</v>
      </c>
      <c r="C997" s="1">
        <v>2.4374000000000002E-3</v>
      </c>
      <c r="D997" s="1">
        <v>2.7296999999999998E-2</v>
      </c>
      <c r="E997" s="1">
        <v>1.3839000000000001E-2</v>
      </c>
      <c r="F997" s="1">
        <v>1.2962E-6</v>
      </c>
      <c r="G997" s="1">
        <v>6.7602000000000002</v>
      </c>
      <c r="H997" s="1">
        <v>1.7826999999999999E-7</v>
      </c>
      <c r="I997" s="1">
        <f t="shared" si="135"/>
        <v>1.7826999999999999E-7</v>
      </c>
      <c r="J997" s="4">
        <f t="shared" si="136"/>
        <v>-1.6979798754902314E-8</v>
      </c>
      <c r="K997" s="4">
        <f t="shared" si="137"/>
        <v>-2.4947799347230104E-8</v>
      </c>
      <c r="L997" s="4">
        <f t="shared" si="138"/>
        <v>-7.524996697128125E-9</v>
      </c>
      <c r="M997" s="4">
        <f t="shared" si="140"/>
        <v>-7.8596171260457876E-9</v>
      </c>
      <c r="N997" s="5">
        <f t="shared" si="141"/>
        <v>1.0103895818664833E-7</v>
      </c>
      <c r="O997" s="5">
        <f t="shared" si="142"/>
        <v>1.2792659420327701E-6</v>
      </c>
      <c r="P997" s="5">
        <f t="shared" si="143"/>
        <v>4.1969509978058553E-7</v>
      </c>
      <c r="Q997" s="1">
        <f t="shared" si="139"/>
        <v>1.8000000000000039E-6</v>
      </c>
    </row>
    <row r="998" spans="1:17" x14ac:dyDescent="0.25">
      <c r="A998" s="1">
        <v>49.8</v>
      </c>
      <c r="B998" s="1">
        <v>1.2977000000000001E-2</v>
      </c>
      <c r="C998" s="1">
        <v>2.431E-3</v>
      </c>
      <c r="D998" s="1">
        <v>2.7314000000000001E-2</v>
      </c>
      <c r="E998" s="1">
        <v>1.3804E-2</v>
      </c>
      <c r="F998" s="1">
        <v>1.2933E-6</v>
      </c>
      <c r="G998" s="1">
        <v>6.7601000000000004</v>
      </c>
      <c r="H998" s="1">
        <v>1.7833000000000001E-7</v>
      </c>
      <c r="I998" s="1">
        <f t="shared" si="135"/>
        <v>1.7833000000000001E-7</v>
      </c>
      <c r="J998" s="4">
        <f t="shared" si="136"/>
        <v>-1.6975903343109815E-8</v>
      </c>
      <c r="K998" s="4">
        <f t="shared" si="137"/>
        <v>-2.4945685869637602E-8</v>
      </c>
      <c r="L998" s="4">
        <f t="shared" si="138"/>
        <v>-7.5216597316462082E-9</v>
      </c>
      <c r="M998" s="4">
        <f t="shared" si="140"/>
        <v>-7.8559997709774758E-9</v>
      </c>
      <c r="N998" s="5">
        <f t="shared" si="141"/>
        <v>1.0148708098152991E-7</v>
      </c>
      <c r="O998" s="5">
        <f t="shared" si="142"/>
        <v>1.2791521592772199E-6</v>
      </c>
      <c r="P998" s="5">
        <f t="shared" si="143"/>
        <v>4.1936075974125422E-7</v>
      </c>
      <c r="Q998" s="1">
        <f t="shared" si="139"/>
        <v>1.8000000000000039E-6</v>
      </c>
    </row>
    <row r="999" spans="1:17" x14ac:dyDescent="0.25">
      <c r="A999" s="1">
        <v>49.85</v>
      </c>
      <c r="B999" s="1">
        <v>1.295E-2</v>
      </c>
      <c r="C999" s="1">
        <v>2.4245999999999998E-3</v>
      </c>
      <c r="D999" s="1">
        <v>2.733E-2</v>
      </c>
      <c r="E999" s="1">
        <v>1.3769999999999999E-2</v>
      </c>
      <c r="F999" s="1">
        <v>1.2903E-6</v>
      </c>
      <c r="G999" s="1">
        <v>6.7599</v>
      </c>
      <c r="H999" s="1">
        <v>1.7839E-7</v>
      </c>
      <c r="I999" s="1">
        <f t="shared" si="135"/>
        <v>1.7839E-7</v>
      </c>
      <c r="J999" s="4">
        <f t="shared" si="136"/>
        <v>-1.6974981766316701E-8</v>
      </c>
      <c r="K999" s="4">
        <f t="shared" si="137"/>
        <v>-2.4943467105907915E-8</v>
      </c>
      <c r="L999" s="4">
        <f t="shared" si="138"/>
        <v>-7.5190519636146172E-9</v>
      </c>
      <c r="M999" s="4">
        <f t="shared" si="140"/>
        <v>-7.8523834498897455E-9</v>
      </c>
      <c r="N999" s="5">
        <f t="shared" si="141"/>
        <v>1.019365143575065E-7</v>
      </c>
      <c r="O999" s="5">
        <f t="shared" si="142"/>
        <v>1.2790360573875184E-6</v>
      </c>
      <c r="P999" s="5">
        <f t="shared" si="143"/>
        <v>4.1902742825497905E-7</v>
      </c>
      <c r="Q999" s="1">
        <f t="shared" si="139"/>
        <v>1.8000000000000039E-6</v>
      </c>
    </row>
    <row r="1000" spans="1:17" x14ac:dyDescent="0.25">
      <c r="A1000" s="1">
        <v>49.9</v>
      </c>
      <c r="B1000" s="1">
        <v>1.2924E-2</v>
      </c>
      <c r="C1000" s="1">
        <v>2.4182000000000001E-3</v>
      </c>
      <c r="D1000" s="1">
        <v>2.7347E-2</v>
      </c>
      <c r="E1000" s="1">
        <v>1.3735000000000001E-2</v>
      </c>
      <c r="F1000" s="1">
        <v>1.2873999999999999E-6</v>
      </c>
      <c r="G1000" s="1">
        <v>6.7596999999999996</v>
      </c>
      <c r="H1000" s="1">
        <v>1.7845000000000001E-7</v>
      </c>
      <c r="I1000" s="1">
        <f t="shared" si="135"/>
        <v>1.7845000000000001E-7</v>
      </c>
      <c r="J1000" s="4">
        <f t="shared" si="136"/>
        <v>-1.6971146157871589E-8</v>
      </c>
      <c r="K1000" s="4">
        <f t="shared" si="137"/>
        <v>-2.4941203119055196E-8</v>
      </c>
      <c r="L1000" s="4">
        <f t="shared" si="138"/>
        <v>-7.5162724386937224E-9</v>
      </c>
      <c r="M1000" s="4">
        <f t="shared" si="140"/>
        <v>-7.848781807272153E-9</v>
      </c>
      <c r="N1000" s="5">
        <f t="shared" si="141"/>
        <v>1.0239029887999639E-7</v>
      </c>
      <c r="O1000" s="5">
        <f t="shared" si="142"/>
        <v>1.278914782233607E-6</v>
      </c>
      <c r="P1000" s="5">
        <f t="shared" si="143"/>
        <v>4.186949188864006E-7</v>
      </c>
      <c r="Q1000" s="1">
        <f t="shared" si="139"/>
        <v>1.8000000000000039E-6</v>
      </c>
    </row>
    <row r="1001" spans="1:17" x14ac:dyDescent="0.25">
      <c r="A1001" s="1">
        <v>49.95</v>
      </c>
      <c r="B1001" s="1">
        <v>1.2897E-2</v>
      </c>
      <c r="C1001" s="1">
        <v>2.4117000000000001E-3</v>
      </c>
      <c r="D1001" s="1">
        <v>2.7362999999999998E-2</v>
      </c>
      <c r="E1001" s="1">
        <v>1.3701E-2</v>
      </c>
      <c r="F1001" s="1">
        <v>1.2844999999999999E-6</v>
      </c>
      <c r="G1001" s="1">
        <v>6.7595999999999998</v>
      </c>
      <c r="H1001" s="1">
        <v>1.7851E-7</v>
      </c>
      <c r="I1001" s="1">
        <f t="shared" si="135"/>
        <v>1.7851E-7</v>
      </c>
      <c r="J1001" s="4">
        <f t="shared" si="136"/>
        <v>-1.6970155439974988E-8</v>
      </c>
      <c r="K1001" s="4">
        <f t="shared" si="137"/>
        <v>-2.493883825355746E-8</v>
      </c>
      <c r="L1001" s="4">
        <f t="shared" si="138"/>
        <v>-7.5136173886704537E-9</v>
      </c>
      <c r="M1001" s="4">
        <f t="shared" si="140"/>
        <v>-7.8451913689048794E-9</v>
      </c>
      <c r="N1001" s="5">
        <f t="shared" si="141"/>
        <v>1.0284536430490841E-7</v>
      </c>
      <c r="O1001" s="5">
        <f t="shared" si="142"/>
        <v>1.2787912907889296E-6</v>
      </c>
      <c r="P1001" s="5">
        <f t="shared" si="143"/>
        <v>4.1836334490616617E-7</v>
      </c>
      <c r="Q1001" s="1">
        <f t="shared" si="139"/>
        <v>1.8000000000000042E-6</v>
      </c>
    </row>
    <row r="1002" spans="1:17" x14ac:dyDescent="0.25">
      <c r="A1002" s="1">
        <v>50</v>
      </c>
      <c r="B1002" s="1">
        <v>1.2871E-2</v>
      </c>
      <c r="C1002" s="1">
        <v>2.4053E-3</v>
      </c>
      <c r="D1002" s="1">
        <v>2.7379000000000001E-2</v>
      </c>
      <c r="E1002" s="1">
        <v>1.3665999999999999E-2</v>
      </c>
      <c r="F1002" s="1">
        <v>1.2814999999999999E-6</v>
      </c>
      <c r="G1002" s="1">
        <v>6.7594000000000003</v>
      </c>
      <c r="H1002" s="1">
        <v>1.7856999999999999E-7</v>
      </c>
      <c r="I1002" s="1">
        <f t="shared" si="135"/>
        <v>1.7856999999999999E-7</v>
      </c>
      <c r="J1002" s="4">
        <f t="shared" si="136"/>
        <v>-1.6968870609257196E-8</v>
      </c>
      <c r="K1002" s="4">
        <f t="shared" si="137"/>
        <v>-2.4936430170382709E-8</v>
      </c>
      <c r="L1002" s="4">
        <f t="shared" si="138"/>
        <v>-7.5113706446270666E-9</v>
      </c>
      <c r="M1002" s="4">
        <f t="shared" si="140"/>
        <v>-7.8416142734155247E-9</v>
      </c>
      <c r="N1002" s="5">
        <f t="shared" si="141"/>
        <v>1.0330155322140686E-7</v>
      </c>
      <c r="O1002" s="5">
        <f t="shared" si="142"/>
        <v>1.2786653455012196E-6</v>
      </c>
      <c r="P1002" s="5">
        <f t="shared" si="143"/>
        <v>4.1803310127737768E-7</v>
      </c>
      <c r="Q1002" s="1">
        <f t="shared" si="139"/>
        <v>1.8000000000000042E-6</v>
      </c>
    </row>
    <row r="1003" spans="1:17" x14ac:dyDescent="0.25">
      <c r="A1003" s="1">
        <v>50.05</v>
      </c>
      <c r="B1003" s="1">
        <v>1.2844E-2</v>
      </c>
      <c r="C1003" s="1">
        <v>2.3988999999999998E-3</v>
      </c>
      <c r="D1003" s="1">
        <v>2.7396E-2</v>
      </c>
      <c r="E1003" s="1">
        <v>1.3632E-2</v>
      </c>
      <c r="F1003" s="1">
        <v>1.2785999999999999E-6</v>
      </c>
      <c r="G1003" s="1">
        <v>6.7592999999999996</v>
      </c>
      <c r="H1003" s="1">
        <v>1.7863000000000001E-7</v>
      </c>
      <c r="I1003" s="1">
        <f t="shared" si="135"/>
        <v>1.7863000000000001E-7</v>
      </c>
      <c r="J1003" s="4">
        <f t="shared" si="136"/>
        <v>-1.6964617519080829E-8</v>
      </c>
      <c r="K1003" s="4">
        <f t="shared" si="137"/>
        <v>-2.4933974237272363E-8</v>
      </c>
      <c r="L1003" s="4">
        <f t="shared" si="138"/>
        <v>-7.5078394187701775E-9</v>
      </c>
      <c r="M1003" s="4">
        <f t="shared" si="140"/>
        <v>-7.8380579439851941E-9</v>
      </c>
      <c r="N1003" s="5">
        <f t="shared" si="141"/>
        <v>1.0376307052082821E-7</v>
      </c>
      <c r="O1003" s="5">
        <f t="shared" si="142"/>
        <v>1.2785340467270132E-6</v>
      </c>
      <c r="P1003" s="5">
        <f t="shared" si="143"/>
        <v>4.1770288275216268E-7</v>
      </c>
      <c r="Q1003" s="1">
        <f t="shared" si="139"/>
        <v>1.8000000000000039E-6</v>
      </c>
    </row>
    <row r="1004" spans="1:17" x14ac:dyDescent="0.25">
      <c r="A1004" s="1">
        <v>50.1</v>
      </c>
      <c r="B1004" s="1">
        <v>1.2818E-2</v>
      </c>
      <c r="C1004" s="1">
        <v>2.3925000000000001E-3</v>
      </c>
      <c r="D1004" s="1">
        <v>2.7411999999999999E-2</v>
      </c>
      <c r="E1004" s="1">
        <v>1.3598000000000001E-2</v>
      </c>
      <c r="F1004" s="1">
        <v>1.2755999999999999E-6</v>
      </c>
      <c r="G1004" s="1">
        <v>6.7591000000000001</v>
      </c>
      <c r="H1004" s="1">
        <v>1.7868999999999999E-7</v>
      </c>
      <c r="I1004" s="1">
        <f t="shared" si="135"/>
        <v>1.7868999999999999E-7</v>
      </c>
      <c r="J1004" s="4">
        <f t="shared" si="136"/>
        <v>-1.6963373127221097E-8</v>
      </c>
      <c r="K1004" s="4">
        <f t="shared" si="137"/>
        <v>-2.4931413911178881E-8</v>
      </c>
      <c r="L1004" s="4">
        <f t="shared" si="138"/>
        <v>-7.5055960836200039E-9</v>
      </c>
      <c r="M1004" s="4">
        <f t="shared" si="140"/>
        <v>-7.8344979243326451E-9</v>
      </c>
      <c r="N1004" s="5">
        <f t="shared" si="141"/>
        <v>1.04225515221166E-7</v>
      </c>
      <c r="O1004" s="5">
        <f t="shared" si="142"/>
        <v>1.2784005038673881E-6</v>
      </c>
      <c r="P1004" s="5">
        <f t="shared" si="143"/>
        <v>4.1737398091145004E-7</v>
      </c>
      <c r="Q1004" s="1">
        <f t="shared" si="139"/>
        <v>1.8000000000000042E-6</v>
      </c>
    </row>
    <row r="1005" spans="1:17" x14ac:dyDescent="0.25">
      <c r="A1005" s="1">
        <v>50.15</v>
      </c>
      <c r="B1005" s="1">
        <v>1.2792E-2</v>
      </c>
      <c r="C1005" s="1">
        <v>2.3860999999999999E-3</v>
      </c>
      <c r="D1005" s="1">
        <v>2.7428000000000001E-2</v>
      </c>
      <c r="E1005" s="1">
        <v>1.3563E-2</v>
      </c>
      <c r="F1005" s="1">
        <v>1.2726999999999999E-6</v>
      </c>
      <c r="G1005" s="1">
        <v>6.7588999999999997</v>
      </c>
      <c r="H1005" s="1">
        <v>1.7875000000000001E-7</v>
      </c>
      <c r="I1005" s="1">
        <f t="shared" si="135"/>
        <v>1.7875000000000001E-7</v>
      </c>
      <c r="J1005" s="4">
        <f t="shared" si="136"/>
        <v>-1.6959110574087216E-8</v>
      </c>
      <c r="K1005" s="4">
        <f t="shared" si="137"/>
        <v>-2.4928809825412653E-8</v>
      </c>
      <c r="L1005" s="4">
        <f t="shared" si="138"/>
        <v>-7.5025983081194564E-9</v>
      </c>
      <c r="M1005" s="4">
        <f t="shared" si="140"/>
        <v>-7.8309584481515904E-9</v>
      </c>
      <c r="N1005" s="5">
        <f t="shared" si="141"/>
        <v>1.0469261616437199E-7</v>
      </c>
      <c r="O1005" s="5">
        <f t="shared" si="142"/>
        <v>1.2782617630642144E-6</v>
      </c>
      <c r="P1005" s="5">
        <f t="shared" si="143"/>
        <v>4.1704562077141788E-7</v>
      </c>
      <c r="Q1005" s="1">
        <f t="shared" si="139"/>
        <v>1.8000000000000044E-6</v>
      </c>
    </row>
    <row r="1006" spans="1:17" x14ac:dyDescent="0.25">
      <c r="A1006" s="1">
        <v>50.2</v>
      </c>
      <c r="B1006" s="1">
        <v>1.2766E-2</v>
      </c>
      <c r="C1006" s="1">
        <v>2.3796999999999998E-3</v>
      </c>
      <c r="D1006" s="1">
        <v>2.7445000000000001E-2</v>
      </c>
      <c r="E1006" s="1">
        <v>1.3528999999999999E-2</v>
      </c>
      <c r="F1006" s="1">
        <v>1.2697000000000001E-6</v>
      </c>
      <c r="G1006" s="1">
        <v>6.7587999999999999</v>
      </c>
      <c r="H1006" s="1">
        <v>1.7881E-7</v>
      </c>
      <c r="I1006" s="1">
        <f t="shared" si="135"/>
        <v>1.7881E-7</v>
      </c>
      <c r="J1006" s="4">
        <f t="shared" si="136"/>
        <v>-1.6957746578235711E-8</v>
      </c>
      <c r="K1006" s="4">
        <f t="shared" si="137"/>
        <v>-2.4926104379754309E-8</v>
      </c>
      <c r="L1006" s="4">
        <f t="shared" si="138"/>
        <v>-7.4997356398879191E-9</v>
      </c>
      <c r="M1006" s="4">
        <f t="shared" si="140"/>
        <v>-7.8274249948542163E-9</v>
      </c>
      <c r="N1006" s="5">
        <f t="shared" si="141"/>
        <v>1.0516123832600267E-7</v>
      </c>
      <c r="O1006" s="5">
        <f t="shared" si="142"/>
        <v>1.2781208302575502E-6</v>
      </c>
      <c r="P1006" s="5">
        <f t="shared" si="143"/>
        <v>4.1671793141645158E-7</v>
      </c>
      <c r="Q1006" s="1">
        <f t="shared" si="139"/>
        <v>1.8000000000000044E-6</v>
      </c>
    </row>
    <row r="1007" spans="1:17" x14ac:dyDescent="0.25">
      <c r="A1007" s="1">
        <v>50.25</v>
      </c>
      <c r="B1007" s="1">
        <v>1.274E-2</v>
      </c>
      <c r="C1007" s="1">
        <v>2.3733000000000001E-3</v>
      </c>
      <c r="D1007" s="1">
        <v>2.7460999999999999E-2</v>
      </c>
      <c r="E1007" s="1">
        <v>1.3495E-2</v>
      </c>
      <c r="F1007" s="1">
        <v>1.2668000000000001E-6</v>
      </c>
      <c r="G1007" s="1">
        <v>6.7586000000000004</v>
      </c>
      <c r="H1007" s="1">
        <v>1.7887000000000001E-7</v>
      </c>
      <c r="I1007" s="1">
        <f t="shared" si="135"/>
        <v>1.7887000000000001E-7</v>
      </c>
      <c r="J1007" s="4">
        <f t="shared" si="136"/>
        <v>-1.6953443789690715E-8</v>
      </c>
      <c r="K1007" s="4">
        <f t="shared" si="137"/>
        <v>-2.4923356190020812E-8</v>
      </c>
      <c r="L1007" s="4">
        <f t="shared" si="138"/>
        <v>-7.4967081615933793E-9</v>
      </c>
      <c r="M1007" s="4">
        <f t="shared" si="140"/>
        <v>-7.8238999982400052E-9</v>
      </c>
      <c r="N1007" s="5">
        <f t="shared" si="141"/>
        <v>1.0563444256473939E-7</v>
      </c>
      <c r="O1007" s="5">
        <f t="shared" si="142"/>
        <v>1.27797481785546E-6</v>
      </c>
      <c r="P1007" s="5">
        <f t="shared" si="143"/>
        <v>4.1639073957980498E-7</v>
      </c>
      <c r="Q1007" s="1">
        <f t="shared" si="139"/>
        <v>1.8000000000000044E-6</v>
      </c>
    </row>
    <row r="1008" spans="1:17" x14ac:dyDescent="0.25">
      <c r="A1008" s="1">
        <v>50.3</v>
      </c>
      <c r="B1008" s="1">
        <v>1.2714E-2</v>
      </c>
      <c r="C1008" s="1">
        <v>2.3670000000000002E-3</v>
      </c>
      <c r="D1008" s="1">
        <v>2.7477000000000001E-2</v>
      </c>
      <c r="E1008" s="1">
        <v>1.3461000000000001E-2</v>
      </c>
      <c r="F1008" s="1">
        <v>1.2638000000000001E-6</v>
      </c>
      <c r="G1008" s="1">
        <v>6.7584999999999997</v>
      </c>
      <c r="H1008" s="1">
        <v>1.7893E-7</v>
      </c>
      <c r="I1008" s="1">
        <f t="shared" si="135"/>
        <v>1.7893E-7</v>
      </c>
      <c r="J1008" s="4">
        <f t="shared" si="136"/>
        <v>-1.6952027736018421E-8</v>
      </c>
      <c r="K1008" s="4">
        <f t="shared" si="137"/>
        <v>-2.4920508948180054E-8</v>
      </c>
      <c r="L1008" s="4">
        <f t="shared" si="138"/>
        <v>-7.4943605883715627E-9</v>
      </c>
      <c r="M1008" s="4">
        <f t="shared" si="140"/>
        <v>-7.8203802168067255E-9</v>
      </c>
      <c r="N1008" s="5">
        <f t="shared" si="141"/>
        <v>1.0610856318852945E-7</v>
      </c>
      <c r="O1008" s="5">
        <f t="shared" si="142"/>
        <v>1.277826716860105E-6</v>
      </c>
      <c r="P1008" s="5">
        <f t="shared" si="143"/>
        <v>4.1606471995136978E-7</v>
      </c>
      <c r="Q1008" s="1">
        <f t="shared" si="139"/>
        <v>1.8000000000000042E-6</v>
      </c>
    </row>
    <row r="1009" spans="1:17" x14ac:dyDescent="0.25">
      <c r="A1009" s="1">
        <v>50.35</v>
      </c>
      <c r="B1009" s="1">
        <v>1.2688E-2</v>
      </c>
      <c r="C1009" s="1">
        <v>2.3606E-3</v>
      </c>
      <c r="D1009" s="1">
        <v>2.7493E-2</v>
      </c>
      <c r="E1009" s="1">
        <v>1.3427E-2</v>
      </c>
      <c r="F1009" s="1">
        <v>1.2609000000000001E-6</v>
      </c>
      <c r="G1009" s="1">
        <v>6.7583000000000002</v>
      </c>
      <c r="H1009" s="1">
        <v>1.7898999999999999E-7</v>
      </c>
      <c r="I1009" s="1">
        <f t="shared" si="135"/>
        <v>1.7898999999999999E-7</v>
      </c>
      <c r="J1009" s="4">
        <f t="shared" si="136"/>
        <v>-1.6947558272686963E-8</v>
      </c>
      <c r="K1009" s="4">
        <f t="shared" si="137"/>
        <v>-2.4917620978774175E-8</v>
      </c>
      <c r="L1009" s="4">
        <f t="shared" si="138"/>
        <v>-7.4912485355345199E-9</v>
      </c>
      <c r="M1009" s="4">
        <f t="shared" si="140"/>
        <v>-7.8168783357950191E-9</v>
      </c>
      <c r="N1009" s="5">
        <f t="shared" si="141"/>
        <v>1.0658737735908214E-7</v>
      </c>
      <c r="O1009" s="5">
        <f t="shared" si="142"/>
        <v>1.2776735324898127E-6</v>
      </c>
      <c r="P1009" s="5">
        <f t="shared" si="143"/>
        <v>4.1573909015110927E-7</v>
      </c>
      <c r="Q1009" s="1">
        <f t="shared" si="139"/>
        <v>1.8000000000000039E-6</v>
      </c>
    </row>
    <row r="1010" spans="1:17" x14ac:dyDescent="0.25">
      <c r="A1010" s="1">
        <v>50.4</v>
      </c>
      <c r="B1010" s="1">
        <v>1.2662E-2</v>
      </c>
      <c r="C1010" s="1">
        <v>2.3541999999999999E-3</v>
      </c>
      <c r="D1010" s="1">
        <v>2.751E-2</v>
      </c>
      <c r="E1010" s="1">
        <v>1.3393E-2</v>
      </c>
      <c r="F1010" s="1">
        <v>1.2579000000000001E-6</v>
      </c>
      <c r="G1010" s="1">
        <v>6.7582000000000004</v>
      </c>
      <c r="H1010" s="1">
        <v>1.7905000000000001E-7</v>
      </c>
      <c r="I1010" s="1">
        <f t="shared" si="135"/>
        <v>1.7905000000000001E-7</v>
      </c>
      <c r="J1010" s="4">
        <f t="shared" si="136"/>
        <v>-1.6945994680289525E-8</v>
      </c>
      <c r="K1010" s="4">
        <f t="shared" si="137"/>
        <v>-2.4914633883549934E-8</v>
      </c>
      <c r="L1010" s="4">
        <f t="shared" si="138"/>
        <v>-7.4888219753733604E-9</v>
      </c>
      <c r="M1010" s="4">
        <f t="shared" si="140"/>
        <v>-7.8133796733449953E-9</v>
      </c>
      <c r="N1010" s="5">
        <f t="shared" si="141"/>
        <v>1.0706719458696918E-7</v>
      </c>
      <c r="O1010" s="5">
        <f t="shared" si="142"/>
        <v>1.2775182729598972E-6</v>
      </c>
      <c r="P1010" s="5">
        <f t="shared" si="143"/>
        <v>4.154145324531376E-7</v>
      </c>
      <c r="Q1010" s="1">
        <f t="shared" si="139"/>
        <v>1.8000000000000039E-6</v>
      </c>
    </row>
    <row r="1011" spans="1:17" x14ac:dyDescent="0.25">
      <c r="A1011" s="1">
        <v>50.45</v>
      </c>
      <c r="B1011" s="1">
        <v>1.2636E-2</v>
      </c>
      <c r="C1011" s="1">
        <v>2.3478000000000001E-3</v>
      </c>
      <c r="D1011" s="1">
        <v>2.7525999999999998E-2</v>
      </c>
      <c r="E1011" s="1">
        <v>1.336E-2</v>
      </c>
      <c r="F1011" s="1">
        <v>1.2549E-6</v>
      </c>
      <c r="G1011" s="1">
        <v>6.758</v>
      </c>
      <c r="H1011" s="1">
        <v>1.7910999999999999E-7</v>
      </c>
      <c r="I1011" s="1">
        <f t="shared" si="135"/>
        <v>1.7910999999999999E-7</v>
      </c>
      <c r="J1011" s="4">
        <f t="shared" si="136"/>
        <v>-1.6941375069886061E-8</v>
      </c>
      <c r="K1011" s="4">
        <f t="shared" si="137"/>
        <v>-2.491160632272012E-8</v>
      </c>
      <c r="L1011" s="4">
        <f t="shared" si="138"/>
        <v>-7.4856325676968256E-9</v>
      </c>
      <c r="M1011" s="4">
        <f t="shared" si="140"/>
        <v>-7.8098970637527656E-9</v>
      </c>
      <c r="N1011" s="5">
        <f t="shared" si="141"/>
        <v>1.0755179327210641E-7</v>
      </c>
      <c r="O1011" s="5">
        <f t="shared" si="142"/>
        <v>1.2773579387708158E-6</v>
      </c>
      <c r="P1011" s="5">
        <f t="shared" si="143"/>
        <v>4.150902679570817E-7</v>
      </c>
      <c r="Q1011" s="1">
        <f t="shared" si="139"/>
        <v>1.8000000000000039E-6</v>
      </c>
    </row>
    <row r="1012" spans="1:17" x14ac:dyDescent="0.25">
      <c r="A1012" s="1">
        <v>50.5</v>
      </c>
      <c r="B1012" s="1">
        <v>1.261E-2</v>
      </c>
      <c r="C1012" s="1">
        <v>2.3414999999999998E-3</v>
      </c>
      <c r="D1012" s="1">
        <v>2.7542000000000001E-2</v>
      </c>
      <c r="E1012" s="1">
        <v>1.3325999999999999E-2</v>
      </c>
      <c r="F1012" s="1">
        <v>1.252E-6</v>
      </c>
      <c r="G1012" s="1">
        <v>6.7579000000000002</v>
      </c>
      <c r="H1012" s="1">
        <v>1.7917000000000001E-7</v>
      </c>
      <c r="I1012" s="1">
        <f t="shared" si="135"/>
        <v>1.7917000000000001E-7</v>
      </c>
      <c r="J1012" s="4">
        <f t="shared" si="136"/>
        <v>-1.693697687737964E-8</v>
      </c>
      <c r="K1012" s="4">
        <f t="shared" si="137"/>
        <v>-2.4908479806029496E-8</v>
      </c>
      <c r="L1012" s="4">
        <f t="shared" si="138"/>
        <v>-7.4830962306911842E-9</v>
      </c>
      <c r="M1012" s="4">
        <f t="shared" si="140"/>
        <v>-7.8064158788478113E-9</v>
      </c>
      <c r="N1012" s="5">
        <f t="shared" si="141"/>
        <v>1.0804019997006508E-7</v>
      </c>
      <c r="O1012" s="5">
        <f t="shared" si="142"/>
        <v>1.2771928517210138E-6</v>
      </c>
      <c r="P1012" s="5">
        <f t="shared" si="143"/>
        <v>4.1476694830892509E-7</v>
      </c>
      <c r="Q1012" s="1">
        <f t="shared" si="139"/>
        <v>1.8000000000000039E-6</v>
      </c>
    </row>
    <row r="1013" spans="1:17" x14ac:dyDescent="0.25">
      <c r="A1013" s="1">
        <v>50.55</v>
      </c>
      <c r="B1013" s="1">
        <v>1.2584E-2</v>
      </c>
      <c r="C1013" s="1">
        <v>2.3351000000000001E-3</v>
      </c>
      <c r="D1013" s="1">
        <v>2.7557999999999999E-2</v>
      </c>
      <c r="E1013" s="1">
        <v>1.3292E-2</v>
      </c>
      <c r="F1013" s="1">
        <v>1.249E-6</v>
      </c>
      <c r="G1013" s="1">
        <v>6.7576999999999998</v>
      </c>
      <c r="H1013" s="1">
        <v>1.7922000000000001E-7</v>
      </c>
      <c r="I1013" s="1">
        <f t="shared" si="135"/>
        <v>1.7922000000000001E-7</v>
      </c>
      <c r="J1013" s="4">
        <f t="shared" si="136"/>
        <v>-1.6935344561386729E-8</v>
      </c>
      <c r="K1013" s="4">
        <f t="shared" si="137"/>
        <v>-2.4905260608558355E-8</v>
      </c>
      <c r="L1013" s="4">
        <f t="shared" si="138"/>
        <v>-7.4806203414050623E-9</v>
      </c>
      <c r="M1013" s="4">
        <f t="shared" si="140"/>
        <v>-7.8029483834931184E-9</v>
      </c>
      <c r="N1013" s="5">
        <f t="shared" si="141"/>
        <v>1.0852949567583164E-7</v>
      </c>
      <c r="O1013" s="5">
        <f t="shared" si="142"/>
        <v>1.2770258840573351E-6</v>
      </c>
      <c r="P1013" s="5">
        <f t="shared" si="143"/>
        <v>4.1444462026683706E-7</v>
      </c>
      <c r="Q1013" s="1">
        <f t="shared" si="139"/>
        <v>1.8000000000000037E-6</v>
      </c>
    </row>
    <row r="1014" spans="1:17" x14ac:dyDescent="0.25">
      <c r="A1014" s="1">
        <v>50.6</v>
      </c>
      <c r="B1014" s="1">
        <v>1.2558E-2</v>
      </c>
      <c r="C1014" s="1">
        <v>2.3287999999999998E-3</v>
      </c>
      <c r="D1014" s="1">
        <v>2.7574000000000001E-2</v>
      </c>
      <c r="E1014" s="1">
        <v>1.3259E-2</v>
      </c>
      <c r="F1014" s="1">
        <v>1.2461E-6</v>
      </c>
      <c r="G1014" s="1">
        <v>6.7575000000000003</v>
      </c>
      <c r="H1014" s="1">
        <v>1.7928E-7</v>
      </c>
      <c r="I1014" s="1">
        <f t="shared" si="135"/>
        <v>1.7928E-7</v>
      </c>
      <c r="J1014" s="4">
        <f t="shared" si="136"/>
        <v>-1.6930612178380745E-8</v>
      </c>
      <c r="K1014" s="4">
        <f t="shared" si="137"/>
        <v>-2.4902004739120161E-8</v>
      </c>
      <c r="L1014" s="4">
        <f t="shared" si="138"/>
        <v>-7.4773662358799292E-9</v>
      </c>
      <c r="M1014" s="4">
        <f t="shared" si="140"/>
        <v>-7.799060308644031E-9</v>
      </c>
      <c r="N1014" s="5">
        <f t="shared" si="141"/>
        <v>1.0902352200069112E-7</v>
      </c>
      <c r="O1014" s="5">
        <f t="shared" si="142"/>
        <v>1.2768535518052399E-6</v>
      </c>
      <c r="P1014" s="5">
        <f t="shared" si="143"/>
        <v>4.1412292619407296E-7</v>
      </c>
      <c r="Q1014" s="1">
        <f t="shared" si="139"/>
        <v>1.8000000000000039E-6</v>
      </c>
    </row>
    <row r="1015" spans="1:17" x14ac:dyDescent="0.25">
      <c r="A1015" s="1">
        <v>50.65</v>
      </c>
      <c r="B1015" s="1">
        <v>1.2533000000000001E-2</v>
      </c>
      <c r="C1015" s="1">
        <v>2.3224000000000001E-3</v>
      </c>
      <c r="D1015" s="1">
        <v>2.759E-2</v>
      </c>
      <c r="E1015" s="1">
        <v>1.3225000000000001E-2</v>
      </c>
      <c r="F1015" s="1">
        <v>1.2431E-6</v>
      </c>
      <c r="G1015" s="1">
        <v>6.7573999999999996</v>
      </c>
      <c r="H1015" s="1">
        <v>1.7933999999999999E-7</v>
      </c>
      <c r="I1015" s="1">
        <f t="shared" si="135"/>
        <v>1.7933999999999999E-7</v>
      </c>
      <c r="J1015" s="4">
        <f t="shared" si="136"/>
        <v>-1.6928793203433315E-8</v>
      </c>
      <c r="K1015" s="4">
        <f t="shared" si="137"/>
        <v>-2.4898644260200765E-8</v>
      </c>
      <c r="L1015" s="4">
        <f t="shared" si="138"/>
        <v>-7.4753575692154534E-9</v>
      </c>
      <c r="M1015" s="4">
        <f t="shared" si="140"/>
        <v>-7.7956156118472652E-9</v>
      </c>
      <c r="N1015" s="5">
        <f t="shared" si="141"/>
        <v>1.0951801548824312E-7</v>
      </c>
      <c r="O1015" s="5">
        <f t="shared" si="142"/>
        <v>1.2766793163603197E-6</v>
      </c>
      <c r="P1015" s="5">
        <f t="shared" si="143"/>
        <v>4.1380266815144118E-7</v>
      </c>
      <c r="Q1015" s="1">
        <f t="shared" si="139"/>
        <v>1.8000000000000039E-6</v>
      </c>
    </row>
    <row r="1016" spans="1:17" x14ac:dyDescent="0.25">
      <c r="A1016" s="1">
        <v>50.7</v>
      </c>
      <c r="B1016" s="1">
        <v>1.2507000000000001E-2</v>
      </c>
      <c r="C1016" s="1">
        <v>2.3161000000000002E-3</v>
      </c>
      <c r="D1016" s="1">
        <v>2.7605999999999999E-2</v>
      </c>
      <c r="E1016" s="1">
        <v>1.3192000000000001E-2</v>
      </c>
      <c r="F1016" s="1">
        <v>1.2401E-6</v>
      </c>
      <c r="G1016" s="1">
        <v>6.7572000000000001</v>
      </c>
      <c r="H1016" s="1">
        <v>1.7940000000000001E-7</v>
      </c>
      <c r="I1016" s="1">
        <f t="shared" si="135"/>
        <v>1.7940000000000001E-7</v>
      </c>
      <c r="J1016" s="4">
        <f t="shared" si="136"/>
        <v>-1.6923792758593952E-8</v>
      </c>
      <c r="K1016" s="4">
        <f t="shared" si="137"/>
        <v>-2.4895246669028359E-8</v>
      </c>
      <c r="L1016" s="4">
        <f t="shared" si="138"/>
        <v>-7.471974988452103E-9</v>
      </c>
      <c r="M1016" s="4">
        <f t="shared" si="140"/>
        <v>-7.7921939031600071E-9</v>
      </c>
      <c r="N1016" s="5">
        <f t="shared" si="141"/>
        <v>1.1001749441022542E-7</v>
      </c>
      <c r="O1016" s="5">
        <f t="shared" si="142"/>
        <v>1.2765000563530452E-6</v>
      </c>
      <c r="P1016" s="5">
        <f t="shared" si="143"/>
        <v>4.1348244923673328E-7</v>
      </c>
      <c r="Q1016" s="1">
        <f t="shared" si="139"/>
        <v>1.8000000000000039E-6</v>
      </c>
    </row>
    <row r="1017" spans="1:17" x14ac:dyDescent="0.25">
      <c r="A1017" s="1">
        <v>50.75</v>
      </c>
      <c r="B1017" s="1">
        <v>1.2482E-2</v>
      </c>
      <c r="C1017" s="1">
        <v>2.3097E-3</v>
      </c>
      <c r="D1017" s="1">
        <v>2.7622000000000001E-2</v>
      </c>
      <c r="E1017" s="1">
        <v>1.3158E-2</v>
      </c>
      <c r="F1017" s="1">
        <v>1.2372E-6</v>
      </c>
      <c r="G1017" s="1">
        <v>6.7571000000000003</v>
      </c>
      <c r="H1017" s="1">
        <v>1.7945999999999999E-7</v>
      </c>
      <c r="I1017" s="1">
        <f t="shared" si="135"/>
        <v>1.7945999999999999E-7</v>
      </c>
      <c r="J1017" s="4">
        <f t="shared" si="136"/>
        <v>-1.6919018484394164E-8</v>
      </c>
      <c r="K1017" s="4">
        <f t="shared" si="137"/>
        <v>-2.4891751098882969E-8</v>
      </c>
      <c r="L1017" s="4">
        <f t="shared" si="138"/>
        <v>-7.4692534566682581E-9</v>
      </c>
      <c r="M1017" s="4">
        <f t="shared" si="140"/>
        <v>-7.7887688962719022E-9</v>
      </c>
      <c r="N1017" s="5">
        <f t="shared" si="141"/>
        <v>1.1052097356804595E-7</v>
      </c>
      <c r="O1017" s="5">
        <f t="shared" si="142"/>
        <v>1.2763160926348282E-6</v>
      </c>
      <c r="P1017" s="5">
        <f t="shared" si="143"/>
        <v>4.1316293379712966E-7</v>
      </c>
      <c r="Q1017" s="1">
        <f t="shared" si="139"/>
        <v>1.8000000000000037E-6</v>
      </c>
    </row>
    <row r="1018" spans="1:17" x14ac:dyDescent="0.25">
      <c r="A1018" s="1">
        <v>50.8</v>
      </c>
      <c r="B1018" s="1">
        <v>1.2456E-2</v>
      </c>
      <c r="C1018" s="1">
        <v>2.3034000000000002E-3</v>
      </c>
      <c r="D1018" s="1">
        <v>2.7637999999999999E-2</v>
      </c>
      <c r="E1018" s="1">
        <v>1.3125E-2</v>
      </c>
      <c r="F1018" s="1">
        <v>1.2342E-6</v>
      </c>
      <c r="G1018" s="1">
        <v>6.7568999999999999</v>
      </c>
      <c r="H1018" s="1">
        <v>1.7952000000000001E-7</v>
      </c>
      <c r="I1018" s="1">
        <f t="shared" si="135"/>
        <v>1.7952000000000001E-7</v>
      </c>
      <c r="J1018" s="4">
        <f t="shared" si="136"/>
        <v>-1.6917045780219412E-8</v>
      </c>
      <c r="K1018" s="4">
        <f t="shared" si="137"/>
        <v>-2.4888163806377738E-8</v>
      </c>
      <c r="L1018" s="4">
        <f t="shared" si="138"/>
        <v>-7.4665949463379166E-9</v>
      </c>
      <c r="M1018" s="4">
        <f t="shared" si="140"/>
        <v>-7.7853531104190098E-9</v>
      </c>
      <c r="N1018" s="5">
        <f t="shared" si="141"/>
        <v>1.1102549664786636E-7</v>
      </c>
      <c r="O1018" s="5">
        <f t="shared" si="142"/>
        <v>1.276130327719089E-6</v>
      </c>
      <c r="P1018" s="5">
        <f t="shared" si="143"/>
        <v>4.1284417563304854E-7</v>
      </c>
      <c r="Q1018" s="1">
        <f t="shared" si="139"/>
        <v>1.8000000000000039E-6</v>
      </c>
    </row>
    <row r="1019" spans="1:17" x14ac:dyDescent="0.25">
      <c r="A1019" s="1">
        <v>50.85</v>
      </c>
      <c r="B1019" s="1">
        <v>1.2430999999999999E-2</v>
      </c>
      <c r="C1019" s="1">
        <v>2.297E-3</v>
      </c>
      <c r="D1019" s="1">
        <v>2.7654000000000001E-2</v>
      </c>
      <c r="E1019" s="1">
        <v>1.3091999999999999E-2</v>
      </c>
      <c r="F1019" s="1">
        <v>1.2313E-6</v>
      </c>
      <c r="G1019" s="1">
        <v>6.7568000000000001</v>
      </c>
      <c r="H1019" s="1">
        <v>1.7958E-7</v>
      </c>
      <c r="I1019" s="1">
        <f t="shared" si="135"/>
        <v>1.7958E-7</v>
      </c>
      <c r="J1019" s="4">
        <f t="shared" si="136"/>
        <v>-1.6911954779969807E-8</v>
      </c>
      <c r="K1019" s="4">
        <f t="shared" si="137"/>
        <v>-2.4884541390524358E-8</v>
      </c>
      <c r="L1019" s="4">
        <f t="shared" si="138"/>
        <v>-7.463725789349216E-9</v>
      </c>
      <c r="M1019" s="4">
        <f t="shared" si="140"/>
        <v>-7.7819475730133761E-9</v>
      </c>
      <c r="N1019" s="5">
        <f t="shared" si="141"/>
        <v>1.115343574690717E-7</v>
      </c>
      <c r="O1019" s="5">
        <f t="shared" si="142"/>
        <v>1.2759396886815476E-6</v>
      </c>
      <c r="P1019" s="5">
        <f t="shared" si="143"/>
        <v>4.1252595384938435E-7</v>
      </c>
      <c r="Q1019" s="1">
        <f t="shared" si="139"/>
        <v>1.8000000000000037E-6</v>
      </c>
    </row>
    <row r="1020" spans="1:17" x14ac:dyDescent="0.25">
      <c r="A1020" s="1">
        <v>50.9</v>
      </c>
      <c r="B1020" s="1">
        <v>1.2404999999999999E-2</v>
      </c>
      <c r="C1020" s="1">
        <v>2.2907000000000001E-3</v>
      </c>
      <c r="D1020" s="1">
        <v>2.767E-2</v>
      </c>
      <c r="E1020" s="1">
        <v>1.3058E-2</v>
      </c>
      <c r="F1020" s="1">
        <v>1.2283E-6</v>
      </c>
      <c r="G1020" s="1">
        <v>6.7565999999999997</v>
      </c>
      <c r="H1020" s="1">
        <v>1.7963E-7</v>
      </c>
      <c r="I1020" s="1">
        <f t="shared" si="135"/>
        <v>1.7963E-7</v>
      </c>
      <c r="J1020" s="4">
        <f t="shared" si="136"/>
        <v>-1.6909720478319916E-8</v>
      </c>
      <c r="K1020" s="4">
        <f t="shared" si="137"/>
        <v>-2.4880823929288766E-8</v>
      </c>
      <c r="L1020" s="4">
        <f t="shared" si="138"/>
        <v>-7.4615085769835305E-9</v>
      </c>
      <c r="M1020" s="4">
        <f t="shared" si="140"/>
        <v>-7.7785481331881633E-9</v>
      </c>
      <c r="N1020" s="5">
        <f t="shared" si="141"/>
        <v>1.1204395234305703E-7</v>
      </c>
      <c r="O1020" s="5">
        <f t="shared" si="142"/>
        <v>1.2757471333637669E-6</v>
      </c>
      <c r="P1020" s="5">
        <f t="shared" si="143"/>
        <v>4.1220891429317974E-7</v>
      </c>
      <c r="Q1020" s="1">
        <f t="shared" si="139"/>
        <v>1.8000000000000035E-6</v>
      </c>
    </row>
    <row r="1021" spans="1:17" x14ac:dyDescent="0.25">
      <c r="A1021" s="1">
        <v>50.95</v>
      </c>
      <c r="B1021" s="1">
        <v>1.238E-2</v>
      </c>
      <c r="C1021" s="1">
        <v>2.2843999999999998E-3</v>
      </c>
      <c r="D1021" s="1">
        <v>2.7685000000000001E-2</v>
      </c>
      <c r="E1021" s="1">
        <v>1.3025E-2</v>
      </c>
      <c r="F1021" s="1">
        <v>1.2252999999999999E-6</v>
      </c>
      <c r="G1021" s="1">
        <v>6.7565</v>
      </c>
      <c r="H1021" s="1">
        <v>1.7968999999999999E-7</v>
      </c>
      <c r="I1021" s="1">
        <f t="shared" si="135"/>
        <v>1.7968999999999999E-7</v>
      </c>
      <c r="J1021" s="4">
        <f t="shared" si="136"/>
        <v>-1.6904305149814901E-8</v>
      </c>
      <c r="K1021" s="4">
        <f t="shared" si="137"/>
        <v>-2.4877069100595579E-8</v>
      </c>
      <c r="L1021" s="4">
        <f t="shared" si="138"/>
        <v>-7.4579184977780193E-9</v>
      </c>
      <c r="M1021" s="4">
        <f t="shared" si="140"/>
        <v>-7.7747341638214706E-9</v>
      </c>
      <c r="N1021" s="5">
        <f t="shared" si="141"/>
        <v>1.1255879779605968E-7</v>
      </c>
      <c r="O1021" s="5">
        <f t="shared" si="142"/>
        <v>1.2755491035768077E-6</v>
      </c>
      <c r="P1021" s="5">
        <f t="shared" si="143"/>
        <v>4.1189209862713632E-7</v>
      </c>
      <c r="Q1021" s="1">
        <f t="shared" si="139"/>
        <v>1.8000000000000037E-6</v>
      </c>
    </row>
    <row r="1022" spans="1:17" x14ac:dyDescent="0.25">
      <c r="A1022" s="1">
        <v>51</v>
      </c>
      <c r="B1022" s="1">
        <v>1.2355E-2</v>
      </c>
      <c r="C1022" s="1">
        <v>2.2780999999999999E-3</v>
      </c>
      <c r="D1022" s="1">
        <v>2.7701E-2</v>
      </c>
      <c r="E1022" s="1">
        <v>1.2992E-2</v>
      </c>
      <c r="F1022" s="1">
        <v>1.2223999999999999E-6</v>
      </c>
      <c r="G1022" s="1">
        <v>6.7563000000000004</v>
      </c>
      <c r="H1022" s="1">
        <v>1.7975E-7</v>
      </c>
      <c r="I1022" s="1">
        <f t="shared" si="135"/>
        <v>1.7975E-7</v>
      </c>
      <c r="J1022" s="4">
        <f t="shared" si="136"/>
        <v>-1.6899128678937435E-8</v>
      </c>
      <c r="K1022" s="4">
        <f t="shared" si="137"/>
        <v>-2.4873207519746339E-8</v>
      </c>
      <c r="L1022" s="4">
        <f t="shared" si="138"/>
        <v>-7.4550010350862189E-9</v>
      </c>
      <c r="M1022" s="4">
        <f t="shared" si="140"/>
        <v>-7.7713535762421212E-9</v>
      </c>
      <c r="N1022" s="5">
        <f t="shared" si="141"/>
        <v>1.1307787560178238E-7</v>
      </c>
      <c r="O1022" s="5">
        <f t="shared" si="142"/>
        <v>1.2753463783122409E-6</v>
      </c>
      <c r="P1022" s="5">
        <f t="shared" si="143"/>
        <v>4.1157574608598042E-7</v>
      </c>
      <c r="Q1022" s="1">
        <f t="shared" si="139"/>
        <v>1.8000000000000035E-6</v>
      </c>
    </row>
    <row r="1023" spans="1:17" x14ac:dyDescent="0.25">
      <c r="A1023" s="1">
        <v>51.05</v>
      </c>
      <c r="B1023" s="1">
        <v>1.2330000000000001E-2</v>
      </c>
      <c r="C1023" s="1">
        <v>2.2718E-3</v>
      </c>
      <c r="D1023" s="1">
        <v>2.7716999999999999E-2</v>
      </c>
      <c r="E1023" s="1">
        <v>1.2959E-2</v>
      </c>
      <c r="F1023" s="1">
        <v>1.2193999999999999E-6</v>
      </c>
      <c r="G1023" s="1">
        <v>6.7561999999999998</v>
      </c>
      <c r="H1023" s="1">
        <v>1.7980999999999999E-7</v>
      </c>
      <c r="I1023" s="1">
        <f t="shared" si="135"/>
        <v>1.7980999999999999E-7</v>
      </c>
      <c r="J1023" s="4">
        <f t="shared" si="136"/>
        <v>-1.6896794541377078E-8</v>
      </c>
      <c r="K1023" s="4">
        <f t="shared" si="137"/>
        <v>-2.4869254377087283E-8</v>
      </c>
      <c r="L1023" s="4">
        <f t="shared" si="138"/>
        <v>-7.4527249012477066E-9</v>
      </c>
      <c r="M1023" s="4">
        <f t="shared" si="140"/>
        <v>-7.7679777376898311E-9</v>
      </c>
      <c r="N1023" s="5">
        <f t="shared" si="141"/>
        <v>1.1359761053624488E-7</v>
      </c>
      <c r="O1023" s="5">
        <f t="shared" si="142"/>
        <v>1.2751418962142206E-6</v>
      </c>
      <c r="P1023" s="5">
        <f t="shared" si="143"/>
        <v>4.1126049324953832E-7</v>
      </c>
      <c r="Q1023" s="1">
        <f t="shared" si="139"/>
        <v>1.8000000000000039E-6</v>
      </c>
    </row>
    <row r="1024" spans="1:17" x14ac:dyDescent="0.25">
      <c r="A1024" s="1">
        <v>51.1</v>
      </c>
      <c r="B1024" s="1">
        <v>1.2305E-2</v>
      </c>
      <c r="C1024" s="1">
        <v>2.2653999999999999E-3</v>
      </c>
      <c r="D1024" s="1">
        <v>2.7733000000000001E-2</v>
      </c>
      <c r="E1024" s="1">
        <v>1.2926E-2</v>
      </c>
      <c r="F1024" s="1">
        <v>1.2163999999999999E-6</v>
      </c>
      <c r="G1024" s="1">
        <v>6.7560000000000002</v>
      </c>
      <c r="H1024" s="1">
        <v>1.7986E-7</v>
      </c>
      <c r="I1024" s="1">
        <f t="shared" si="135"/>
        <v>1.7986E-7</v>
      </c>
      <c r="J1024" s="4">
        <f t="shared" si="136"/>
        <v>-1.6891241751547598E-8</v>
      </c>
      <c r="K1024" s="4">
        <f t="shared" si="137"/>
        <v>-2.4865266976179422E-8</v>
      </c>
      <c r="L1024" s="4">
        <f t="shared" si="138"/>
        <v>-7.4496346376247931E-9</v>
      </c>
      <c r="M1024" s="4">
        <f t="shared" si="140"/>
        <v>-7.7646186755766086E-9</v>
      </c>
      <c r="N1024" s="5">
        <f t="shared" si="141"/>
        <v>1.1412200112325191E-7</v>
      </c>
      <c r="O1024" s="5">
        <f t="shared" si="142"/>
        <v>1.2749324896651655E-6</v>
      </c>
      <c r="P1024" s="5">
        <f t="shared" si="143"/>
        <v>4.1094550921158647E-7</v>
      </c>
      <c r="Q1024" s="1">
        <f t="shared" si="139"/>
        <v>1.8000000000000039E-6</v>
      </c>
    </row>
    <row r="1025" spans="1:17" x14ac:dyDescent="0.25">
      <c r="A1025" s="1">
        <v>51.15</v>
      </c>
      <c r="B1025" s="1">
        <v>1.2279E-2</v>
      </c>
      <c r="C1025" s="1">
        <v>2.2591E-3</v>
      </c>
      <c r="D1025" s="1">
        <v>2.7747999999999998E-2</v>
      </c>
      <c r="E1025" s="1">
        <v>1.2893999999999999E-2</v>
      </c>
      <c r="F1025" s="1">
        <v>1.2134999999999999E-6</v>
      </c>
      <c r="G1025" s="1">
        <v>6.7558999999999996</v>
      </c>
      <c r="H1025" s="1">
        <v>1.7992000000000001E-7</v>
      </c>
      <c r="I1025" s="1">
        <f t="shared" si="135"/>
        <v>1.7992000000000001E-7</v>
      </c>
      <c r="J1025" s="4">
        <f t="shared" si="136"/>
        <v>-1.6885821783510643E-8</v>
      </c>
      <c r="K1025" s="4">
        <f t="shared" si="137"/>
        <v>-2.4861183548469314E-8</v>
      </c>
      <c r="L1025" s="4">
        <f t="shared" si="138"/>
        <v>-7.4466002084074575E-9</v>
      </c>
      <c r="M1025" s="4">
        <f t="shared" si="140"/>
        <v>-7.7608292251131332E-9</v>
      </c>
      <c r="N1025" s="5">
        <f t="shared" si="141"/>
        <v>1.1465076267980312E-7</v>
      </c>
      <c r="O1025" s="5">
        <f t="shared" si="142"/>
        <v>1.2747179571253199E-6</v>
      </c>
      <c r="P1025" s="5">
        <f t="shared" si="143"/>
        <v>4.1063128019488079E-7</v>
      </c>
      <c r="Q1025" s="1">
        <f t="shared" si="139"/>
        <v>1.8000000000000037E-6</v>
      </c>
    </row>
    <row r="1026" spans="1:17" x14ac:dyDescent="0.25">
      <c r="A1026" s="1">
        <v>51.2</v>
      </c>
      <c r="B1026" s="1">
        <v>1.2253999999999999E-2</v>
      </c>
      <c r="C1026" s="1">
        <v>2.2528000000000001E-3</v>
      </c>
      <c r="D1026" s="1">
        <v>2.7764E-2</v>
      </c>
      <c r="E1026" s="1">
        <v>1.2860999999999999E-2</v>
      </c>
      <c r="F1026" s="1">
        <v>1.2105000000000001E-6</v>
      </c>
      <c r="G1026" s="1">
        <v>6.7557</v>
      </c>
      <c r="H1026" s="1">
        <v>1.7998E-7</v>
      </c>
      <c r="I1026" s="1">
        <f t="shared" si="135"/>
        <v>1.7998E-7</v>
      </c>
      <c r="J1026" s="4">
        <f t="shared" si="136"/>
        <v>-1.6883267807125488E-8</v>
      </c>
      <c r="K1026" s="4">
        <f t="shared" si="137"/>
        <v>-2.4857000163945856E-8</v>
      </c>
      <c r="L1026" s="4">
        <f t="shared" si="138"/>
        <v>-7.4447906772646523E-9</v>
      </c>
      <c r="M1026" s="4">
        <f t="shared" si="140"/>
        <v>-7.7574818929302719E-9</v>
      </c>
      <c r="N1026" s="5">
        <f t="shared" si="141"/>
        <v>1.1517970435935885E-7</v>
      </c>
      <c r="O1026" s="5">
        <f t="shared" si="142"/>
        <v>1.2745017066614299E-6</v>
      </c>
      <c r="P1026" s="5">
        <f t="shared" si="143"/>
        <v>4.1031858897921519E-7</v>
      </c>
      <c r="Q1026" s="1">
        <f t="shared" si="139"/>
        <v>1.8000000000000039E-6</v>
      </c>
    </row>
    <row r="1027" spans="1:17" x14ac:dyDescent="0.25">
      <c r="A1027" s="1">
        <v>51.25</v>
      </c>
      <c r="B1027" s="1">
        <v>1.223E-2</v>
      </c>
      <c r="C1027" s="1">
        <v>2.2466000000000001E-3</v>
      </c>
      <c r="D1027" s="1">
        <v>2.7779999999999999E-2</v>
      </c>
      <c r="E1027" s="1">
        <v>1.2828000000000001E-2</v>
      </c>
      <c r="F1027" s="1">
        <v>1.2075000000000001E-6</v>
      </c>
      <c r="G1027" s="1">
        <v>6.7556000000000003</v>
      </c>
      <c r="H1027" s="1">
        <v>1.8003999999999999E-7</v>
      </c>
      <c r="I1027" s="1">
        <f t="shared" ref="I1027:I1090" si="144">H1027</f>
        <v>1.8003999999999999E-7</v>
      </c>
      <c r="J1027" s="4">
        <f t="shared" ref="J1027:J1090" si="145">(-$T$4*F1026^2*N1026)*(A1027-A1026)</f>
        <v>-1.6877400138972866E-8</v>
      </c>
      <c r="K1027" s="4">
        <f t="shared" ref="K1027:K1090" si="146">-O1026*$T$7*(A1027-A1026)</f>
        <v>-2.4852783279896473E-8</v>
      </c>
      <c r="L1027" s="4">
        <f t="shared" ref="L1027:L1090" si="147">-$T$5*F1026*E1026*(A1027-A1026)*N1026</f>
        <v>-7.441553153468975E-9</v>
      </c>
      <c r="M1027" s="4">
        <f t="shared" si="140"/>
        <v>-7.7541596626698691E-9</v>
      </c>
      <c r="N1027" s="5">
        <f t="shared" si="141"/>
        <v>1.1571353434681347E-7</v>
      </c>
      <c r="O1027" s="5">
        <f t="shared" si="142"/>
        <v>1.2742804831831762E-6</v>
      </c>
      <c r="P1027" s="5">
        <f t="shared" si="143"/>
        <v>4.1000598247001428E-7</v>
      </c>
      <c r="Q1027" s="1">
        <f t="shared" ref="Q1027:Q1090" si="148">N1027+O1027+P1027</f>
        <v>1.8000000000000039E-6</v>
      </c>
    </row>
    <row r="1028" spans="1:17" x14ac:dyDescent="0.25">
      <c r="A1028" s="1">
        <v>51.3</v>
      </c>
      <c r="B1028" s="1">
        <v>1.2205000000000001E-2</v>
      </c>
      <c r="C1028" s="1">
        <v>2.2403000000000002E-3</v>
      </c>
      <c r="D1028" s="1">
        <v>2.7795E-2</v>
      </c>
      <c r="E1028" s="1">
        <v>1.2795000000000001E-2</v>
      </c>
      <c r="F1028" s="1">
        <v>1.2046000000000001E-6</v>
      </c>
      <c r="G1028" s="1">
        <v>6.7553999999999998</v>
      </c>
      <c r="H1028" s="1">
        <v>1.8008999999999999E-7</v>
      </c>
      <c r="I1028" s="1">
        <f t="shared" si="144"/>
        <v>1.8008999999999999E-7</v>
      </c>
      <c r="J1028" s="4">
        <f t="shared" si="145"/>
        <v>-1.6871684196395149E-8</v>
      </c>
      <c r="K1028" s="4">
        <f t="shared" si="146"/>
        <v>-2.4848469422070525E-8</v>
      </c>
      <c r="L1028" s="4">
        <f t="shared" si="147"/>
        <v>-7.43837974506113E-9</v>
      </c>
      <c r="M1028" s="4">
        <f t="shared" ref="M1028:M1091" si="149">-P1027*$T$8*I1027*(A1028-A1027)</f>
        <v>-7.750835093809203E-9</v>
      </c>
      <c r="N1028" s="5">
        <f t="shared" ref="N1028:N1091" si="150">N1027+J1028-K1028+L1028</f>
        <v>1.1625193982742773E-7</v>
      </c>
      <c r="O1028" s="5">
        <f t="shared" ref="O1028:O1091" si="151">-J1028+O1027+K1028-M1028</f>
        <v>1.27405453305131E-6</v>
      </c>
      <c r="P1028" s="5">
        <f t="shared" ref="P1028:P1091" si="152">P1027-L1028+M1028</f>
        <v>4.0969352712126621E-7</v>
      </c>
      <c r="Q1028" s="1">
        <f t="shared" si="148"/>
        <v>1.8000000000000039E-6</v>
      </c>
    </row>
    <row r="1029" spans="1:17" x14ac:dyDescent="0.25">
      <c r="A1029" s="1">
        <v>51.35</v>
      </c>
      <c r="B1029" s="1">
        <v>1.218E-2</v>
      </c>
      <c r="C1029" s="1">
        <v>2.2339999999999999E-3</v>
      </c>
      <c r="D1029" s="1">
        <v>2.7810999999999999E-2</v>
      </c>
      <c r="E1029" s="1">
        <v>1.2763E-2</v>
      </c>
      <c r="F1029" s="1">
        <v>1.2016000000000001E-6</v>
      </c>
      <c r="G1029" s="1">
        <v>6.7553000000000001</v>
      </c>
      <c r="H1029" s="1">
        <v>1.8015000000000001E-7</v>
      </c>
      <c r="I1029" s="1">
        <f t="shared" si="144"/>
        <v>1.8015000000000001E-7</v>
      </c>
      <c r="J1029" s="4">
        <f t="shared" si="145"/>
        <v>-1.6868867465825188E-8</v>
      </c>
      <c r="K1029" s="4">
        <f t="shared" si="146"/>
        <v>-2.4844063394502665E-8</v>
      </c>
      <c r="L1029" s="4">
        <f t="shared" si="147"/>
        <v>-7.4358642768115393E-9</v>
      </c>
      <c r="M1029" s="4">
        <f t="shared" si="149"/>
        <v>-7.7470792664238872E-9</v>
      </c>
      <c r="N1029" s="5">
        <f t="shared" si="150"/>
        <v>1.1679127147929367E-7</v>
      </c>
      <c r="O1029" s="5">
        <f t="shared" si="151"/>
        <v>1.2738264163890565E-6</v>
      </c>
      <c r="P1029" s="5">
        <f t="shared" si="152"/>
        <v>4.0938231213165385E-7</v>
      </c>
      <c r="Q1029" s="1">
        <f t="shared" si="148"/>
        <v>1.8000000000000039E-6</v>
      </c>
    </row>
    <row r="1030" spans="1:17" x14ac:dyDescent="0.25">
      <c r="A1030" s="1">
        <v>51.4</v>
      </c>
      <c r="B1030" s="1">
        <v>1.2154999999999999E-2</v>
      </c>
      <c r="C1030" s="1">
        <v>2.2277E-3</v>
      </c>
      <c r="D1030" s="1">
        <v>2.7826E-2</v>
      </c>
      <c r="E1030" s="1">
        <v>1.273E-2</v>
      </c>
      <c r="F1030" s="1">
        <v>1.1986000000000001E-6</v>
      </c>
      <c r="G1030" s="1">
        <v>6.7550999999999997</v>
      </c>
      <c r="H1030" s="1">
        <v>1.8021E-7</v>
      </c>
      <c r="I1030" s="1">
        <f t="shared" si="144"/>
        <v>1.8021E-7</v>
      </c>
      <c r="J1030" s="4">
        <f t="shared" si="145"/>
        <v>-1.686282083983088E-8</v>
      </c>
      <c r="K1030" s="4">
        <f t="shared" si="146"/>
        <v>-2.4839615119585193E-8</v>
      </c>
      <c r="L1030" s="4">
        <f t="shared" si="147"/>
        <v>-7.4331204799588901E-9</v>
      </c>
      <c r="M1030" s="4">
        <f t="shared" si="149"/>
        <v>-7.7437734707038918E-9</v>
      </c>
      <c r="N1030" s="5">
        <f t="shared" si="150"/>
        <v>1.1733494527908908E-7</v>
      </c>
      <c r="O1030" s="5">
        <f t="shared" si="151"/>
        <v>1.2735933955800061E-6</v>
      </c>
      <c r="P1030" s="5">
        <f t="shared" si="152"/>
        <v>4.0907165914090883E-7</v>
      </c>
      <c r="Q1030" s="1">
        <f t="shared" si="148"/>
        <v>1.8000000000000039E-6</v>
      </c>
    </row>
    <row r="1031" spans="1:17" x14ac:dyDescent="0.25">
      <c r="A1031" s="1">
        <v>51.45</v>
      </c>
      <c r="B1031" s="1">
        <v>1.213E-2</v>
      </c>
      <c r="C1031" s="1">
        <v>2.2214000000000001E-3</v>
      </c>
      <c r="D1031" s="1">
        <v>2.7841999999999999E-2</v>
      </c>
      <c r="E1031" s="1">
        <v>1.2697999999999999E-2</v>
      </c>
      <c r="F1031" s="1">
        <v>1.1957E-6</v>
      </c>
      <c r="G1031" s="1">
        <v>6.7549999999999999</v>
      </c>
      <c r="H1031" s="1">
        <v>1.8026E-7</v>
      </c>
      <c r="I1031" s="1">
        <f t="shared" si="144"/>
        <v>1.8026E-7</v>
      </c>
      <c r="J1031" s="4">
        <f t="shared" si="145"/>
        <v>-1.6856830576225766E-8</v>
      </c>
      <c r="K1031" s="4">
        <f t="shared" si="146"/>
        <v>-2.4835071213812239E-8</v>
      </c>
      <c r="L1031" s="4">
        <f t="shared" si="147"/>
        <v>-7.4298175448583263E-9</v>
      </c>
      <c r="M1031" s="4">
        <f t="shared" si="149"/>
        <v>-7.7404743878478938E-9</v>
      </c>
      <c r="N1031" s="5">
        <f t="shared" si="150"/>
        <v>1.1788336837181723E-7</v>
      </c>
      <c r="O1031" s="5">
        <f t="shared" si="151"/>
        <v>1.2733556293302675E-6</v>
      </c>
      <c r="P1031" s="5">
        <f t="shared" si="152"/>
        <v>4.0876100229791927E-7</v>
      </c>
      <c r="Q1031" s="1">
        <f t="shared" si="148"/>
        <v>1.8000000000000039E-6</v>
      </c>
    </row>
    <row r="1032" spans="1:17" x14ac:dyDescent="0.25">
      <c r="A1032" s="1">
        <v>51.5</v>
      </c>
      <c r="B1032" s="1">
        <v>1.2106E-2</v>
      </c>
      <c r="C1032" s="1">
        <v>2.2152000000000001E-3</v>
      </c>
      <c r="D1032" s="1">
        <v>2.7857E-2</v>
      </c>
      <c r="E1032" s="1">
        <v>1.2666E-2</v>
      </c>
      <c r="F1032" s="1">
        <v>1.1927E-6</v>
      </c>
      <c r="G1032" s="1">
        <v>6.7548000000000004</v>
      </c>
      <c r="H1032" s="1">
        <v>1.8031999999999999E-7</v>
      </c>
      <c r="I1032" s="1">
        <f t="shared" si="144"/>
        <v>1.8031999999999999E-7</v>
      </c>
      <c r="J1032" s="4">
        <f t="shared" si="145"/>
        <v>-1.6853767375729126E-8</v>
      </c>
      <c r="K1032" s="4">
        <f t="shared" si="146"/>
        <v>-2.4830434771938809E-8</v>
      </c>
      <c r="L1032" s="4">
        <f t="shared" si="147"/>
        <v>-7.4277655203528072E-9</v>
      </c>
      <c r="M1032" s="4">
        <f t="shared" si="149"/>
        <v>-7.7367421187929667E-9</v>
      </c>
      <c r="N1032" s="5">
        <f t="shared" si="150"/>
        <v>1.1843227024767411E-7</v>
      </c>
      <c r="O1032" s="5">
        <f t="shared" si="151"/>
        <v>1.2731157040528508E-6</v>
      </c>
      <c r="P1032" s="5">
        <f t="shared" si="152"/>
        <v>4.0845202569947914E-7</v>
      </c>
      <c r="Q1032" s="1">
        <f t="shared" si="148"/>
        <v>1.8000000000000039E-6</v>
      </c>
    </row>
    <row r="1033" spans="1:17" x14ac:dyDescent="0.25">
      <c r="A1033" s="1">
        <v>51.55</v>
      </c>
      <c r="B1033" s="1">
        <v>1.2081E-2</v>
      </c>
      <c r="C1033" s="1">
        <v>2.2089000000000002E-3</v>
      </c>
      <c r="D1033" s="1">
        <v>2.7872999999999998E-2</v>
      </c>
      <c r="E1033" s="1">
        <v>1.2633E-2</v>
      </c>
      <c r="F1033" s="1">
        <v>1.1897E-6</v>
      </c>
      <c r="G1033" s="1">
        <v>6.7546999999999997</v>
      </c>
      <c r="H1033" s="1">
        <v>1.8038E-7</v>
      </c>
      <c r="I1033" s="1">
        <f t="shared" si="144"/>
        <v>1.8038E-7</v>
      </c>
      <c r="J1033" s="4">
        <f t="shared" si="145"/>
        <v>-1.6847384703758339E-8</v>
      </c>
      <c r="K1033" s="4">
        <f t="shared" si="146"/>
        <v>-2.4825756229029177E-8</v>
      </c>
      <c r="L1033" s="4">
        <f t="shared" si="147"/>
        <v>-7.4248699994121155E-9</v>
      </c>
      <c r="M1033" s="4">
        <f t="shared" si="149"/>
        <v>-7.7334672737832191E-9</v>
      </c>
      <c r="N1033" s="5">
        <f t="shared" si="150"/>
        <v>1.1898577177353285E-7</v>
      </c>
      <c r="O1033" s="5">
        <f t="shared" si="151"/>
        <v>1.272870799801363E-6</v>
      </c>
      <c r="P1033" s="5">
        <f t="shared" si="152"/>
        <v>4.0814342842510804E-7</v>
      </c>
      <c r="Q1033" s="1">
        <f t="shared" si="148"/>
        <v>1.8000000000000039E-6</v>
      </c>
    </row>
    <row r="1034" spans="1:17" x14ac:dyDescent="0.25">
      <c r="A1034" s="1">
        <v>51.6</v>
      </c>
      <c r="B1034" s="1">
        <v>1.2056000000000001E-2</v>
      </c>
      <c r="C1034" s="1">
        <v>2.2027000000000001E-3</v>
      </c>
      <c r="D1034" s="1">
        <v>2.7888E-2</v>
      </c>
      <c r="E1034" s="1">
        <v>1.2600999999999999E-2</v>
      </c>
      <c r="F1034" s="1">
        <v>1.1868E-6</v>
      </c>
      <c r="G1034" s="1">
        <v>6.7545000000000002</v>
      </c>
      <c r="H1034" s="1">
        <v>1.8043000000000001E-7</v>
      </c>
      <c r="I1034" s="1">
        <f t="shared" si="144"/>
        <v>1.8043000000000001E-7</v>
      </c>
      <c r="J1034" s="4">
        <f t="shared" si="145"/>
        <v>-1.6841080627618738E-8</v>
      </c>
      <c r="K1034" s="4">
        <f t="shared" si="146"/>
        <v>-2.4820980596128694E-8</v>
      </c>
      <c r="L1034" s="4">
        <f t="shared" si="147"/>
        <v>-7.4214212995724653E-9</v>
      </c>
      <c r="M1034" s="4">
        <f t="shared" si="149"/>
        <v>-7.7301957200293628E-9</v>
      </c>
      <c r="N1034" s="5">
        <f t="shared" si="150"/>
        <v>1.1954425044247035E-7</v>
      </c>
      <c r="O1034" s="5">
        <f t="shared" si="151"/>
        <v>1.2726210955528824E-6</v>
      </c>
      <c r="P1034" s="5">
        <f t="shared" si="152"/>
        <v>4.0783465400465118E-7</v>
      </c>
      <c r="Q1034" s="1">
        <f t="shared" si="148"/>
        <v>1.8000000000000039E-6</v>
      </c>
    </row>
    <row r="1035" spans="1:17" x14ac:dyDescent="0.25">
      <c r="A1035" s="1">
        <v>51.65</v>
      </c>
      <c r="B1035" s="1">
        <v>1.2031999999999999E-2</v>
      </c>
      <c r="C1035" s="1">
        <v>2.1963999999999998E-3</v>
      </c>
      <c r="D1035" s="1">
        <v>2.7904000000000002E-2</v>
      </c>
      <c r="E1035" s="1">
        <v>1.2569E-2</v>
      </c>
      <c r="F1035" s="1">
        <v>1.1838E-6</v>
      </c>
      <c r="G1035" s="1">
        <v>6.7544000000000004</v>
      </c>
      <c r="H1035" s="1">
        <v>1.8049E-7</v>
      </c>
      <c r="I1035" s="1">
        <f t="shared" si="144"/>
        <v>1.8049E-7</v>
      </c>
      <c r="J1035" s="4">
        <f t="shared" si="145"/>
        <v>-1.6837738817332737E-8</v>
      </c>
      <c r="K1035" s="4">
        <f t="shared" si="146"/>
        <v>-2.4816111363279799E-8</v>
      </c>
      <c r="L1035" s="4">
        <f t="shared" si="147"/>
        <v>-7.4192386196024659E-9</v>
      </c>
      <c r="M1035" s="4">
        <f t="shared" si="149"/>
        <v>-7.7264886953157782E-9</v>
      </c>
      <c r="N1035" s="5">
        <f t="shared" si="150"/>
        <v>1.2010338436881494E-7</v>
      </c>
      <c r="O1035" s="5">
        <f t="shared" si="151"/>
        <v>1.272369211702251E-6</v>
      </c>
      <c r="P1035" s="5">
        <f t="shared" si="152"/>
        <v>4.0752740392893786E-7</v>
      </c>
      <c r="Q1035" s="1">
        <f t="shared" si="148"/>
        <v>1.8000000000000039E-6</v>
      </c>
    </row>
    <row r="1036" spans="1:17" x14ac:dyDescent="0.25">
      <c r="A1036" s="1">
        <v>51.7</v>
      </c>
      <c r="B1036" s="1">
        <v>1.2007E-2</v>
      </c>
      <c r="C1036" s="1">
        <v>2.1901999999999998E-3</v>
      </c>
      <c r="D1036" s="1">
        <v>2.7918999999999999E-2</v>
      </c>
      <c r="E1036" s="1">
        <v>1.2537E-2</v>
      </c>
      <c r="F1036" s="1">
        <v>1.1808E-6</v>
      </c>
      <c r="G1036" s="1">
        <v>6.7542999999999997</v>
      </c>
      <c r="H1036" s="1">
        <v>1.8055000000000001E-7</v>
      </c>
      <c r="I1036" s="1">
        <f t="shared" si="144"/>
        <v>1.8055000000000001E-7</v>
      </c>
      <c r="J1036" s="4">
        <f t="shared" si="145"/>
        <v>-1.6831077383904209E-8</v>
      </c>
      <c r="K1036" s="4">
        <f t="shared" si="146"/>
        <v>-2.481119962819601E-8</v>
      </c>
      <c r="L1036" s="4">
        <f t="shared" si="147"/>
        <v>-7.4162165762705842E-9</v>
      </c>
      <c r="M1036" s="4">
        <f t="shared" si="149"/>
        <v>-7.7232352191897279E-9</v>
      </c>
      <c r="N1036" s="5">
        <f t="shared" si="150"/>
        <v>1.2066729003683616E-7</v>
      </c>
      <c r="O1036" s="5">
        <f t="shared" si="151"/>
        <v>1.2721123246771489E-6</v>
      </c>
      <c r="P1036" s="5">
        <f t="shared" si="152"/>
        <v>4.0722038528601871E-7</v>
      </c>
      <c r="Q1036" s="1">
        <f t="shared" si="148"/>
        <v>1.8000000000000037E-6</v>
      </c>
    </row>
    <row r="1037" spans="1:17" x14ac:dyDescent="0.25">
      <c r="A1037" s="1">
        <v>51.75</v>
      </c>
      <c r="B1037" s="1">
        <v>1.1983000000000001E-2</v>
      </c>
      <c r="C1037" s="1">
        <v>2.1838999999999999E-3</v>
      </c>
      <c r="D1037" s="1">
        <v>2.7934E-2</v>
      </c>
      <c r="E1037" s="1">
        <v>1.2505E-2</v>
      </c>
      <c r="F1037" s="1">
        <v>1.1779E-6</v>
      </c>
      <c r="G1037" s="1">
        <v>6.7541000000000002</v>
      </c>
      <c r="H1037" s="1">
        <v>1.8059999999999999E-7</v>
      </c>
      <c r="I1037" s="1">
        <f t="shared" si="144"/>
        <v>1.8059999999999999E-7</v>
      </c>
      <c r="J1037" s="4">
        <f t="shared" si="145"/>
        <v>-1.6824503171793628E-8</v>
      </c>
      <c r="K1037" s="4">
        <f t="shared" si="146"/>
        <v>-2.4806190331202996E-8</v>
      </c>
      <c r="L1037" s="4">
        <f t="shared" si="147"/>
        <v>-7.4132325923003328E-9</v>
      </c>
      <c r="M1037" s="4">
        <f t="shared" si="149"/>
        <v>-7.7199822591555816E-9</v>
      </c>
      <c r="N1037" s="5">
        <f t="shared" si="150"/>
        <v>1.212357446039452E-7</v>
      </c>
      <c r="O1037" s="5">
        <f t="shared" si="151"/>
        <v>1.2718506197768952E-6</v>
      </c>
      <c r="P1037" s="5">
        <f t="shared" si="152"/>
        <v>4.0691363561916349E-7</v>
      </c>
      <c r="Q1037" s="1">
        <f t="shared" si="148"/>
        <v>1.8000000000000039E-6</v>
      </c>
    </row>
    <row r="1038" spans="1:17" x14ac:dyDescent="0.25">
      <c r="A1038" s="1">
        <v>51.8</v>
      </c>
      <c r="B1038" s="1">
        <v>1.1958999999999999E-2</v>
      </c>
      <c r="C1038" s="1">
        <v>2.1776999999999999E-3</v>
      </c>
      <c r="D1038" s="1">
        <v>2.7949999999999999E-2</v>
      </c>
      <c r="E1038" s="1">
        <v>1.2473E-2</v>
      </c>
      <c r="F1038" s="1">
        <v>1.1749E-6</v>
      </c>
      <c r="G1038" s="1">
        <v>6.7539999999999996</v>
      </c>
      <c r="H1038" s="1">
        <v>1.8066E-7</v>
      </c>
      <c r="I1038" s="1">
        <f t="shared" si="144"/>
        <v>1.8066E-7</v>
      </c>
      <c r="J1038" s="4">
        <f t="shared" si="145"/>
        <v>-1.682083410859003E-8</v>
      </c>
      <c r="K1038" s="4">
        <f t="shared" si="146"/>
        <v>-2.4801087085648047E-8</v>
      </c>
      <c r="L1038" s="4">
        <f t="shared" si="147"/>
        <v>-7.4108990719998381E-9</v>
      </c>
      <c r="M1038" s="4">
        <f t="shared" si="149"/>
        <v>-7.7163032722457579E-9</v>
      </c>
      <c r="N1038" s="5">
        <f t="shared" si="150"/>
        <v>1.2180509850900339E-7</v>
      </c>
      <c r="O1038" s="5">
        <f t="shared" si="151"/>
        <v>1.2715866700720829E-6</v>
      </c>
      <c r="P1038" s="5">
        <f t="shared" si="152"/>
        <v>4.0660823141891756E-7</v>
      </c>
      <c r="Q1038" s="1">
        <f t="shared" si="148"/>
        <v>1.8000000000000039E-6</v>
      </c>
    </row>
    <row r="1039" spans="1:17" x14ac:dyDescent="0.25">
      <c r="A1039" s="1">
        <v>51.85</v>
      </c>
      <c r="B1039" s="1">
        <v>1.1934E-2</v>
      </c>
      <c r="C1039" s="1">
        <v>2.1714999999999998E-3</v>
      </c>
      <c r="D1039" s="1">
        <v>2.7965E-2</v>
      </c>
      <c r="E1039" s="1">
        <v>1.2441000000000001E-2</v>
      </c>
      <c r="F1039" s="1">
        <v>1.1719E-6</v>
      </c>
      <c r="G1039" s="1">
        <v>6.7538</v>
      </c>
      <c r="H1039" s="1">
        <v>1.8071000000000001E-7</v>
      </c>
      <c r="I1039" s="1">
        <f t="shared" si="144"/>
        <v>1.8071000000000001E-7</v>
      </c>
      <c r="J1039" s="4">
        <f t="shared" si="145"/>
        <v>-1.6813854114890848E-8</v>
      </c>
      <c r="K1039" s="4">
        <f t="shared" si="146"/>
        <v>-2.479594006640773E-8</v>
      </c>
      <c r="L1039" s="4">
        <f t="shared" si="147"/>
        <v>-7.4077341889215201E-9</v>
      </c>
      <c r="M1039" s="4">
        <f t="shared" si="149"/>
        <v>-7.7130735242555308E-9</v>
      </c>
      <c r="N1039" s="5">
        <f t="shared" si="150"/>
        <v>1.2237945027159876E-7</v>
      </c>
      <c r="O1039" s="5">
        <f t="shared" si="151"/>
        <v>1.2713176576448216E-6</v>
      </c>
      <c r="P1039" s="5">
        <f t="shared" si="152"/>
        <v>4.0630289208358356E-7</v>
      </c>
      <c r="Q1039" s="1">
        <f t="shared" si="148"/>
        <v>1.8000000000000039E-6</v>
      </c>
    </row>
    <row r="1040" spans="1:17" x14ac:dyDescent="0.25">
      <c r="A1040" s="1">
        <v>51.9</v>
      </c>
      <c r="B1040" s="1">
        <v>1.191E-2</v>
      </c>
      <c r="C1040" s="1">
        <v>2.1651999999999999E-3</v>
      </c>
      <c r="D1040" s="1">
        <v>2.7980000000000001E-2</v>
      </c>
      <c r="E1040" s="1">
        <v>1.2409E-2</v>
      </c>
      <c r="F1040" s="1">
        <v>1.1689999999999999E-6</v>
      </c>
      <c r="G1040" s="1">
        <v>6.7537000000000003</v>
      </c>
      <c r="H1040" s="1">
        <v>1.8077E-7</v>
      </c>
      <c r="I1040" s="1">
        <f t="shared" si="144"/>
        <v>1.8077E-7</v>
      </c>
      <c r="J1040" s="4">
        <f t="shared" si="145"/>
        <v>-1.6806977030250497E-8</v>
      </c>
      <c r="K1040" s="4">
        <f t="shared" si="146"/>
        <v>-2.4790694324072614E-8</v>
      </c>
      <c r="L1040" s="4">
        <f t="shared" si="147"/>
        <v>-7.4046142599060324E-9</v>
      </c>
      <c r="M1040" s="4">
        <f t="shared" si="149"/>
        <v>-7.7094145409841221E-9</v>
      </c>
      <c r="N1040" s="5">
        <f t="shared" si="150"/>
        <v>1.2295855330551486E-7</v>
      </c>
      <c r="O1040" s="5">
        <f t="shared" si="151"/>
        <v>1.2710433548919836E-6</v>
      </c>
      <c r="P1040" s="5">
        <f t="shared" si="152"/>
        <v>4.0599809180250545E-7</v>
      </c>
      <c r="Q1040" s="1">
        <f t="shared" si="148"/>
        <v>1.8000000000000039E-6</v>
      </c>
    </row>
    <row r="1041" spans="1:17" x14ac:dyDescent="0.25">
      <c r="A1041" s="1">
        <v>51.95</v>
      </c>
      <c r="B1041" s="1">
        <v>1.1886000000000001E-2</v>
      </c>
      <c r="C1041" s="1">
        <v>2.1589999999999999E-3</v>
      </c>
      <c r="D1041" s="1">
        <v>2.7994999999999999E-2</v>
      </c>
      <c r="E1041" s="1">
        <v>1.2377000000000001E-2</v>
      </c>
      <c r="F1041" s="1">
        <v>1.1659999999999999E-6</v>
      </c>
      <c r="G1041" s="1">
        <v>6.7534999999999998</v>
      </c>
      <c r="H1041" s="1">
        <v>1.8082E-7</v>
      </c>
      <c r="I1041" s="1">
        <f t="shared" si="144"/>
        <v>1.8082E-7</v>
      </c>
      <c r="J1041" s="4">
        <f t="shared" si="145"/>
        <v>-1.6803036356375203E-8</v>
      </c>
      <c r="K1041" s="4">
        <f t="shared" si="146"/>
        <v>-2.4785345420395793E-8</v>
      </c>
      <c r="L1041" s="4">
        <f t="shared" si="147"/>
        <v>-7.4021543567748378E-9</v>
      </c>
      <c r="M1041" s="4">
        <f t="shared" si="149"/>
        <v>-7.7061888807902427E-9</v>
      </c>
      <c r="N1041" s="5">
        <f t="shared" si="150"/>
        <v>1.2353870801276061E-7</v>
      </c>
      <c r="O1041" s="5">
        <f t="shared" si="151"/>
        <v>1.2707672347087532E-6</v>
      </c>
      <c r="P1041" s="5">
        <f t="shared" si="152"/>
        <v>4.0569405727849006E-7</v>
      </c>
      <c r="Q1041" s="1">
        <f t="shared" si="148"/>
        <v>1.8000000000000039E-6</v>
      </c>
    </row>
    <row r="1042" spans="1:17" x14ac:dyDescent="0.25">
      <c r="A1042" s="1">
        <v>52</v>
      </c>
      <c r="B1042" s="1">
        <v>1.1861999999999999E-2</v>
      </c>
      <c r="C1042" s="1">
        <v>2.1527999999999999E-3</v>
      </c>
      <c r="D1042" s="1">
        <v>2.8011000000000001E-2</v>
      </c>
      <c r="E1042" s="1">
        <v>1.2345999999999999E-2</v>
      </c>
      <c r="F1042" s="1">
        <v>1.1629999999999999E-6</v>
      </c>
      <c r="G1042" s="1">
        <v>6.7534000000000001</v>
      </c>
      <c r="H1042" s="1">
        <v>1.8087999999999999E-7</v>
      </c>
      <c r="I1042" s="1">
        <f t="shared" si="144"/>
        <v>1.8087999999999999E-7</v>
      </c>
      <c r="J1042" s="4">
        <f t="shared" si="145"/>
        <v>-1.6795779171098719E-8</v>
      </c>
      <c r="K1042" s="4">
        <f t="shared" si="146"/>
        <v>-2.4779961076819279E-8</v>
      </c>
      <c r="L1042" s="4">
        <f t="shared" si="147"/>
        <v>-7.3988648286694585E-9</v>
      </c>
      <c r="M1042" s="4">
        <f t="shared" si="149"/>
        <v>-7.7025479408947021E-9</v>
      </c>
      <c r="N1042" s="5">
        <f t="shared" si="150"/>
        <v>1.2412402508981172E-7</v>
      </c>
      <c r="O1042" s="5">
        <f t="shared" si="151"/>
        <v>1.2704856007439275E-6</v>
      </c>
      <c r="P1042" s="5">
        <f t="shared" si="152"/>
        <v>4.0539037416626482E-7</v>
      </c>
      <c r="Q1042" s="1">
        <f t="shared" si="148"/>
        <v>1.8000000000000039E-6</v>
      </c>
    </row>
    <row r="1043" spans="1:17" x14ac:dyDescent="0.25">
      <c r="A1043" s="1">
        <v>52.05</v>
      </c>
      <c r="B1043" s="1">
        <v>1.1838E-2</v>
      </c>
      <c r="C1043" s="1">
        <v>2.1465999999999998E-3</v>
      </c>
      <c r="D1043" s="1">
        <v>2.8025999999999999E-2</v>
      </c>
      <c r="E1043" s="1">
        <v>1.2314E-2</v>
      </c>
      <c r="F1043" s="1">
        <v>1.1600999999999999E-6</v>
      </c>
      <c r="G1043" s="1">
        <v>6.7531999999999996</v>
      </c>
      <c r="H1043" s="1">
        <v>1.8092999999999999E-7</v>
      </c>
      <c r="I1043" s="1">
        <f t="shared" si="144"/>
        <v>1.8092999999999999E-7</v>
      </c>
      <c r="J1043" s="4">
        <f t="shared" si="145"/>
        <v>-1.6788630849169194E-8</v>
      </c>
      <c r="K1043" s="4">
        <f t="shared" si="146"/>
        <v>-2.4774469214505179E-8</v>
      </c>
      <c r="L1043" s="4">
        <f t="shared" si="147"/>
        <v>-7.3962219374458138E-9</v>
      </c>
      <c r="M1043" s="4">
        <f t="shared" si="149"/>
        <v>-7.6993361423149301E-9</v>
      </c>
      <c r="N1043" s="5">
        <f t="shared" si="150"/>
        <v>1.2471364151770191E-7</v>
      </c>
      <c r="O1043" s="5">
        <f t="shared" si="151"/>
        <v>1.2701990985209065E-6</v>
      </c>
      <c r="P1043" s="5">
        <f t="shared" si="152"/>
        <v>4.0508725996139568E-7</v>
      </c>
      <c r="Q1043" s="1">
        <f t="shared" si="148"/>
        <v>1.8000000000000042E-6</v>
      </c>
    </row>
    <row r="1044" spans="1:17" x14ac:dyDescent="0.25">
      <c r="A1044" s="1">
        <v>52.1</v>
      </c>
      <c r="B1044" s="1">
        <v>1.1814E-2</v>
      </c>
      <c r="C1044" s="1">
        <v>2.1404000000000002E-3</v>
      </c>
      <c r="D1044" s="1">
        <v>2.8041E-2</v>
      </c>
      <c r="E1044" s="1">
        <v>1.2283000000000001E-2</v>
      </c>
      <c r="F1044" s="1">
        <v>1.1570999999999999E-6</v>
      </c>
      <c r="G1044" s="1">
        <v>6.7530999999999999</v>
      </c>
      <c r="H1044" s="1">
        <v>1.8099000000000001E-7</v>
      </c>
      <c r="I1044" s="1">
        <f t="shared" si="144"/>
        <v>1.8099000000000001E-7</v>
      </c>
      <c r="J1044" s="4">
        <f t="shared" si="145"/>
        <v>-1.6784361083820252E-8</v>
      </c>
      <c r="K1044" s="4">
        <f t="shared" si="146"/>
        <v>-2.4768882421159787E-8</v>
      </c>
      <c r="L1044" s="4">
        <f t="shared" si="147"/>
        <v>-7.3936116102282109E-9</v>
      </c>
      <c r="M1044" s="4">
        <f t="shared" si="149"/>
        <v>-7.6957059842062638E-9</v>
      </c>
      <c r="N1044" s="5">
        <f t="shared" si="150"/>
        <v>1.2530455124481323E-7</v>
      </c>
      <c r="O1044" s="5">
        <f t="shared" si="151"/>
        <v>1.2699102831677731E-6</v>
      </c>
      <c r="P1044" s="5">
        <f t="shared" si="152"/>
        <v>4.0478516558741761E-7</v>
      </c>
      <c r="Q1044" s="1">
        <f t="shared" si="148"/>
        <v>1.8000000000000039E-6</v>
      </c>
    </row>
    <row r="1045" spans="1:17" x14ac:dyDescent="0.25">
      <c r="A1045" s="1">
        <v>52.15</v>
      </c>
      <c r="B1045" s="1">
        <v>1.179E-2</v>
      </c>
      <c r="C1045" s="1">
        <v>2.1342000000000002E-3</v>
      </c>
      <c r="D1045" s="1">
        <v>2.8056000000000001E-2</v>
      </c>
      <c r="E1045" s="1">
        <v>1.2251E-2</v>
      </c>
      <c r="F1045" s="1">
        <v>1.1541000000000001E-6</v>
      </c>
      <c r="G1045" s="1">
        <v>6.7530000000000001</v>
      </c>
      <c r="H1045" s="1">
        <v>1.8104000000000001E-7</v>
      </c>
      <c r="I1045" s="1">
        <f t="shared" si="144"/>
        <v>1.8104000000000001E-7</v>
      </c>
      <c r="J1045" s="4">
        <f t="shared" si="145"/>
        <v>-1.6776780894551199E-8</v>
      </c>
      <c r="K1045" s="4">
        <f t="shared" si="146"/>
        <v>-2.476325052177017E-8</v>
      </c>
      <c r="L1045" s="4">
        <f t="shared" si="147"/>
        <v>-7.3907802166645536E-9</v>
      </c>
      <c r="M1045" s="4">
        <f t="shared" si="149"/>
        <v>-7.6925170475645691E-9</v>
      </c>
      <c r="N1045" s="5">
        <f t="shared" si="150"/>
        <v>1.2590024065536766E-7</v>
      </c>
      <c r="O1045" s="5">
        <f t="shared" si="151"/>
        <v>1.2696163305881185E-6</v>
      </c>
      <c r="P1045" s="5">
        <f t="shared" si="152"/>
        <v>4.044834287565176E-7</v>
      </c>
      <c r="Q1045" s="1">
        <f t="shared" si="148"/>
        <v>1.8000000000000037E-6</v>
      </c>
    </row>
    <row r="1046" spans="1:17" x14ac:dyDescent="0.25">
      <c r="A1046" s="1">
        <v>52.2</v>
      </c>
      <c r="B1046" s="1">
        <v>1.1766E-2</v>
      </c>
      <c r="C1046" s="1">
        <v>2.1280000000000001E-3</v>
      </c>
      <c r="D1046" s="1">
        <v>2.8070999999999999E-2</v>
      </c>
      <c r="E1046" s="1">
        <v>1.222E-2</v>
      </c>
      <c r="F1046" s="1">
        <v>1.1511000000000001E-6</v>
      </c>
      <c r="G1046" s="1">
        <v>6.7527999999999997</v>
      </c>
      <c r="H1046" s="1">
        <v>1.811E-7</v>
      </c>
      <c r="I1046" s="1">
        <f t="shared" si="144"/>
        <v>1.811E-7</v>
      </c>
      <c r="J1046" s="4">
        <f t="shared" si="145"/>
        <v>-1.6769242391916358E-8</v>
      </c>
      <c r="K1046" s="4">
        <f t="shared" si="146"/>
        <v>-2.4757518446470422E-8</v>
      </c>
      <c r="L1046" s="4">
        <f t="shared" si="147"/>
        <v>-7.3873663673422944E-9</v>
      </c>
      <c r="M1046" s="4">
        <f t="shared" si="149"/>
        <v>-7.6889063939190497E-9</v>
      </c>
      <c r="N1046" s="5">
        <f t="shared" si="150"/>
        <v>1.2650115034257942E-7</v>
      </c>
      <c r="O1046" s="5">
        <f t="shared" si="151"/>
        <v>1.2693169609274835E-6</v>
      </c>
      <c r="P1046" s="5">
        <f t="shared" si="152"/>
        <v>4.0418188872994084E-7</v>
      </c>
      <c r="Q1046" s="1">
        <f t="shared" si="148"/>
        <v>1.8000000000000037E-6</v>
      </c>
    </row>
    <row r="1047" spans="1:17" x14ac:dyDescent="0.25">
      <c r="A1047" s="1">
        <v>52.25</v>
      </c>
      <c r="B1047" s="1">
        <v>1.1742000000000001E-2</v>
      </c>
      <c r="C1047" s="1">
        <v>2.1218000000000001E-3</v>
      </c>
      <c r="D1047" s="1">
        <v>2.8086E-2</v>
      </c>
      <c r="E1047" s="1">
        <v>1.2187999999999999E-2</v>
      </c>
      <c r="F1047" s="1">
        <v>1.1482000000000001E-6</v>
      </c>
      <c r="G1047" s="1">
        <v>6.7526999999999999</v>
      </c>
      <c r="H1047" s="1">
        <v>1.8115E-7</v>
      </c>
      <c r="I1047" s="1">
        <f t="shared" si="144"/>
        <v>1.8115E-7</v>
      </c>
      <c r="J1047" s="4">
        <f t="shared" si="145"/>
        <v>-1.6761797230481039E-8</v>
      </c>
      <c r="K1047" s="4">
        <f t="shared" si="146"/>
        <v>-2.4751680738084525E-8</v>
      </c>
      <c r="L1047" s="4">
        <f t="shared" si="147"/>
        <v>-7.3845975410423507E-9</v>
      </c>
      <c r="M1047" s="4">
        <f t="shared" si="149"/>
        <v>-7.6857207051437519E-9</v>
      </c>
      <c r="N1047" s="5">
        <f t="shared" si="150"/>
        <v>1.2710643630914058E-7</v>
      </c>
      <c r="O1047" s="5">
        <f t="shared" si="151"/>
        <v>1.2690127981250236E-6</v>
      </c>
      <c r="P1047" s="5">
        <f t="shared" si="152"/>
        <v>4.0388076556583946E-7</v>
      </c>
      <c r="Q1047" s="1">
        <f t="shared" si="148"/>
        <v>1.8000000000000037E-6</v>
      </c>
    </row>
    <row r="1048" spans="1:17" x14ac:dyDescent="0.25">
      <c r="A1048" s="1">
        <v>52.3</v>
      </c>
      <c r="B1048" s="1">
        <v>1.1717999999999999E-2</v>
      </c>
      <c r="C1048" s="1">
        <v>2.1156999999999999E-3</v>
      </c>
      <c r="D1048" s="1">
        <v>2.8101000000000001E-2</v>
      </c>
      <c r="E1048" s="1">
        <v>1.2156999999999999E-2</v>
      </c>
      <c r="F1048" s="1">
        <v>1.1452000000000001E-6</v>
      </c>
      <c r="G1048" s="1">
        <v>6.7525000000000004</v>
      </c>
      <c r="H1048" s="1">
        <v>1.8120999999999999E-7</v>
      </c>
      <c r="I1048" s="1">
        <f t="shared" si="144"/>
        <v>1.8120999999999999E-7</v>
      </c>
      <c r="J1048" s="4">
        <f t="shared" si="145"/>
        <v>-1.6757245319736271E-8</v>
      </c>
      <c r="K1048" s="4">
        <f t="shared" si="146"/>
        <v>-2.4745749563436554E-8</v>
      </c>
      <c r="L1048" s="4">
        <f t="shared" si="147"/>
        <v>-7.3818569911280647E-9</v>
      </c>
      <c r="M1048" s="4">
        <f t="shared" si="149"/>
        <v>-7.6821150716360041E-9</v>
      </c>
      <c r="N1048" s="5">
        <f t="shared" si="150"/>
        <v>1.2771308356171279E-7</v>
      </c>
      <c r="O1048" s="5">
        <f t="shared" si="151"/>
        <v>1.2687064089529595E-6</v>
      </c>
      <c r="P1048" s="5">
        <f t="shared" si="152"/>
        <v>4.0358050748533157E-7</v>
      </c>
      <c r="Q1048" s="1">
        <f t="shared" si="148"/>
        <v>1.8000000000000039E-6</v>
      </c>
    </row>
    <row r="1049" spans="1:17" x14ac:dyDescent="0.25">
      <c r="A1049" s="1">
        <v>52.35</v>
      </c>
      <c r="B1049" s="1">
        <v>1.1695000000000001E-2</v>
      </c>
      <c r="C1049" s="1">
        <v>2.1094999999999998E-3</v>
      </c>
      <c r="D1049" s="1">
        <v>2.8115999999999999E-2</v>
      </c>
      <c r="E1049" s="1">
        <v>1.2126E-2</v>
      </c>
      <c r="F1049" s="1">
        <v>1.1422000000000001E-6</v>
      </c>
      <c r="G1049" s="1">
        <v>6.7523999999999997</v>
      </c>
      <c r="H1049" s="1">
        <v>1.8126E-7</v>
      </c>
      <c r="I1049" s="1">
        <f t="shared" si="144"/>
        <v>1.8126E-7</v>
      </c>
      <c r="J1049" s="4">
        <f t="shared" si="145"/>
        <v>-1.6749354307730342E-8</v>
      </c>
      <c r="K1049" s="4">
        <f t="shared" si="146"/>
        <v>-2.4739774974584822E-8</v>
      </c>
      <c r="L1049" s="4">
        <f t="shared" si="147"/>
        <v>-7.378893523613105E-9</v>
      </c>
      <c r="M1049" s="4">
        <f t="shared" si="149"/>
        <v>-7.678946494949432E-9</v>
      </c>
      <c r="N1049" s="5">
        <f t="shared" si="150"/>
        <v>1.2832461070495418E-7</v>
      </c>
      <c r="O1049" s="5">
        <f t="shared" si="151"/>
        <v>1.2683949347810544E-6</v>
      </c>
      <c r="P1049" s="5">
        <f t="shared" si="152"/>
        <v>4.0328045451399526E-7</v>
      </c>
      <c r="Q1049" s="1">
        <f t="shared" si="148"/>
        <v>1.8000000000000039E-6</v>
      </c>
    </row>
    <row r="1050" spans="1:17" x14ac:dyDescent="0.25">
      <c r="A1050" s="1">
        <v>52.4</v>
      </c>
      <c r="B1050" s="1">
        <v>1.1671000000000001E-2</v>
      </c>
      <c r="C1050" s="1">
        <v>2.1032999999999998E-3</v>
      </c>
      <c r="D1050" s="1">
        <v>2.8131E-2</v>
      </c>
      <c r="E1050" s="1">
        <v>1.2095E-2</v>
      </c>
      <c r="F1050" s="1">
        <v>1.1393E-6</v>
      </c>
      <c r="G1050" s="1">
        <v>6.7522000000000002</v>
      </c>
      <c r="H1050" s="1">
        <v>1.8132000000000001E-7</v>
      </c>
      <c r="I1050" s="1">
        <f t="shared" si="144"/>
        <v>1.8132000000000001E-7</v>
      </c>
      <c r="J1050" s="4">
        <f t="shared" si="145"/>
        <v>-1.6741496141056082E-8</v>
      </c>
      <c r="K1050" s="4">
        <f t="shared" si="146"/>
        <v>-2.4733701228229155E-8</v>
      </c>
      <c r="L1050" s="4">
        <f t="shared" si="147"/>
        <v>-7.3759467357446238E-9</v>
      </c>
      <c r="M1050" s="4">
        <f t="shared" si="149"/>
        <v>-7.6753545944462761E-9</v>
      </c>
      <c r="N1050" s="5">
        <f t="shared" si="150"/>
        <v>1.2894086905638263E-7</v>
      </c>
      <c r="O1050" s="5">
        <f t="shared" si="151"/>
        <v>1.2680780842883278E-6</v>
      </c>
      <c r="P1050" s="5">
        <f t="shared" si="152"/>
        <v>4.029810466552936E-7</v>
      </c>
      <c r="Q1050" s="1">
        <f t="shared" si="148"/>
        <v>1.8000000000000039E-6</v>
      </c>
    </row>
    <row r="1051" spans="1:17" x14ac:dyDescent="0.25">
      <c r="A1051" s="1">
        <v>52.45</v>
      </c>
      <c r="B1051" s="1">
        <v>1.1646999999999999E-2</v>
      </c>
      <c r="C1051" s="1">
        <v>2.0972E-3</v>
      </c>
      <c r="D1051" s="1">
        <v>2.8146000000000001E-2</v>
      </c>
      <c r="E1051" s="1">
        <v>1.2064E-2</v>
      </c>
      <c r="F1051" s="1">
        <v>1.1363E-6</v>
      </c>
      <c r="G1051" s="1">
        <v>6.7521000000000004</v>
      </c>
      <c r="H1051" s="1">
        <v>1.8136999999999999E-7</v>
      </c>
      <c r="I1051" s="1">
        <f t="shared" si="144"/>
        <v>1.8136999999999999E-7</v>
      </c>
      <c r="J1051" s="4">
        <f t="shared" si="145"/>
        <v>-1.6736582697970099E-8</v>
      </c>
      <c r="K1051" s="4">
        <f t="shared" si="146"/>
        <v>-2.4727522643624504E-8</v>
      </c>
      <c r="L1051" s="4">
        <f t="shared" si="147"/>
        <v>-7.3736523838109864E-9</v>
      </c>
      <c r="M1051" s="4">
        <f t="shared" si="149"/>
        <v>-7.6721949548521266E-9</v>
      </c>
      <c r="N1051" s="5">
        <f t="shared" si="150"/>
        <v>1.2955815661822607E-7</v>
      </c>
      <c r="O1051" s="5">
        <f t="shared" si="151"/>
        <v>1.2677593392975254E-6</v>
      </c>
      <c r="P1051" s="5">
        <f t="shared" si="152"/>
        <v>4.0268250408425244E-7</v>
      </c>
      <c r="Q1051" s="1">
        <f t="shared" si="148"/>
        <v>1.8000000000000039E-6</v>
      </c>
    </row>
    <row r="1052" spans="1:17" x14ac:dyDescent="0.25">
      <c r="A1052" s="1">
        <v>52.5</v>
      </c>
      <c r="B1052" s="1">
        <v>1.1624000000000001E-2</v>
      </c>
      <c r="C1052" s="1">
        <v>2.091E-3</v>
      </c>
      <c r="D1052" s="1">
        <v>2.8160999999999999E-2</v>
      </c>
      <c r="E1052" s="1">
        <v>1.2031999999999999E-2</v>
      </c>
      <c r="F1052" s="1">
        <v>1.1333E-6</v>
      </c>
      <c r="G1052" s="1">
        <v>6.7519999999999998</v>
      </c>
      <c r="H1052" s="1">
        <v>1.8143E-7</v>
      </c>
      <c r="I1052" s="1">
        <f t="shared" si="144"/>
        <v>1.8143E-7</v>
      </c>
      <c r="J1052" s="4">
        <f t="shared" si="145"/>
        <v>-1.6728260138296985E-8</v>
      </c>
      <c r="K1052" s="4">
        <f t="shared" si="146"/>
        <v>-2.4721307116300339E-8</v>
      </c>
      <c r="L1052" s="4">
        <f t="shared" si="147"/>
        <v>-7.3705040990928577E-9</v>
      </c>
      <c r="M1052" s="4">
        <f t="shared" si="149"/>
        <v>-7.668625205404456E-9</v>
      </c>
      <c r="N1052" s="5">
        <f t="shared" si="150"/>
        <v>1.3018069949713657E-7</v>
      </c>
      <c r="O1052" s="5">
        <f t="shared" si="151"/>
        <v>1.2674349175249263E-6</v>
      </c>
      <c r="P1052" s="5">
        <f t="shared" si="152"/>
        <v>4.0238438297794088E-7</v>
      </c>
      <c r="Q1052" s="1">
        <f t="shared" si="148"/>
        <v>1.8000000000000037E-6</v>
      </c>
    </row>
    <row r="1053" spans="1:17" x14ac:dyDescent="0.25">
      <c r="A1053" s="1">
        <v>52.55</v>
      </c>
      <c r="B1053" s="1">
        <v>1.1599999999999999E-2</v>
      </c>
      <c r="C1053" s="1">
        <v>2.0849000000000002E-3</v>
      </c>
      <c r="D1053" s="1">
        <v>2.8174999999999999E-2</v>
      </c>
      <c r="E1053" s="1">
        <v>1.2002000000000001E-2</v>
      </c>
      <c r="F1053" s="1">
        <v>1.1304E-6</v>
      </c>
      <c r="G1053" s="1">
        <v>6.7518000000000002</v>
      </c>
      <c r="H1053" s="1">
        <v>1.8148000000000001E-7</v>
      </c>
      <c r="I1053" s="1">
        <f t="shared" si="144"/>
        <v>1.8148000000000001E-7</v>
      </c>
      <c r="J1053" s="4">
        <f t="shared" si="145"/>
        <v>-1.6720004051255136E-8</v>
      </c>
      <c r="K1053" s="4">
        <f t="shared" si="146"/>
        <v>-2.4714980891734658E-8</v>
      </c>
      <c r="L1053" s="4">
        <f t="shared" si="147"/>
        <v>-7.3667750665358898E-9</v>
      </c>
      <c r="M1053" s="4">
        <f t="shared" si="149"/>
        <v>-7.6654828533867855E-9</v>
      </c>
      <c r="N1053" s="5">
        <f t="shared" si="150"/>
        <v>1.3080890127108019E-7</v>
      </c>
      <c r="O1053" s="5">
        <f t="shared" si="151"/>
        <v>1.2671054235378337E-6</v>
      </c>
      <c r="P1053" s="5">
        <f t="shared" si="152"/>
        <v>4.0208567519109E-7</v>
      </c>
      <c r="Q1053" s="1">
        <f t="shared" si="148"/>
        <v>1.8000000000000039E-6</v>
      </c>
    </row>
    <row r="1054" spans="1:17" x14ac:dyDescent="0.25">
      <c r="A1054" s="1">
        <v>52.6</v>
      </c>
      <c r="B1054" s="1">
        <v>1.1577E-2</v>
      </c>
      <c r="C1054" s="1">
        <v>2.0788E-3</v>
      </c>
      <c r="D1054" s="1">
        <v>2.819E-2</v>
      </c>
      <c r="E1054" s="1">
        <v>1.1971000000000001E-2</v>
      </c>
      <c r="F1054" s="1">
        <v>1.1274E-6</v>
      </c>
      <c r="G1054" s="1">
        <v>6.7516999999999996</v>
      </c>
      <c r="H1054" s="1">
        <v>1.8154E-7</v>
      </c>
      <c r="I1054" s="1">
        <f t="shared" si="144"/>
        <v>1.8154E-7</v>
      </c>
      <c r="J1054" s="4">
        <f t="shared" si="145"/>
        <v>-1.671481582092298E-8</v>
      </c>
      <c r="K1054" s="4">
        <f t="shared" si="146"/>
        <v>-2.4708555758989868E-8</v>
      </c>
      <c r="L1054" s="4">
        <f t="shared" si="147"/>
        <v>-7.3649731144132895E-9</v>
      </c>
      <c r="M1054" s="4">
        <f t="shared" si="149"/>
        <v>-7.6619033750369498E-9</v>
      </c>
      <c r="N1054" s="5">
        <f t="shared" si="150"/>
        <v>1.3143766809473381E-7</v>
      </c>
      <c r="O1054" s="5">
        <f t="shared" si="151"/>
        <v>1.2667735869748036E-6</v>
      </c>
      <c r="P1054" s="5">
        <f t="shared" si="152"/>
        <v>4.0178874493046638E-7</v>
      </c>
      <c r="Q1054" s="1">
        <f t="shared" si="148"/>
        <v>1.8000000000000039E-6</v>
      </c>
    </row>
    <row r="1055" spans="1:17" x14ac:dyDescent="0.25">
      <c r="A1055" s="1">
        <v>52.65</v>
      </c>
      <c r="B1055" s="1">
        <v>1.1553000000000001E-2</v>
      </c>
      <c r="C1055" s="1">
        <v>2.0726E-3</v>
      </c>
      <c r="D1055" s="1">
        <v>2.8205000000000001E-2</v>
      </c>
      <c r="E1055" s="1">
        <v>1.1939999999999999E-2</v>
      </c>
      <c r="F1055" s="1">
        <v>1.1245E-6</v>
      </c>
      <c r="G1055" s="1">
        <v>6.7515000000000001</v>
      </c>
      <c r="H1055" s="1">
        <v>1.8159E-7</v>
      </c>
      <c r="I1055" s="1">
        <f t="shared" si="144"/>
        <v>1.8159E-7</v>
      </c>
      <c r="J1055" s="4">
        <f t="shared" si="145"/>
        <v>-1.6706131917106778E-8</v>
      </c>
      <c r="K1055" s="4">
        <f t="shared" si="146"/>
        <v>-2.4702084946007267E-8</v>
      </c>
      <c r="L1055" s="4">
        <f t="shared" si="147"/>
        <v>-7.3616709818670721E-9</v>
      </c>
      <c r="M1055" s="4">
        <f t="shared" si="149"/>
        <v>-7.6587765192406355E-9</v>
      </c>
      <c r="N1055" s="5">
        <f t="shared" si="150"/>
        <v>1.3207195014176721E-7</v>
      </c>
      <c r="O1055" s="5">
        <f t="shared" si="151"/>
        <v>1.2664364104651437E-6</v>
      </c>
      <c r="P1055" s="5">
        <f t="shared" si="152"/>
        <v>4.0149163939309284E-7</v>
      </c>
      <c r="Q1055" s="1">
        <f t="shared" si="148"/>
        <v>1.8000000000000037E-6</v>
      </c>
    </row>
    <row r="1056" spans="1:17" x14ac:dyDescent="0.25">
      <c r="A1056" s="1">
        <v>52.7</v>
      </c>
      <c r="B1056" s="1">
        <v>1.153E-2</v>
      </c>
      <c r="C1056" s="1">
        <v>2.0665000000000002E-3</v>
      </c>
      <c r="D1056" s="1">
        <v>2.8219999999999999E-2</v>
      </c>
      <c r="E1056" s="1">
        <v>1.1908999999999999E-2</v>
      </c>
      <c r="F1056" s="1">
        <v>1.1215E-6</v>
      </c>
      <c r="G1056" s="1">
        <v>6.7514000000000003</v>
      </c>
      <c r="H1056" s="1">
        <v>1.8164E-7</v>
      </c>
      <c r="I1056" s="1">
        <f t="shared" si="144"/>
        <v>1.8164E-7</v>
      </c>
      <c r="J1056" s="4">
        <f t="shared" si="145"/>
        <v>-1.6700501397226644E-8</v>
      </c>
      <c r="K1056" s="4">
        <f t="shared" si="146"/>
        <v>-2.469551000407241E-8</v>
      </c>
      <c r="L1056" s="4">
        <f t="shared" si="147"/>
        <v>-7.3590622030589353E-9</v>
      </c>
      <c r="M1056" s="4">
        <f t="shared" si="149"/>
        <v>-7.6552210137267834E-9</v>
      </c>
      <c r="N1056" s="5">
        <f t="shared" si="150"/>
        <v>1.3270789654555406E-7</v>
      </c>
      <c r="O1056" s="5">
        <f t="shared" si="151"/>
        <v>1.2660966228720247E-6</v>
      </c>
      <c r="P1056" s="5">
        <f t="shared" si="152"/>
        <v>4.0119548058242497E-7</v>
      </c>
      <c r="Q1056" s="1">
        <f t="shared" si="148"/>
        <v>1.8000000000000037E-6</v>
      </c>
    </row>
    <row r="1057" spans="1:17" x14ac:dyDescent="0.25">
      <c r="A1057" s="1">
        <v>52.75</v>
      </c>
      <c r="B1057" s="1">
        <v>1.1507E-2</v>
      </c>
      <c r="C1057" s="1">
        <v>2.0604E-3</v>
      </c>
      <c r="D1057" s="1">
        <v>2.8233999999999999E-2</v>
      </c>
      <c r="E1057" s="1">
        <v>1.1878E-2</v>
      </c>
      <c r="F1057" s="1">
        <v>1.1185E-6</v>
      </c>
      <c r="G1057" s="1">
        <v>6.7512999999999996</v>
      </c>
      <c r="H1057" s="1">
        <v>1.8169999999999999E-7</v>
      </c>
      <c r="I1057" s="1">
        <f t="shared" si="144"/>
        <v>1.8169999999999999E-7</v>
      </c>
      <c r="J1057" s="4">
        <f t="shared" si="145"/>
        <v>-1.6691498255189382E-8</v>
      </c>
      <c r="K1057" s="4">
        <f t="shared" si="146"/>
        <v>-2.4688884146003079E-8</v>
      </c>
      <c r="L1057" s="4">
        <f t="shared" si="147"/>
        <v>-7.3556225483045811E-9</v>
      </c>
      <c r="M1057" s="4">
        <f t="shared" si="149"/>
        <v>-7.6516804447636898E-9</v>
      </c>
      <c r="N1057" s="5">
        <f t="shared" si="150"/>
        <v>1.3334965988806319E-7</v>
      </c>
      <c r="O1057" s="5">
        <f t="shared" si="151"/>
        <v>1.2657509174259745E-6</v>
      </c>
      <c r="P1057" s="5">
        <f t="shared" si="152"/>
        <v>4.0089942268596584E-7</v>
      </c>
      <c r="Q1057" s="1">
        <f t="shared" si="148"/>
        <v>1.8000000000000035E-6</v>
      </c>
    </row>
    <row r="1058" spans="1:17" x14ac:dyDescent="0.25">
      <c r="A1058" s="1">
        <v>52.8</v>
      </c>
      <c r="B1058" s="1">
        <v>1.1483E-2</v>
      </c>
      <c r="C1058" s="1">
        <v>2.0542999999999998E-3</v>
      </c>
      <c r="D1058" s="1">
        <v>2.8249E-2</v>
      </c>
      <c r="E1058" s="1">
        <v>1.1847999999999999E-2</v>
      </c>
      <c r="F1058" s="1">
        <v>1.1156E-6</v>
      </c>
      <c r="G1058" s="1">
        <v>6.7511000000000001</v>
      </c>
      <c r="H1058" s="1">
        <v>1.8175E-7</v>
      </c>
      <c r="I1058" s="1">
        <f t="shared" si="144"/>
        <v>1.8175E-7</v>
      </c>
      <c r="J1058" s="4">
        <f t="shared" si="145"/>
        <v>-1.6682605854308783E-8</v>
      </c>
      <c r="K1058" s="4">
        <f t="shared" si="146"/>
        <v>-2.4682142889805098E-8</v>
      </c>
      <c r="L1058" s="4">
        <f t="shared" si="147"/>
        <v>-7.3522339579842719E-9</v>
      </c>
      <c r="M1058" s="4">
        <f t="shared" si="149"/>
        <v>-7.6485596357137643E-9</v>
      </c>
      <c r="N1058" s="5">
        <f t="shared" si="150"/>
        <v>1.3399696296557521E-7</v>
      </c>
      <c r="O1058" s="5">
        <f t="shared" si="151"/>
        <v>1.2653999400261919E-6</v>
      </c>
      <c r="P1058" s="5">
        <f t="shared" si="152"/>
        <v>4.0060309700823637E-7</v>
      </c>
      <c r="Q1058" s="1">
        <f t="shared" si="148"/>
        <v>1.8000000000000035E-6</v>
      </c>
    </row>
    <row r="1059" spans="1:17" x14ac:dyDescent="0.25">
      <c r="A1059" s="1">
        <v>52.85</v>
      </c>
      <c r="B1059" s="1">
        <v>1.146E-2</v>
      </c>
      <c r="C1059" s="1">
        <v>2.0482E-3</v>
      </c>
      <c r="D1059" s="1">
        <v>2.8264000000000001E-2</v>
      </c>
      <c r="E1059" s="1">
        <v>1.1816999999999999E-2</v>
      </c>
      <c r="F1059" s="1">
        <v>1.1125999999999999E-6</v>
      </c>
      <c r="G1059" s="1">
        <v>6.7510000000000003</v>
      </c>
      <c r="H1059" s="1">
        <v>1.818E-7</v>
      </c>
      <c r="I1059" s="1">
        <f t="shared" si="144"/>
        <v>1.818E-7</v>
      </c>
      <c r="J1059" s="4">
        <f t="shared" si="145"/>
        <v>-1.6676771045824606E-8</v>
      </c>
      <c r="K1059" s="4">
        <f t="shared" si="146"/>
        <v>-2.467529883051285E-8</v>
      </c>
      <c r="L1059" s="4">
        <f t="shared" si="147"/>
        <v>-7.3501567847468548E-9</v>
      </c>
      <c r="M1059" s="4">
        <f t="shared" si="149"/>
        <v>-7.6450093525315834E-9</v>
      </c>
      <c r="N1059" s="5">
        <f t="shared" si="150"/>
        <v>1.3464533396551659E-7</v>
      </c>
      <c r="O1059" s="5">
        <f t="shared" si="151"/>
        <v>1.2650464215940353E-6</v>
      </c>
      <c r="P1059" s="5">
        <f t="shared" si="152"/>
        <v>4.0030824444045168E-7</v>
      </c>
      <c r="Q1059" s="1">
        <f t="shared" si="148"/>
        <v>1.8000000000000035E-6</v>
      </c>
    </row>
    <row r="1060" spans="1:17" x14ac:dyDescent="0.25">
      <c r="A1060" s="1">
        <v>52.9</v>
      </c>
      <c r="B1060" s="1">
        <v>1.1436999999999999E-2</v>
      </c>
      <c r="C1060" s="1">
        <v>2.0420999999999998E-3</v>
      </c>
      <c r="D1060" s="1">
        <v>2.8278000000000001E-2</v>
      </c>
      <c r="E1060" s="1">
        <v>1.1787000000000001E-2</v>
      </c>
      <c r="F1060" s="1">
        <v>1.1095999999999999E-6</v>
      </c>
      <c r="G1060" s="1">
        <v>6.7508999999999997</v>
      </c>
      <c r="H1060" s="1">
        <v>1.8185999999999999E-7</v>
      </c>
      <c r="I1060" s="1">
        <f t="shared" si="144"/>
        <v>1.8185999999999999E-7</v>
      </c>
      <c r="J1060" s="4">
        <f t="shared" si="145"/>
        <v>-1.6667459904901008E-8</v>
      </c>
      <c r="K1060" s="4">
        <f t="shared" si="146"/>
        <v>-2.4668405221082286E-8</v>
      </c>
      <c r="L1060" s="4">
        <f t="shared" si="147"/>
        <v>-7.3465881793932516E-9</v>
      </c>
      <c r="M1060" s="4">
        <f t="shared" si="149"/>
        <v>-7.6414840781233484E-9</v>
      </c>
      <c r="N1060" s="5">
        <f t="shared" si="150"/>
        <v>1.3529969110230463E-7</v>
      </c>
      <c r="O1060" s="5">
        <f t="shared" si="151"/>
        <v>1.2646869603559773E-6</v>
      </c>
      <c r="P1060" s="5">
        <f t="shared" si="152"/>
        <v>4.0001334854172158E-7</v>
      </c>
      <c r="Q1060" s="1">
        <f t="shared" si="148"/>
        <v>1.8000000000000035E-6</v>
      </c>
    </row>
    <row r="1061" spans="1:17" x14ac:dyDescent="0.25">
      <c r="A1061" s="1">
        <v>52.95</v>
      </c>
      <c r="B1061" s="1">
        <v>1.1414000000000001E-2</v>
      </c>
      <c r="C1061" s="1">
        <v>2.036E-3</v>
      </c>
      <c r="D1061" s="1">
        <v>2.8292999999999999E-2</v>
      </c>
      <c r="E1061" s="1">
        <v>1.1756000000000001E-2</v>
      </c>
      <c r="F1061" s="1">
        <v>1.1066999999999999E-6</v>
      </c>
      <c r="G1061" s="1">
        <v>6.7507000000000001</v>
      </c>
      <c r="H1061" s="1">
        <v>1.8190999999999999E-7</v>
      </c>
      <c r="I1061" s="1">
        <f t="shared" si="144"/>
        <v>1.8190999999999999E-7</v>
      </c>
      <c r="J1061" s="4">
        <f t="shared" si="145"/>
        <v>-1.6658262492941544E-8</v>
      </c>
      <c r="K1061" s="4">
        <f t="shared" si="146"/>
        <v>-2.4661395726943662E-8</v>
      </c>
      <c r="L1061" s="4">
        <f t="shared" si="147"/>
        <v>-7.3436950344074741E-9</v>
      </c>
      <c r="M1061" s="4">
        <f t="shared" si="149"/>
        <v>-7.638374894409388E-9</v>
      </c>
      <c r="N1061" s="5">
        <f t="shared" si="150"/>
        <v>1.3595912930189927E-7</v>
      </c>
      <c r="O1061" s="5">
        <f t="shared" si="151"/>
        <v>1.2643222020163848E-6</v>
      </c>
      <c r="P1061" s="5">
        <f t="shared" si="152"/>
        <v>3.9971866868171967E-7</v>
      </c>
      <c r="Q1061" s="1">
        <f t="shared" si="148"/>
        <v>1.8000000000000035E-6</v>
      </c>
    </row>
    <row r="1062" spans="1:17" x14ac:dyDescent="0.25">
      <c r="A1062" s="1">
        <v>53</v>
      </c>
      <c r="B1062" s="1">
        <v>1.1391E-2</v>
      </c>
      <c r="C1062" s="1">
        <v>2.0298999999999998E-3</v>
      </c>
      <c r="D1062" s="1">
        <v>2.8308E-2</v>
      </c>
      <c r="E1062" s="1">
        <v>1.1726E-2</v>
      </c>
      <c r="F1062" s="1">
        <v>1.1036999999999999E-6</v>
      </c>
      <c r="G1062" s="1">
        <v>6.7506000000000004</v>
      </c>
      <c r="H1062" s="1">
        <v>1.8196E-7</v>
      </c>
      <c r="I1062" s="1">
        <f t="shared" si="144"/>
        <v>1.8196E-7</v>
      </c>
      <c r="J1062" s="4">
        <f t="shared" si="145"/>
        <v>-1.6652068722651298E-8</v>
      </c>
      <c r="K1062" s="4">
        <f t="shared" si="146"/>
        <v>-2.4654282939318104E-8</v>
      </c>
      <c r="L1062" s="4">
        <f t="shared" si="147"/>
        <v>-7.3408433866402646E-9</v>
      </c>
      <c r="M1062" s="4">
        <f t="shared" si="149"/>
        <v>-7.6348464170881858E-9</v>
      </c>
      <c r="N1062" s="5">
        <f t="shared" si="150"/>
        <v>1.3662050013192583E-7</v>
      </c>
      <c r="O1062" s="5">
        <f t="shared" si="151"/>
        <v>1.2639548342168061E-6</v>
      </c>
      <c r="P1062" s="5">
        <f t="shared" si="152"/>
        <v>3.9942466565127172E-7</v>
      </c>
      <c r="Q1062" s="1">
        <f t="shared" si="148"/>
        <v>1.8000000000000035E-6</v>
      </c>
    </row>
    <row r="1063" spans="1:17" x14ac:dyDescent="0.25">
      <c r="A1063" s="1">
        <v>53.05</v>
      </c>
      <c r="B1063" s="1">
        <v>1.1368E-2</v>
      </c>
      <c r="C1063" s="1">
        <v>2.0238000000000001E-3</v>
      </c>
      <c r="D1063" s="1">
        <v>2.8322E-2</v>
      </c>
      <c r="E1063" s="1">
        <v>1.1696E-2</v>
      </c>
      <c r="F1063" s="1">
        <v>1.1007999999999999E-6</v>
      </c>
      <c r="G1063" s="1">
        <v>6.7504</v>
      </c>
      <c r="H1063" s="1">
        <v>1.8202000000000001E-7</v>
      </c>
      <c r="I1063" s="1">
        <f t="shared" si="144"/>
        <v>1.8202000000000001E-7</v>
      </c>
      <c r="J1063" s="4">
        <f t="shared" si="145"/>
        <v>-1.6642476636534146E-8</v>
      </c>
      <c r="K1063" s="4">
        <f t="shared" si="146"/>
        <v>-2.4647119267226316E-8</v>
      </c>
      <c r="L1063" s="4">
        <f t="shared" si="147"/>
        <v>-7.3377836034791835E-9</v>
      </c>
      <c r="M1063" s="4">
        <f t="shared" si="149"/>
        <v>-7.6313277769996319E-9</v>
      </c>
      <c r="N1063" s="5">
        <f t="shared" si="150"/>
        <v>1.3728735915913884E-7</v>
      </c>
      <c r="O1063" s="5">
        <f t="shared" si="151"/>
        <v>1.2635815193631135E-6</v>
      </c>
      <c r="P1063" s="5">
        <f t="shared" si="152"/>
        <v>3.9913112147775124E-7</v>
      </c>
      <c r="Q1063" s="1">
        <f t="shared" si="148"/>
        <v>1.8000000000000035E-6</v>
      </c>
    </row>
    <row r="1064" spans="1:17" x14ac:dyDescent="0.25">
      <c r="A1064" s="1">
        <v>53.1</v>
      </c>
      <c r="B1064" s="1">
        <v>1.1344999999999999E-2</v>
      </c>
      <c r="C1064" s="1">
        <v>2.0176999999999999E-3</v>
      </c>
      <c r="D1064" s="1">
        <v>2.8337000000000001E-2</v>
      </c>
      <c r="E1064" s="1">
        <v>1.1665E-2</v>
      </c>
      <c r="F1064" s="1">
        <v>1.0978000000000001E-6</v>
      </c>
      <c r="G1064" s="1">
        <v>6.7503000000000002</v>
      </c>
      <c r="H1064" s="1">
        <v>1.8206999999999999E-7</v>
      </c>
      <c r="I1064" s="1">
        <f t="shared" si="144"/>
        <v>1.8206999999999999E-7</v>
      </c>
      <c r="J1064" s="4">
        <f t="shared" si="145"/>
        <v>-1.6635941819860212E-8</v>
      </c>
      <c r="K1064" s="4">
        <f t="shared" si="146"/>
        <v>-2.4639839627582817E-8</v>
      </c>
      <c r="L1064" s="4">
        <f t="shared" si="147"/>
        <v>-7.335410596194612E-9</v>
      </c>
      <c r="M1064" s="4">
        <f t="shared" si="149"/>
        <v>-7.6282339067955806E-9</v>
      </c>
      <c r="N1064" s="5">
        <f t="shared" si="150"/>
        <v>1.3795584637066685E-7</v>
      </c>
      <c r="O1064" s="5">
        <f t="shared" si="151"/>
        <v>1.2632058554621865E-6</v>
      </c>
      <c r="P1064" s="5">
        <f t="shared" si="152"/>
        <v>3.9883829816715026E-7</v>
      </c>
      <c r="Q1064" s="1">
        <f t="shared" si="148"/>
        <v>1.8000000000000035E-6</v>
      </c>
    </row>
    <row r="1065" spans="1:17" x14ac:dyDescent="0.25">
      <c r="A1065" s="1">
        <v>53.15</v>
      </c>
      <c r="B1065" s="1">
        <v>1.1322E-2</v>
      </c>
      <c r="C1065" s="1">
        <v>2.0116999999999999E-3</v>
      </c>
      <c r="D1065" s="1">
        <v>2.8351000000000001E-2</v>
      </c>
      <c r="E1065" s="1">
        <v>1.1635E-2</v>
      </c>
      <c r="F1065" s="1">
        <v>1.0949000000000001E-6</v>
      </c>
      <c r="G1065" s="1">
        <v>6.7502000000000004</v>
      </c>
      <c r="H1065" s="1">
        <v>1.8211999999999999E-7</v>
      </c>
      <c r="I1065" s="1">
        <f t="shared" si="144"/>
        <v>1.8211999999999999E-7</v>
      </c>
      <c r="J1065" s="4">
        <f t="shared" si="145"/>
        <v>-1.6625953551835984E-8</v>
      </c>
      <c r="K1065" s="4">
        <f t="shared" si="146"/>
        <v>-2.463251418151124E-8</v>
      </c>
      <c r="L1065" s="4">
        <f t="shared" si="147"/>
        <v>-7.3315563395517592E-9</v>
      </c>
      <c r="M1065" s="4">
        <f t="shared" si="149"/>
        <v>-7.6247313394653354E-9</v>
      </c>
      <c r="N1065" s="5">
        <f t="shared" si="150"/>
        <v>1.3863085066079034E-7</v>
      </c>
      <c r="O1065" s="5">
        <f t="shared" si="151"/>
        <v>1.2628240261719766E-6</v>
      </c>
      <c r="P1065" s="5">
        <f t="shared" si="152"/>
        <v>3.9854512316723667E-7</v>
      </c>
      <c r="Q1065" s="1">
        <f t="shared" si="148"/>
        <v>1.8000000000000037E-6</v>
      </c>
    </row>
    <row r="1066" spans="1:17" x14ac:dyDescent="0.25">
      <c r="A1066" s="1">
        <v>53.2</v>
      </c>
      <c r="B1066" s="1">
        <v>1.1299E-2</v>
      </c>
      <c r="C1066" s="1">
        <v>2.0056000000000002E-3</v>
      </c>
      <c r="D1066" s="1">
        <v>2.8365999999999999E-2</v>
      </c>
      <c r="E1066" s="1">
        <v>1.1605000000000001E-2</v>
      </c>
      <c r="F1066" s="1">
        <v>1.0919000000000001E-6</v>
      </c>
      <c r="G1066" s="1">
        <v>6.75</v>
      </c>
      <c r="H1066" s="1">
        <v>1.8217E-7</v>
      </c>
      <c r="I1066" s="1">
        <f t="shared" si="144"/>
        <v>1.8217E-7</v>
      </c>
      <c r="J1066" s="4">
        <f t="shared" si="145"/>
        <v>-1.6619149694358213E-8</v>
      </c>
      <c r="K1066" s="4">
        <f t="shared" si="146"/>
        <v>-2.4625068510355644E-8</v>
      </c>
      <c r="L1066" s="4">
        <f t="shared" si="147"/>
        <v>-7.3290693011189136E-9</v>
      </c>
      <c r="M1066" s="4">
        <f t="shared" si="149"/>
        <v>-7.6212189722784492E-9</v>
      </c>
      <c r="N1066" s="5">
        <f t="shared" si="150"/>
        <v>1.3930770017566888E-7</v>
      </c>
      <c r="O1066" s="5">
        <f t="shared" si="151"/>
        <v>1.2624393263282578E-6</v>
      </c>
      <c r="P1066" s="5">
        <f t="shared" si="152"/>
        <v>3.9825297349607712E-7</v>
      </c>
      <c r="Q1066" s="1">
        <f t="shared" si="148"/>
        <v>1.8000000000000039E-6</v>
      </c>
    </row>
    <row r="1067" spans="1:17" x14ac:dyDescent="0.25">
      <c r="A1067" s="1">
        <v>53.25</v>
      </c>
      <c r="B1067" s="1">
        <v>1.1277000000000001E-2</v>
      </c>
      <c r="C1067" s="1">
        <v>1.9995999999999998E-3</v>
      </c>
      <c r="D1067" s="1">
        <v>2.8379999999999999E-2</v>
      </c>
      <c r="E1067" s="1">
        <v>1.1575E-2</v>
      </c>
      <c r="F1067" s="1">
        <v>1.0889000000000001E-6</v>
      </c>
      <c r="G1067" s="1">
        <v>6.7499000000000002</v>
      </c>
      <c r="H1067" s="1">
        <v>1.8223000000000001E-7</v>
      </c>
      <c r="I1067" s="1">
        <f t="shared" si="144"/>
        <v>1.8223000000000001E-7</v>
      </c>
      <c r="J1067" s="4">
        <f t="shared" si="145"/>
        <v>-1.6608899397362804E-8</v>
      </c>
      <c r="K1067" s="4">
        <f t="shared" si="146"/>
        <v>-2.4617566863399625E-8</v>
      </c>
      <c r="L1067" s="4">
        <f t="shared" si="147"/>
        <v>-7.3257354304564582E-9</v>
      </c>
      <c r="M1067" s="4">
        <f t="shared" si="149"/>
        <v>-7.6177231390865059E-9</v>
      </c>
      <c r="N1067" s="5">
        <f t="shared" si="150"/>
        <v>1.3999063221124921E-7</v>
      </c>
      <c r="O1067" s="5">
        <f t="shared" si="151"/>
        <v>1.2620483820013075E-6</v>
      </c>
      <c r="P1067" s="5">
        <f t="shared" si="152"/>
        <v>3.9796098578744706E-7</v>
      </c>
      <c r="Q1067" s="1">
        <f t="shared" si="148"/>
        <v>1.8000000000000037E-6</v>
      </c>
    </row>
    <row r="1068" spans="1:17" x14ac:dyDescent="0.25">
      <c r="A1068" s="1">
        <v>53.3</v>
      </c>
      <c r="B1068" s="1">
        <v>1.1254E-2</v>
      </c>
      <c r="C1068" s="1">
        <v>1.9935E-3</v>
      </c>
      <c r="D1068" s="1">
        <v>2.8393999999999999E-2</v>
      </c>
      <c r="E1068" s="1">
        <v>1.1545E-2</v>
      </c>
      <c r="F1068" s="1">
        <v>1.0860000000000001E-6</v>
      </c>
      <c r="G1068" s="1">
        <v>6.7497999999999996</v>
      </c>
      <c r="H1068" s="1">
        <v>1.8227999999999999E-7</v>
      </c>
      <c r="I1068" s="1">
        <f t="shared" si="144"/>
        <v>1.8227999999999999E-7</v>
      </c>
      <c r="J1068" s="4">
        <f t="shared" si="145"/>
        <v>-1.6598734198279818E-8</v>
      </c>
      <c r="K1068" s="4">
        <f t="shared" si="146"/>
        <v>-2.4609943449024098E-8</v>
      </c>
      <c r="L1068" s="4">
        <f t="shared" si="147"/>
        <v>-7.3224441696401764E-9</v>
      </c>
      <c r="M1068" s="4">
        <f t="shared" si="149"/>
        <v>-7.6146451962044471E-9</v>
      </c>
      <c r="N1068" s="5">
        <f t="shared" si="150"/>
        <v>1.4067939729235331E-7</v>
      </c>
      <c r="O1068" s="5">
        <f t="shared" si="151"/>
        <v>1.2616518179467676E-6</v>
      </c>
      <c r="P1068" s="5">
        <f t="shared" si="152"/>
        <v>3.9766878476088278E-7</v>
      </c>
      <c r="Q1068" s="1">
        <f t="shared" si="148"/>
        <v>1.8000000000000037E-6</v>
      </c>
    </row>
    <row r="1069" spans="1:17" x14ac:dyDescent="0.25">
      <c r="A1069" s="1">
        <v>53.35</v>
      </c>
      <c r="B1069" s="1">
        <v>1.1231E-2</v>
      </c>
      <c r="C1069" s="1">
        <v>1.9875000000000001E-3</v>
      </c>
      <c r="D1069" s="1">
        <v>2.8409E-2</v>
      </c>
      <c r="E1069" s="1">
        <v>1.1514999999999999E-2</v>
      </c>
      <c r="F1069" s="1">
        <v>1.083E-6</v>
      </c>
      <c r="G1069" s="1">
        <v>6.7496</v>
      </c>
      <c r="H1069" s="1">
        <v>1.8232999999999999E-7</v>
      </c>
      <c r="I1069" s="1">
        <f t="shared" si="144"/>
        <v>1.8232999999999999E-7</v>
      </c>
      <c r="J1069" s="4">
        <f t="shared" si="145"/>
        <v>-1.6591671844902651E-8</v>
      </c>
      <c r="K1069" s="4">
        <f t="shared" si="146"/>
        <v>-2.460221044996407E-8</v>
      </c>
      <c r="L1069" s="4">
        <f t="shared" si="147"/>
        <v>-7.3198529789596179E-9</v>
      </c>
      <c r="M1069" s="4">
        <f t="shared" si="149"/>
        <v>-7.6111419390530877E-9</v>
      </c>
      <c r="N1069" s="5">
        <f t="shared" si="150"/>
        <v>1.4137008291845512E-7</v>
      </c>
      <c r="O1069" s="5">
        <f t="shared" si="151"/>
        <v>1.2612524212807592E-6</v>
      </c>
      <c r="P1069" s="5">
        <f t="shared" si="152"/>
        <v>3.9737749580078934E-7</v>
      </c>
      <c r="Q1069" s="1">
        <f t="shared" si="148"/>
        <v>1.8000000000000037E-6</v>
      </c>
    </row>
    <row r="1070" spans="1:17" x14ac:dyDescent="0.25">
      <c r="A1070" s="1">
        <v>53.4</v>
      </c>
      <c r="B1070" s="1">
        <v>1.1209E-2</v>
      </c>
      <c r="C1070" s="1">
        <v>1.9815000000000002E-3</v>
      </c>
      <c r="D1070" s="1">
        <v>2.8423E-2</v>
      </c>
      <c r="E1070" s="1">
        <v>1.1485E-2</v>
      </c>
      <c r="F1070" s="1">
        <v>1.0801E-6</v>
      </c>
      <c r="G1070" s="1">
        <v>6.7495000000000003</v>
      </c>
      <c r="H1070" s="1">
        <v>1.8238E-7</v>
      </c>
      <c r="I1070" s="1">
        <f t="shared" si="144"/>
        <v>1.8238E-7</v>
      </c>
      <c r="J1070" s="4">
        <f t="shared" si="145"/>
        <v>-1.6581141518413449E-8</v>
      </c>
      <c r="K1070" s="4">
        <f t="shared" si="146"/>
        <v>-2.4594422214973409E-8</v>
      </c>
      <c r="L1070" s="4">
        <f t="shared" si="147"/>
        <v>-7.3164095570249602E-9</v>
      </c>
      <c r="M1070" s="4">
        <f t="shared" si="149"/>
        <v>-7.6076530749821487E-9</v>
      </c>
      <c r="N1070" s="5">
        <f t="shared" si="150"/>
        <v>1.4206695405799009E-7</v>
      </c>
      <c r="O1070" s="5">
        <f t="shared" si="151"/>
        <v>1.2608467936591815E-6</v>
      </c>
      <c r="P1070" s="5">
        <f t="shared" si="152"/>
        <v>3.9708625228283211E-7</v>
      </c>
      <c r="Q1070" s="1">
        <f t="shared" si="148"/>
        <v>1.8000000000000035E-6</v>
      </c>
    </row>
    <row r="1071" spans="1:17" x14ac:dyDescent="0.25">
      <c r="A1071" s="1">
        <v>53.45</v>
      </c>
      <c r="B1071" s="1">
        <v>1.1186E-2</v>
      </c>
      <c r="C1071" s="1">
        <v>1.9754E-3</v>
      </c>
      <c r="D1071" s="1">
        <v>2.8437E-2</v>
      </c>
      <c r="E1071" s="1">
        <v>1.1455999999999999E-2</v>
      </c>
      <c r="F1071" s="1">
        <v>1.0771E-6</v>
      </c>
      <c r="G1071" s="1">
        <v>6.7493999999999996</v>
      </c>
      <c r="H1071" s="1">
        <v>1.8244000000000001E-7</v>
      </c>
      <c r="I1071" s="1">
        <f t="shared" si="144"/>
        <v>1.8244000000000001E-7</v>
      </c>
      <c r="J1071" s="4">
        <f t="shared" si="145"/>
        <v>-1.6573758309599984E-8</v>
      </c>
      <c r="K1071" s="4">
        <f t="shared" si="146"/>
        <v>-2.4586512476356136E-8</v>
      </c>
      <c r="L1071" s="4">
        <f t="shared" si="147"/>
        <v>-7.3136829818617424E-9</v>
      </c>
      <c r="M1071" s="4">
        <f t="shared" si="149"/>
        <v>-7.6041620225916543E-9</v>
      </c>
      <c r="N1071" s="5">
        <f t="shared" si="150"/>
        <v>1.4276602524288451E-7</v>
      </c>
      <c r="O1071" s="5">
        <f t="shared" si="151"/>
        <v>1.2604382015150168E-6</v>
      </c>
      <c r="P1071" s="5">
        <f t="shared" si="152"/>
        <v>3.9679577324210221E-7</v>
      </c>
      <c r="Q1071" s="1">
        <f t="shared" si="148"/>
        <v>1.8000000000000035E-6</v>
      </c>
    </row>
    <row r="1072" spans="1:17" x14ac:dyDescent="0.25">
      <c r="A1072" s="1">
        <v>53.5</v>
      </c>
      <c r="B1072" s="1">
        <v>1.1164E-2</v>
      </c>
      <c r="C1072" s="1">
        <v>1.9694000000000001E-3</v>
      </c>
      <c r="D1072" s="1">
        <v>2.8452000000000002E-2</v>
      </c>
      <c r="E1072" s="1">
        <v>1.1426E-2</v>
      </c>
      <c r="F1072" s="1">
        <v>1.0742E-6</v>
      </c>
      <c r="G1072" s="1">
        <v>6.7492000000000001</v>
      </c>
      <c r="H1072" s="1">
        <v>1.8248999999999999E-7</v>
      </c>
      <c r="I1072" s="1">
        <f t="shared" si="144"/>
        <v>1.8248999999999999E-7</v>
      </c>
      <c r="J1072" s="4">
        <f t="shared" si="145"/>
        <v>-1.6562920612344197E-8</v>
      </c>
      <c r="K1072" s="4">
        <f t="shared" si="146"/>
        <v>-2.4578544929541432E-8</v>
      </c>
      <c r="L1072" s="4">
        <f t="shared" si="147"/>
        <v>-7.3107510622998102E-9</v>
      </c>
      <c r="M1072" s="4">
        <f t="shared" si="149"/>
        <v>-7.6010991913799259E-9</v>
      </c>
      <c r="N1072" s="5">
        <f t="shared" si="150"/>
        <v>1.4347089849778194E-7</v>
      </c>
      <c r="O1072" s="5">
        <f t="shared" si="151"/>
        <v>1.2600236763891995E-6</v>
      </c>
      <c r="P1072" s="5">
        <f t="shared" si="152"/>
        <v>3.9650542511302206E-7</v>
      </c>
      <c r="Q1072" s="1">
        <f t="shared" si="148"/>
        <v>1.8000000000000035E-6</v>
      </c>
    </row>
    <row r="1073" spans="1:17" x14ac:dyDescent="0.25">
      <c r="A1073" s="1">
        <v>53.55</v>
      </c>
      <c r="B1073" s="1">
        <v>1.1141E-2</v>
      </c>
      <c r="C1073" s="1">
        <v>1.9634000000000001E-3</v>
      </c>
      <c r="D1073" s="1">
        <v>2.8466000000000002E-2</v>
      </c>
      <c r="E1073" s="1">
        <v>1.1396E-2</v>
      </c>
      <c r="F1073" s="1">
        <v>1.0712E-6</v>
      </c>
      <c r="G1073" s="1">
        <v>6.7491000000000003</v>
      </c>
      <c r="H1073" s="1">
        <v>1.8253999999999999E-7</v>
      </c>
      <c r="I1073" s="1">
        <f t="shared" si="144"/>
        <v>1.8253999999999999E-7</v>
      </c>
      <c r="J1073" s="4">
        <f t="shared" si="145"/>
        <v>-1.655518789524487E-8</v>
      </c>
      <c r="K1073" s="4">
        <f t="shared" si="146"/>
        <v>-2.4570461689587991E-8</v>
      </c>
      <c r="L1073" s="4">
        <f t="shared" si="147"/>
        <v>-7.3078779007441052E-9</v>
      </c>
      <c r="M1073" s="4">
        <f t="shared" si="149"/>
        <v>-7.5976188780314847E-9</v>
      </c>
      <c r="N1073" s="5">
        <f t="shared" si="150"/>
        <v>1.4417829439138096E-7</v>
      </c>
      <c r="O1073" s="5">
        <f t="shared" si="151"/>
        <v>1.259606021472888E-6</v>
      </c>
      <c r="P1073" s="5">
        <f t="shared" si="152"/>
        <v>3.962156841357347E-7</v>
      </c>
      <c r="Q1073" s="1">
        <f t="shared" si="148"/>
        <v>1.8000000000000037E-6</v>
      </c>
    </row>
    <row r="1074" spans="1:17" x14ac:dyDescent="0.25">
      <c r="A1074" s="1">
        <v>53.6</v>
      </c>
      <c r="B1074" s="1">
        <v>1.1119E-2</v>
      </c>
      <c r="C1074" s="1">
        <v>1.9574000000000002E-3</v>
      </c>
      <c r="D1074" s="1">
        <v>2.8479999999999998E-2</v>
      </c>
      <c r="E1074" s="1">
        <v>1.1367E-2</v>
      </c>
      <c r="F1074" s="1">
        <v>1.0683E-6</v>
      </c>
      <c r="G1074" s="1">
        <v>6.7489999999999997</v>
      </c>
      <c r="H1074" s="1">
        <v>1.8259E-7</v>
      </c>
      <c r="I1074" s="1">
        <f t="shared" si="144"/>
        <v>1.8259E-7</v>
      </c>
      <c r="J1074" s="4">
        <f t="shared" si="145"/>
        <v>-1.6544018672544718E-8</v>
      </c>
      <c r="K1074" s="4">
        <f t="shared" si="146"/>
        <v>-2.4562317418723409E-8</v>
      </c>
      <c r="L1074" s="4">
        <f t="shared" si="147"/>
        <v>-7.3041718884253748E-9</v>
      </c>
      <c r="M1074" s="4">
        <f t="shared" si="149"/>
        <v>-7.5941471531250336E-9</v>
      </c>
      <c r="N1074" s="5">
        <f t="shared" si="150"/>
        <v>1.448924212491343E-7</v>
      </c>
      <c r="O1074" s="5">
        <f t="shared" si="151"/>
        <v>1.2591818698798344E-6</v>
      </c>
      <c r="P1074" s="5">
        <f t="shared" si="152"/>
        <v>3.9592570887103508E-7</v>
      </c>
      <c r="Q1074" s="1">
        <f t="shared" si="148"/>
        <v>1.8000000000000037E-6</v>
      </c>
    </row>
    <row r="1075" spans="1:17" x14ac:dyDescent="0.25">
      <c r="A1075" s="1">
        <v>53.65</v>
      </c>
      <c r="B1075" s="1">
        <v>1.1096E-2</v>
      </c>
      <c r="C1075" s="1">
        <v>1.9514000000000001E-3</v>
      </c>
      <c r="D1075" s="1">
        <v>2.8493999999999998E-2</v>
      </c>
      <c r="E1075" s="1">
        <v>1.1337E-2</v>
      </c>
      <c r="F1075" s="1">
        <v>1.0653E-6</v>
      </c>
      <c r="G1075" s="1">
        <v>6.7488000000000001</v>
      </c>
      <c r="H1075" s="1">
        <v>1.8264E-7</v>
      </c>
      <c r="I1075" s="1">
        <f t="shared" si="144"/>
        <v>1.8264E-7</v>
      </c>
      <c r="J1075" s="4">
        <f t="shared" si="145"/>
        <v>-1.6536063319871752E-8</v>
      </c>
      <c r="K1075" s="4">
        <f t="shared" si="146"/>
        <v>-2.4554046462655379E-8</v>
      </c>
      <c r="L1075" s="4">
        <f t="shared" si="147"/>
        <v>-7.3018491228257608E-9</v>
      </c>
      <c r="M1075" s="4">
        <f t="shared" si="149"/>
        <v>-7.5906678941896104E-9</v>
      </c>
      <c r="N1075" s="5">
        <f t="shared" si="150"/>
        <v>1.4560855526909217E-7</v>
      </c>
      <c r="O1075" s="5">
        <f t="shared" si="151"/>
        <v>1.2587545546312405E-6</v>
      </c>
      <c r="P1075" s="5">
        <f t="shared" si="152"/>
        <v>3.9563689009967122E-7</v>
      </c>
      <c r="Q1075" s="1">
        <f t="shared" si="148"/>
        <v>1.8000000000000039E-6</v>
      </c>
    </row>
    <row r="1076" spans="1:17" x14ac:dyDescent="0.25">
      <c r="A1076" s="1">
        <v>53.7</v>
      </c>
      <c r="B1076" s="1">
        <v>1.1074000000000001E-2</v>
      </c>
      <c r="C1076" s="1">
        <v>1.9453999999999999E-3</v>
      </c>
      <c r="D1076" s="1">
        <v>2.8507999999999999E-2</v>
      </c>
      <c r="E1076" s="1">
        <v>1.1308E-2</v>
      </c>
      <c r="F1076" s="1">
        <v>1.0624E-6</v>
      </c>
      <c r="G1076" s="1">
        <v>6.7487000000000004</v>
      </c>
      <c r="H1076" s="1">
        <v>1.8269E-7</v>
      </c>
      <c r="I1076" s="1">
        <f t="shared" si="144"/>
        <v>1.8269E-7</v>
      </c>
      <c r="J1076" s="4">
        <f t="shared" si="145"/>
        <v>-1.6524592057168708E-8</v>
      </c>
      <c r="K1076" s="4">
        <f t="shared" si="146"/>
        <v>-2.4545713815311284E-8</v>
      </c>
      <c r="L1076" s="4">
        <f t="shared" si="147"/>
        <v>-7.2980202349695377E-9</v>
      </c>
      <c r="M1076" s="4">
        <f t="shared" si="149"/>
        <v>-7.5872077688200609E-9</v>
      </c>
      <c r="N1076" s="5">
        <f t="shared" si="150"/>
        <v>1.4633165679226519E-7</v>
      </c>
      <c r="O1076" s="5">
        <f t="shared" si="151"/>
        <v>1.258320640641918E-6</v>
      </c>
      <c r="P1076" s="5">
        <f t="shared" si="152"/>
        <v>3.9534770256582069E-7</v>
      </c>
      <c r="Q1076" s="1">
        <f t="shared" si="148"/>
        <v>1.8000000000000037E-6</v>
      </c>
    </row>
    <row r="1077" spans="1:17" x14ac:dyDescent="0.25">
      <c r="A1077" s="1">
        <v>53.75</v>
      </c>
      <c r="B1077" s="1">
        <v>1.1051999999999999E-2</v>
      </c>
      <c r="C1077" s="1">
        <v>1.9395E-3</v>
      </c>
      <c r="D1077" s="1">
        <v>2.8521999999999999E-2</v>
      </c>
      <c r="E1077" s="1">
        <v>1.1278E-2</v>
      </c>
      <c r="F1077" s="1">
        <v>1.0594E-6</v>
      </c>
      <c r="G1077" s="1">
        <v>6.7485999999999997</v>
      </c>
      <c r="H1077" s="1">
        <v>1.8274999999999999E-7</v>
      </c>
      <c r="I1077" s="1">
        <f t="shared" si="144"/>
        <v>1.8274999999999999E-7</v>
      </c>
      <c r="J1077" s="4">
        <f t="shared" si="145"/>
        <v>-1.6516362791188194E-8</v>
      </c>
      <c r="K1077" s="4">
        <f t="shared" si="146"/>
        <v>-2.4537252492516003E-8</v>
      </c>
      <c r="L1077" s="4">
        <f t="shared" si="147"/>
        <v>-7.2955871266701603E-9</v>
      </c>
      <c r="M1077" s="4">
        <f t="shared" si="149"/>
        <v>-7.583737537083297E-9</v>
      </c>
      <c r="N1077" s="5">
        <f t="shared" si="150"/>
        <v>1.4705695936692284E-7</v>
      </c>
      <c r="O1077" s="5">
        <f t="shared" si="151"/>
        <v>1.2578834884776735E-6</v>
      </c>
      <c r="P1077" s="5">
        <f t="shared" si="152"/>
        <v>3.9505955215540758E-7</v>
      </c>
      <c r="Q1077" s="1">
        <f t="shared" si="148"/>
        <v>1.8000000000000039E-6</v>
      </c>
    </row>
    <row r="1078" spans="1:17" x14ac:dyDescent="0.25">
      <c r="A1078" s="1">
        <v>53.8</v>
      </c>
      <c r="B1078" s="1">
        <v>1.103E-2</v>
      </c>
      <c r="C1078" s="1">
        <v>1.9335000000000001E-3</v>
      </c>
      <c r="D1078" s="1">
        <v>2.8537E-2</v>
      </c>
      <c r="E1078" s="1">
        <v>1.1249E-2</v>
      </c>
      <c r="F1078" s="1">
        <v>1.0565E-6</v>
      </c>
      <c r="G1078" s="1">
        <v>6.7484000000000002</v>
      </c>
      <c r="H1078" s="1">
        <v>1.828E-7</v>
      </c>
      <c r="I1078" s="1">
        <f t="shared" si="144"/>
        <v>1.828E-7</v>
      </c>
      <c r="J1078" s="4">
        <f t="shared" si="145"/>
        <v>-1.6504619603285574E-8</v>
      </c>
      <c r="K1078" s="4">
        <f t="shared" si="146"/>
        <v>-2.4528728025313242E-8</v>
      </c>
      <c r="L1078" s="4">
        <f t="shared" si="147"/>
        <v>-7.2916487117830577E-9</v>
      </c>
      <c r="M1078" s="4">
        <f t="shared" si="149"/>
        <v>-7.5806989814216461E-9</v>
      </c>
      <c r="N1078" s="5">
        <f t="shared" si="150"/>
        <v>1.4778941907716744E-7</v>
      </c>
      <c r="O1078" s="5">
        <f t="shared" si="151"/>
        <v>1.2574400790370675E-6</v>
      </c>
      <c r="P1078" s="5">
        <f t="shared" si="152"/>
        <v>3.9477050188576898E-7</v>
      </c>
      <c r="Q1078" s="1">
        <f t="shared" si="148"/>
        <v>1.8000000000000039E-6</v>
      </c>
    </row>
    <row r="1079" spans="1:17" x14ac:dyDescent="0.25">
      <c r="A1079" s="1">
        <v>53.85</v>
      </c>
      <c r="B1079" s="1">
        <v>1.1008E-2</v>
      </c>
      <c r="C1079" s="1">
        <v>1.9275E-3</v>
      </c>
      <c r="D1079" s="1">
        <v>2.8551E-2</v>
      </c>
      <c r="E1079" s="1">
        <v>1.1220000000000001E-2</v>
      </c>
      <c r="F1079" s="1">
        <v>1.0536E-6</v>
      </c>
      <c r="G1079" s="1">
        <v>6.7483000000000004</v>
      </c>
      <c r="H1079" s="1">
        <v>1.8285E-7</v>
      </c>
      <c r="I1079" s="1">
        <f t="shared" si="144"/>
        <v>1.8285E-7</v>
      </c>
      <c r="J1079" s="4">
        <f t="shared" si="145"/>
        <v>-1.6496140420595053E-8</v>
      </c>
      <c r="K1079" s="4">
        <f t="shared" si="146"/>
        <v>-2.4520081541224907E-8</v>
      </c>
      <c r="L1079" s="4">
        <f t="shared" si="147"/>
        <v>-7.2891159195815047E-9</v>
      </c>
      <c r="M1079" s="4">
        <f t="shared" si="149"/>
        <v>-7.5772250131960946E-9</v>
      </c>
      <c r="N1079" s="5">
        <f t="shared" si="150"/>
        <v>1.4852424427821578E-7</v>
      </c>
      <c r="O1079" s="5">
        <f t="shared" si="151"/>
        <v>1.2569933629296337E-6</v>
      </c>
      <c r="P1079" s="5">
        <f t="shared" si="152"/>
        <v>3.9448239279215439E-7</v>
      </c>
      <c r="Q1079" s="1">
        <f t="shared" si="148"/>
        <v>1.8000000000000039E-6</v>
      </c>
    </row>
    <row r="1080" spans="1:17" x14ac:dyDescent="0.25">
      <c r="A1080" s="1">
        <v>53.9</v>
      </c>
      <c r="B1080" s="1">
        <v>1.0985999999999999E-2</v>
      </c>
      <c r="C1080" s="1">
        <v>1.9216000000000001E-3</v>
      </c>
      <c r="D1080" s="1">
        <v>2.8565E-2</v>
      </c>
      <c r="E1080" s="1">
        <v>1.1191E-2</v>
      </c>
      <c r="F1080" s="1">
        <v>1.0505999999999999E-6</v>
      </c>
      <c r="G1080" s="1">
        <v>6.7481999999999998</v>
      </c>
      <c r="H1080" s="1">
        <v>1.829E-7</v>
      </c>
      <c r="I1080" s="1">
        <f t="shared" si="144"/>
        <v>1.829E-7</v>
      </c>
      <c r="J1080" s="4">
        <f t="shared" si="145"/>
        <v>-1.6487274747767266E-8</v>
      </c>
      <c r="K1080" s="4">
        <f t="shared" si="146"/>
        <v>-2.4511370577126467E-8</v>
      </c>
      <c r="L1080" s="4">
        <f t="shared" si="147"/>
        <v>-7.2864177494332513E-9</v>
      </c>
      <c r="M1080" s="4">
        <f t="shared" si="149"/>
        <v>-7.5737660798143384E-9</v>
      </c>
      <c r="N1080" s="5">
        <f t="shared" si="150"/>
        <v>1.4926192235814174E-7</v>
      </c>
      <c r="O1080" s="5">
        <f t="shared" si="151"/>
        <v>1.2565430331800888E-6</v>
      </c>
      <c r="P1080" s="5">
        <f t="shared" si="152"/>
        <v>3.9419504446177329E-7</v>
      </c>
      <c r="Q1080" s="1">
        <f t="shared" si="148"/>
        <v>1.8000000000000039E-6</v>
      </c>
    </row>
    <row r="1081" spans="1:17" x14ac:dyDescent="0.25">
      <c r="A1081" s="1">
        <v>53.95</v>
      </c>
      <c r="B1081" s="1">
        <v>1.0964E-2</v>
      </c>
      <c r="C1081" s="1">
        <v>1.9155999999999999E-3</v>
      </c>
      <c r="D1081" s="1">
        <v>2.8579E-2</v>
      </c>
      <c r="E1081" s="1">
        <v>1.1161000000000001E-2</v>
      </c>
      <c r="F1081" s="1">
        <v>1.0476999999999999E-6</v>
      </c>
      <c r="G1081" s="1">
        <v>6.7480000000000002</v>
      </c>
      <c r="H1081" s="1">
        <v>1.8295000000000001E-7</v>
      </c>
      <c r="I1081" s="1">
        <f t="shared" si="144"/>
        <v>1.8295000000000001E-7</v>
      </c>
      <c r="J1081" s="4">
        <f t="shared" si="145"/>
        <v>-1.6474939315632862E-8</v>
      </c>
      <c r="K1081" s="4">
        <f t="shared" si="146"/>
        <v>-2.4502589147013823E-8</v>
      </c>
      <c r="L1081" s="4">
        <f t="shared" si="147"/>
        <v>-7.2828844508583332E-9</v>
      </c>
      <c r="M1081" s="4">
        <f t="shared" si="149"/>
        <v>-7.5703187313667715E-9</v>
      </c>
      <c r="N1081" s="5">
        <f t="shared" si="150"/>
        <v>1.5000668773866438E-7</v>
      </c>
      <c r="O1081" s="5">
        <f t="shared" si="151"/>
        <v>1.2560857020800746E-6</v>
      </c>
      <c r="P1081" s="5">
        <f t="shared" si="152"/>
        <v>3.9390761018126486E-7</v>
      </c>
      <c r="Q1081" s="1">
        <f t="shared" si="148"/>
        <v>1.8000000000000039E-6</v>
      </c>
    </row>
    <row r="1082" spans="1:17" x14ac:dyDescent="0.25">
      <c r="A1082" s="1">
        <v>54</v>
      </c>
      <c r="B1082" s="1">
        <v>1.0942E-2</v>
      </c>
      <c r="C1082" s="1">
        <v>1.9097000000000001E-3</v>
      </c>
      <c r="D1082" s="1">
        <v>2.8593E-2</v>
      </c>
      <c r="E1082" s="1">
        <v>1.1132E-2</v>
      </c>
      <c r="F1082" s="1">
        <v>1.0447999999999999E-6</v>
      </c>
      <c r="G1082" s="1">
        <v>6.7478999999999996</v>
      </c>
      <c r="H1082" s="1">
        <v>1.8300000000000001E-7</v>
      </c>
      <c r="I1082" s="1">
        <f t="shared" si="144"/>
        <v>1.8300000000000001E-7</v>
      </c>
      <c r="J1082" s="4">
        <f t="shared" si="145"/>
        <v>-1.6465863446546849E-8</v>
      </c>
      <c r="K1082" s="4">
        <f t="shared" si="146"/>
        <v>-2.4493671190560061E-8</v>
      </c>
      <c r="L1082" s="4">
        <f t="shared" si="147"/>
        <v>-7.2794534026598646E-9</v>
      </c>
      <c r="M1082" s="4">
        <f t="shared" si="149"/>
        <v>-7.5668667146791237E-9</v>
      </c>
      <c r="N1082" s="5">
        <f t="shared" si="150"/>
        <v>1.5075504208001772E-7</v>
      </c>
      <c r="O1082" s="5">
        <f t="shared" si="151"/>
        <v>1.2556247610507405E-6</v>
      </c>
      <c r="P1082" s="5">
        <f t="shared" si="152"/>
        <v>3.9362019686924556E-7</v>
      </c>
      <c r="Q1082" s="1">
        <f t="shared" si="148"/>
        <v>1.8000000000000039E-6</v>
      </c>
    </row>
    <row r="1083" spans="1:17" x14ac:dyDescent="0.25">
      <c r="A1083" s="1">
        <v>54.05</v>
      </c>
      <c r="B1083" s="1">
        <v>1.0919999999999999E-2</v>
      </c>
      <c r="C1083" s="1">
        <v>1.9036999999999999E-3</v>
      </c>
      <c r="D1083" s="1">
        <v>2.8607E-2</v>
      </c>
      <c r="E1083" s="1">
        <v>1.1103E-2</v>
      </c>
      <c r="F1083" s="1">
        <v>1.0417999999999999E-6</v>
      </c>
      <c r="G1083" s="1">
        <v>6.7477999999999998</v>
      </c>
      <c r="H1083" s="1">
        <v>1.8304999999999999E-7</v>
      </c>
      <c r="I1083" s="1">
        <f t="shared" si="144"/>
        <v>1.8304999999999999E-7</v>
      </c>
      <c r="J1083" s="4">
        <f t="shared" si="145"/>
        <v>-1.6456526525003419E-8</v>
      </c>
      <c r="K1083" s="4">
        <f t="shared" si="146"/>
        <v>-2.4484682840488048E-8</v>
      </c>
      <c r="L1083" s="4">
        <f t="shared" si="147"/>
        <v>-7.276563180482418E-9</v>
      </c>
      <c r="M1083" s="4">
        <f t="shared" si="149"/>
        <v>-7.5634120828421237E-9</v>
      </c>
      <c r="N1083" s="5">
        <f t="shared" si="150"/>
        <v>1.5150663521501993E-7</v>
      </c>
      <c r="O1083" s="5">
        <f t="shared" si="151"/>
        <v>1.255160016818098E-6</v>
      </c>
      <c r="P1083" s="5">
        <f t="shared" si="152"/>
        <v>3.9333334796688584E-7</v>
      </c>
      <c r="Q1083" s="1">
        <f t="shared" si="148"/>
        <v>1.8000000000000037E-6</v>
      </c>
    </row>
    <row r="1084" spans="1:17" x14ac:dyDescent="0.25">
      <c r="A1084" s="1">
        <v>54.1</v>
      </c>
      <c r="B1084" s="1">
        <v>1.0898E-2</v>
      </c>
      <c r="C1084" s="1">
        <v>1.8978000000000001E-3</v>
      </c>
      <c r="D1084" s="1">
        <v>2.862E-2</v>
      </c>
      <c r="E1084" s="1">
        <v>1.1074000000000001E-2</v>
      </c>
      <c r="F1084" s="1">
        <v>1.0388999999999999E-6</v>
      </c>
      <c r="G1084" s="1">
        <v>6.7477</v>
      </c>
      <c r="H1084" s="1">
        <v>1.8309999999999999E-7</v>
      </c>
      <c r="I1084" s="1">
        <f t="shared" si="144"/>
        <v>1.8309999999999999E-7</v>
      </c>
      <c r="J1084" s="4">
        <f t="shared" si="145"/>
        <v>-1.6443730837232265E-8</v>
      </c>
      <c r="K1084" s="4">
        <f t="shared" si="146"/>
        <v>-2.4475620327954996E-8</v>
      </c>
      <c r="L1084" s="4">
        <f t="shared" si="147"/>
        <v>-7.2728468560762918E-9</v>
      </c>
      <c r="M1084" s="4">
        <f t="shared" si="149"/>
        <v>-7.5599652812611812E-9</v>
      </c>
      <c r="N1084" s="5">
        <f t="shared" si="150"/>
        <v>1.5226567784966639E-7</v>
      </c>
      <c r="O1084" s="5">
        <f t="shared" si="151"/>
        <v>1.2546880926086364E-6</v>
      </c>
      <c r="P1084" s="5">
        <f t="shared" si="152"/>
        <v>3.9304622954170094E-7</v>
      </c>
      <c r="Q1084" s="1">
        <f t="shared" si="148"/>
        <v>1.8000000000000039E-6</v>
      </c>
    </row>
    <row r="1085" spans="1:17" x14ac:dyDescent="0.25">
      <c r="A1085" s="1">
        <v>54.15</v>
      </c>
      <c r="B1085" s="1">
        <v>1.0876E-2</v>
      </c>
      <c r="C1085" s="1">
        <v>1.8919E-3</v>
      </c>
      <c r="D1085" s="1">
        <v>2.8634E-2</v>
      </c>
      <c r="E1085" s="1">
        <v>1.1046E-2</v>
      </c>
      <c r="F1085" s="1">
        <v>1.0358999999999999E-6</v>
      </c>
      <c r="G1085" s="1">
        <v>6.7474999999999996</v>
      </c>
      <c r="H1085" s="1">
        <v>1.8315E-7</v>
      </c>
      <c r="I1085" s="1">
        <f t="shared" si="144"/>
        <v>1.8315E-7</v>
      </c>
      <c r="J1085" s="4">
        <f t="shared" si="145"/>
        <v>-1.6434235753273996E-8</v>
      </c>
      <c r="K1085" s="4">
        <f t="shared" si="146"/>
        <v>-2.446641780586702E-8</v>
      </c>
      <c r="L1085" s="4">
        <f t="shared" si="147"/>
        <v>-7.2698990849628301E-9</v>
      </c>
      <c r="M1085" s="4">
        <f t="shared" si="149"/>
        <v>-7.5565102860535418E-9</v>
      </c>
      <c r="N1085" s="5">
        <f t="shared" si="150"/>
        <v>1.5302796081729658E-7</v>
      </c>
      <c r="O1085" s="5">
        <f t="shared" si="151"/>
        <v>1.254212420842097E-6</v>
      </c>
      <c r="P1085" s="5">
        <f t="shared" si="152"/>
        <v>3.9275961834061023E-7</v>
      </c>
      <c r="Q1085" s="1">
        <f t="shared" si="148"/>
        <v>1.8000000000000039E-6</v>
      </c>
    </row>
    <row r="1086" spans="1:17" x14ac:dyDescent="0.25">
      <c r="A1086" s="1">
        <v>54.2</v>
      </c>
      <c r="B1086" s="1">
        <v>1.0854000000000001E-2</v>
      </c>
      <c r="C1086" s="1">
        <v>1.8860000000000001E-3</v>
      </c>
      <c r="D1086" s="1">
        <v>2.8648E-2</v>
      </c>
      <c r="E1086" s="1">
        <v>1.1017000000000001E-2</v>
      </c>
      <c r="F1086" s="1">
        <v>1.0330000000000001E-6</v>
      </c>
      <c r="G1086" s="1">
        <v>6.7473999999999998</v>
      </c>
      <c r="H1086" s="1">
        <v>1.832E-7</v>
      </c>
      <c r="I1086" s="1">
        <f t="shared" si="144"/>
        <v>1.832E-7</v>
      </c>
      <c r="J1086" s="4">
        <f t="shared" si="145"/>
        <v>-1.642125923701734E-8</v>
      </c>
      <c r="K1086" s="4">
        <f t="shared" si="146"/>
        <v>-2.4457142206422976E-8</v>
      </c>
      <c r="L1086" s="4">
        <f t="shared" si="147"/>
        <v>-7.2667757752503933E-9</v>
      </c>
      <c r="M1086" s="4">
        <f t="shared" si="149"/>
        <v>-7.5530620304043351E-9</v>
      </c>
      <c r="N1086" s="5">
        <f t="shared" si="150"/>
        <v>1.5379706801145183E-7</v>
      </c>
      <c r="O1086" s="5">
        <f t="shared" si="151"/>
        <v>1.2537295999030958E-6</v>
      </c>
      <c r="P1086" s="5">
        <f t="shared" si="152"/>
        <v>3.9247333208545629E-7</v>
      </c>
      <c r="Q1086" s="1">
        <f t="shared" si="148"/>
        <v>1.8000000000000039E-6</v>
      </c>
    </row>
    <row r="1087" spans="1:17" x14ac:dyDescent="0.25">
      <c r="A1087" s="1">
        <v>54.25</v>
      </c>
      <c r="B1087" s="1">
        <v>1.0832E-2</v>
      </c>
      <c r="C1087" s="1">
        <v>1.8801E-3</v>
      </c>
      <c r="D1087" s="1">
        <v>2.8662E-2</v>
      </c>
      <c r="E1087" s="1">
        <v>1.0988E-2</v>
      </c>
      <c r="F1087" s="1">
        <v>1.0301000000000001E-6</v>
      </c>
      <c r="G1087" s="1">
        <v>6.7473000000000001</v>
      </c>
      <c r="H1087" s="1">
        <v>1.8325E-7</v>
      </c>
      <c r="I1087" s="1">
        <f t="shared" si="144"/>
        <v>1.8325E-7</v>
      </c>
      <c r="J1087" s="4">
        <f t="shared" si="145"/>
        <v>-1.6411515950726283E-8</v>
      </c>
      <c r="K1087" s="4">
        <f t="shared" si="146"/>
        <v>-2.444772719810898E-8</v>
      </c>
      <c r="L1087" s="4">
        <f t="shared" si="147"/>
        <v>-7.2637321936203145E-9</v>
      </c>
      <c r="M1087" s="4">
        <f t="shared" si="149"/>
        <v>-7.5496170159954083E-9</v>
      </c>
      <c r="N1087" s="5">
        <f t="shared" si="150"/>
        <v>1.5456954706521422E-7</v>
      </c>
      <c r="O1087" s="5">
        <f t="shared" si="151"/>
        <v>1.2532430056717085E-6</v>
      </c>
      <c r="P1087" s="5">
        <f t="shared" si="152"/>
        <v>3.921874472630812E-7</v>
      </c>
      <c r="Q1087" s="1">
        <f t="shared" si="148"/>
        <v>1.8000000000000039E-6</v>
      </c>
    </row>
    <row r="1088" spans="1:17" x14ac:dyDescent="0.25">
      <c r="A1088" s="1">
        <v>54.3</v>
      </c>
      <c r="B1088" s="1">
        <v>1.0810999999999999E-2</v>
      </c>
      <c r="C1088" s="1">
        <v>1.8741999999999999E-3</v>
      </c>
      <c r="D1088" s="1">
        <v>2.8676E-2</v>
      </c>
      <c r="E1088" s="1">
        <v>1.0959E-2</v>
      </c>
      <c r="F1088" s="1">
        <v>1.0272000000000001E-6</v>
      </c>
      <c r="G1088" s="1">
        <v>6.7470999999999997</v>
      </c>
      <c r="H1088" s="1">
        <v>1.8330000000000001E-7</v>
      </c>
      <c r="I1088" s="1">
        <f t="shared" si="144"/>
        <v>1.8330000000000001E-7</v>
      </c>
      <c r="J1088" s="4">
        <f t="shared" si="145"/>
        <v>-1.6401467535386735E-8</v>
      </c>
      <c r="K1088" s="4">
        <f t="shared" si="146"/>
        <v>-2.4438238610596932E-8</v>
      </c>
      <c r="L1088" s="4">
        <f t="shared" si="147"/>
        <v>-7.2605591681112731E-9</v>
      </c>
      <c r="M1088" s="4">
        <f t="shared" si="149"/>
        <v>-7.5461767196503325E-9</v>
      </c>
      <c r="N1088" s="5">
        <f t="shared" si="150"/>
        <v>1.5534575897231313E-7</v>
      </c>
      <c r="O1088" s="5">
        <f t="shared" si="151"/>
        <v>1.2527524113161486E-6</v>
      </c>
      <c r="P1088" s="5">
        <f t="shared" si="152"/>
        <v>3.9190182971154211E-7</v>
      </c>
      <c r="Q1088" s="1">
        <f t="shared" si="148"/>
        <v>1.8000000000000039E-6</v>
      </c>
    </row>
    <row r="1089" spans="1:17" x14ac:dyDescent="0.25">
      <c r="A1089" s="1">
        <v>54.35</v>
      </c>
      <c r="B1089" s="1">
        <v>1.0789E-2</v>
      </c>
      <c r="C1089" s="1">
        <v>1.8683E-3</v>
      </c>
      <c r="D1089" s="1">
        <v>2.869E-2</v>
      </c>
      <c r="E1089" s="1">
        <v>1.0931E-2</v>
      </c>
      <c r="F1089" s="1">
        <v>1.0242000000000001E-6</v>
      </c>
      <c r="G1089" s="1">
        <v>6.7469999999999999</v>
      </c>
      <c r="H1089" s="1">
        <v>1.8335000000000001E-7</v>
      </c>
      <c r="I1089" s="1">
        <f t="shared" si="144"/>
        <v>1.8335000000000001E-7</v>
      </c>
      <c r="J1089" s="4">
        <f t="shared" si="145"/>
        <v>-1.6391149926673902E-8</v>
      </c>
      <c r="K1089" s="4">
        <f t="shared" si="146"/>
        <v>-2.442867202066698E-8</v>
      </c>
      <c r="L1089" s="4">
        <f t="shared" si="147"/>
        <v>-7.2572725855981322E-9</v>
      </c>
      <c r="M1089" s="4">
        <f t="shared" si="149"/>
        <v>-7.5427385655438391E-9</v>
      </c>
      <c r="N1089" s="5">
        <f t="shared" si="150"/>
        <v>1.5612600848070807E-7</v>
      </c>
      <c r="O1089" s="5">
        <f t="shared" si="151"/>
        <v>1.2522576277876993E-6</v>
      </c>
      <c r="P1089" s="5">
        <f t="shared" si="152"/>
        <v>3.9161636373159638E-7</v>
      </c>
      <c r="Q1089" s="1">
        <f t="shared" si="148"/>
        <v>1.8000000000000039E-6</v>
      </c>
    </row>
    <row r="1090" spans="1:17" x14ac:dyDescent="0.25">
      <c r="A1090" s="1">
        <v>54.4</v>
      </c>
      <c r="B1090" s="1">
        <v>1.0768E-2</v>
      </c>
      <c r="C1090" s="1">
        <v>1.8623999999999999E-3</v>
      </c>
      <c r="D1090" s="1">
        <v>2.8702999999999999E-2</v>
      </c>
      <c r="E1090" s="1">
        <v>1.0902E-2</v>
      </c>
      <c r="F1090" s="1">
        <v>1.0213000000000001E-6</v>
      </c>
      <c r="G1090" s="1">
        <v>6.7469000000000001</v>
      </c>
      <c r="H1090" s="1">
        <v>1.8339999999999999E-7</v>
      </c>
      <c r="I1090" s="1">
        <f t="shared" si="144"/>
        <v>1.8339999999999999E-7</v>
      </c>
      <c r="J1090" s="4">
        <f t="shared" si="145"/>
        <v>-1.6377394092677168E-8</v>
      </c>
      <c r="K1090" s="4">
        <f t="shared" si="146"/>
        <v>-2.4419023741858751E-8</v>
      </c>
      <c r="L1090" s="4">
        <f t="shared" si="147"/>
        <v>-7.2538407882471636E-9</v>
      </c>
      <c r="M1090" s="4">
        <f t="shared" si="149"/>
        <v>-7.5393003304693338E-9</v>
      </c>
      <c r="N1090" s="5">
        <f t="shared" si="150"/>
        <v>1.5691379734164248E-7</v>
      </c>
      <c r="O1090" s="5">
        <f t="shared" si="151"/>
        <v>1.251755298468987E-6</v>
      </c>
      <c r="P1090" s="5">
        <f t="shared" si="152"/>
        <v>3.9133090418937422E-7</v>
      </c>
      <c r="Q1090" s="1">
        <f t="shared" si="148"/>
        <v>1.8000000000000037E-6</v>
      </c>
    </row>
    <row r="1091" spans="1:17" x14ac:dyDescent="0.25">
      <c r="A1091" s="1">
        <v>54.45</v>
      </c>
      <c r="B1091" s="1">
        <v>1.0746E-2</v>
      </c>
      <c r="C1091" s="1">
        <v>1.8565000000000001E-3</v>
      </c>
      <c r="D1091" s="1">
        <v>2.8716999999999999E-2</v>
      </c>
      <c r="E1091" s="1">
        <v>1.0874E-2</v>
      </c>
      <c r="F1091" s="1">
        <v>1.0184000000000001E-6</v>
      </c>
      <c r="G1091" s="1">
        <v>6.7468000000000004</v>
      </c>
      <c r="H1091" s="1">
        <v>1.8344999999999999E-7</v>
      </c>
      <c r="I1091" s="1">
        <f t="shared" ref="I1091:I1154" si="153">H1091</f>
        <v>1.8344999999999999E-7</v>
      </c>
      <c r="J1091" s="4">
        <f t="shared" ref="J1091:J1154" si="154">(-$T$4*F1090^2*N1090)*(A1091-A1090)</f>
        <v>-1.6366951532912636E-8</v>
      </c>
      <c r="K1091" s="4">
        <f t="shared" ref="K1091:K1154" si="155">-O1090*$T$7*(A1091-A1090)</f>
        <v>-2.4409228320147329E-8</v>
      </c>
      <c r="L1091" s="4">
        <f t="shared" ref="L1091:L1154" si="156">-$T$5*F1090*E1090*(A1091-A1090)*N1090</f>
        <v>-7.2505130548225434E-9</v>
      </c>
      <c r="M1091" s="4">
        <f t="shared" si="149"/>
        <v>-7.5358592219754214E-9</v>
      </c>
      <c r="N1091" s="5">
        <f t="shared" si="150"/>
        <v>1.5770556107405463E-7</v>
      </c>
      <c r="O1091" s="5">
        <f t="shared" si="151"/>
        <v>1.2512488809037279E-6</v>
      </c>
      <c r="P1091" s="5">
        <f t="shared" si="152"/>
        <v>3.9104555802222136E-7</v>
      </c>
      <c r="Q1091" s="1">
        <f t="shared" ref="Q1091:Q1154" si="157">N1091+O1091+P1091</f>
        <v>1.8000000000000037E-6</v>
      </c>
    </row>
    <row r="1092" spans="1:17" x14ac:dyDescent="0.25">
      <c r="A1092" s="1">
        <v>54.5</v>
      </c>
      <c r="B1092" s="1">
        <v>1.0725E-2</v>
      </c>
      <c r="C1092" s="1">
        <v>1.8506E-3</v>
      </c>
      <c r="D1092" s="1">
        <v>2.8731E-2</v>
      </c>
      <c r="E1092" s="1">
        <v>1.0845E-2</v>
      </c>
      <c r="F1092" s="1">
        <v>1.0155000000000001E-6</v>
      </c>
      <c r="G1092" s="1">
        <v>6.7465999999999999</v>
      </c>
      <c r="H1092" s="1">
        <v>1.835E-7</v>
      </c>
      <c r="I1092" s="1">
        <f t="shared" si="153"/>
        <v>1.835E-7</v>
      </c>
      <c r="J1092" s="4">
        <f t="shared" si="154"/>
        <v>-1.6356251851632781E-8</v>
      </c>
      <c r="K1092" s="4">
        <f t="shared" si="155"/>
        <v>-2.4399353177621306E-8</v>
      </c>
      <c r="L1092" s="4">
        <f t="shared" si="156"/>
        <v>-7.2477436462472263E-9</v>
      </c>
      <c r="M1092" s="4">
        <f t="shared" ref="M1092:M1155" si="158">-P1091*$T$8*I1091*(A1092-A1091)</f>
        <v>-7.5324173000131041E-9</v>
      </c>
      <c r="N1092" s="5">
        <f t="shared" ref="N1092:N1155" si="159">N1091+J1092-K1092+L1092</f>
        <v>1.5850091875379592E-7</v>
      </c>
      <c r="O1092" s="5">
        <f t="shared" ref="O1092:O1155" si="160">-J1092+O1091+K1092-M1092</f>
        <v>1.2507381968777523E-6</v>
      </c>
      <c r="P1092" s="5">
        <f t="shared" ref="P1092:P1155" si="161">P1091-L1092+M1092</f>
        <v>3.9076088436845548E-7</v>
      </c>
      <c r="Q1092" s="1">
        <f t="shared" si="157"/>
        <v>1.8000000000000037E-6</v>
      </c>
    </row>
    <row r="1093" spans="1:17" x14ac:dyDescent="0.25">
      <c r="A1093" s="1">
        <v>54.55</v>
      </c>
      <c r="B1093" s="1">
        <v>1.0703000000000001E-2</v>
      </c>
      <c r="C1093" s="1">
        <v>1.8448E-3</v>
      </c>
      <c r="D1093" s="1">
        <v>2.8743999999999999E-2</v>
      </c>
      <c r="E1093" s="1">
        <v>1.0817E-2</v>
      </c>
      <c r="F1093" s="1">
        <v>1.0125E-6</v>
      </c>
      <c r="G1093" s="1">
        <v>6.7465000000000002</v>
      </c>
      <c r="H1093" s="1">
        <v>1.8355E-7</v>
      </c>
      <c r="I1093" s="1">
        <f t="shared" si="153"/>
        <v>1.8355E-7</v>
      </c>
      <c r="J1093" s="4">
        <f t="shared" si="154"/>
        <v>-1.6345252708088494E-8</v>
      </c>
      <c r="K1093" s="4">
        <f t="shared" si="155"/>
        <v>-2.4389394839114781E-8</v>
      </c>
      <c r="L1093" s="4">
        <f t="shared" si="156"/>
        <v>-7.24418219911139E-9</v>
      </c>
      <c r="M1093" s="4">
        <f t="shared" si="158"/>
        <v>-7.5289853395687878E-9</v>
      </c>
      <c r="N1093" s="5">
        <f t="shared" si="159"/>
        <v>1.5930087868571082E-7</v>
      </c>
      <c r="O1093" s="5">
        <f t="shared" si="160"/>
        <v>1.2502230400862947E-6</v>
      </c>
      <c r="P1093" s="5">
        <f t="shared" si="161"/>
        <v>3.9047608122799809E-7</v>
      </c>
      <c r="Q1093" s="1">
        <f t="shared" si="157"/>
        <v>1.8000000000000035E-6</v>
      </c>
    </row>
    <row r="1094" spans="1:17" x14ac:dyDescent="0.25">
      <c r="A1094" s="1">
        <v>54.6</v>
      </c>
      <c r="B1094" s="1">
        <v>1.0682000000000001E-2</v>
      </c>
      <c r="C1094" s="1">
        <v>1.8389000000000001E-3</v>
      </c>
      <c r="D1094" s="1">
        <v>2.8757999999999999E-2</v>
      </c>
      <c r="E1094" s="1">
        <v>1.0789E-2</v>
      </c>
      <c r="F1094" s="1">
        <v>1.0096E-6</v>
      </c>
      <c r="G1094" s="1">
        <v>6.7464000000000004</v>
      </c>
      <c r="H1094" s="1">
        <v>1.836E-7</v>
      </c>
      <c r="I1094" s="1">
        <f t="shared" si="153"/>
        <v>1.836E-7</v>
      </c>
      <c r="J1094" s="4">
        <f t="shared" si="154"/>
        <v>-1.6330829141516217E-8</v>
      </c>
      <c r="K1094" s="4">
        <f t="shared" si="155"/>
        <v>-2.4379349281684828E-8</v>
      </c>
      <c r="L1094" s="4">
        <f t="shared" si="156"/>
        <v>-7.2404928604315149E-9</v>
      </c>
      <c r="M1094" s="4">
        <f t="shared" si="158"/>
        <v>-7.5255478944875415E-9</v>
      </c>
      <c r="N1094" s="5">
        <f t="shared" si="159"/>
        <v>1.6010890596544794E-7</v>
      </c>
      <c r="O1094" s="5">
        <f t="shared" si="160"/>
        <v>1.2497000678406135E-6</v>
      </c>
      <c r="P1094" s="5">
        <f t="shared" si="161"/>
        <v>3.9019102619394205E-7</v>
      </c>
      <c r="Q1094" s="1">
        <f t="shared" si="157"/>
        <v>1.8000000000000035E-6</v>
      </c>
    </row>
    <row r="1095" spans="1:17" x14ac:dyDescent="0.25">
      <c r="A1095" s="1">
        <v>54.65</v>
      </c>
      <c r="B1095" s="1">
        <v>1.0661E-2</v>
      </c>
      <c r="C1095" s="1">
        <v>1.8331000000000001E-3</v>
      </c>
      <c r="D1095" s="1">
        <v>2.8771000000000001E-2</v>
      </c>
      <c r="E1095" s="1">
        <v>1.076E-2</v>
      </c>
      <c r="F1095" s="1">
        <v>1.0067E-6</v>
      </c>
      <c r="G1095" s="1">
        <v>6.7462</v>
      </c>
      <c r="H1095" s="1">
        <v>1.8365000000000001E-7</v>
      </c>
      <c r="I1095" s="1">
        <f t="shared" si="153"/>
        <v>1.8365000000000001E-7</v>
      </c>
      <c r="J1095" s="4">
        <f t="shared" si="154"/>
        <v>-1.6319775259674902E-8</v>
      </c>
      <c r="K1095" s="4">
        <f t="shared" si="155"/>
        <v>-2.4369151322890577E-8</v>
      </c>
      <c r="L1095" s="4">
        <f t="shared" si="156"/>
        <v>-7.237592406874258E-9</v>
      </c>
      <c r="M1095" s="4">
        <f t="shared" si="158"/>
        <v>-7.5221026029663879E-9</v>
      </c>
      <c r="N1095" s="5">
        <f t="shared" si="159"/>
        <v>1.6092068962178934E-7</v>
      </c>
      <c r="O1095" s="5">
        <f t="shared" si="160"/>
        <v>1.2491727943803642E-6</v>
      </c>
      <c r="P1095" s="5">
        <f t="shared" si="161"/>
        <v>3.899065159978499E-7</v>
      </c>
      <c r="Q1095" s="1">
        <f t="shared" si="157"/>
        <v>1.8000000000000035E-6</v>
      </c>
    </row>
    <row r="1096" spans="1:17" x14ac:dyDescent="0.25">
      <c r="A1096" s="1">
        <v>54.7</v>
      </c>
      <c r="B1096" s="1">
        <v>1.0638999999999999E-2</v>
      </c>
      <c r="C1096" s="1">
        <v>1.8273E-3</v>
      </c>
      <c r="D1096" s="1">
        <v>2.8785000000000002E-2</v>
      </c>
      <c r="E1096" s="1">
        <v>1.0732E-2</v>
      </c>
      <c r="F1096" s="1">
        <v>1.0038E-6</v>
      </c>
      <c r="G1096" s="1">
        <v>6.7461000000000002</v>
      </c>
      <c r="H1096" s="1">
        <v>1.8370000000000001E-7</v>
      </c>
      <c r="I1096" s="1">
        <f t="shared" si="153"/>
        <v>1.8370000000000001E-7</v>
      </c>
      <c r="J1096" s="4">
        <f t="shared" si="154"/>
        <v>-1.6308425059249236E-8</v>
      </c>
      <c r="K1096" s="4">
        <f t="shared" si="155"/>
        <v>-2.435886949041918E-8</v>
      </c>
      <c r="L1096" s="4">
        <f t="shared" si="156"/>
        <v>-7.2338970159502862E-9</v>
      </c>
      <c r="M1096" s="4">
        <f t="shared" si="158"/>
        <v>-7.518664824616182E-9</v>
      </c>
      <c r="N1096" s="5">
        <f t="shared" si="159"/>
        <v>1.6173723703700899E-7</v>
      </c>
      <c r="O1096" s="5">
        <f t="shared" si="160"/>
        <v>1.2486410147738102E-6</v>
      </c>
      <c r="P1096" s="5">
        <f t="shared" si="161"/>
        <v>3.8962174818918402E-7</v>
      </c>
      <c r="Q1096" s="1">
        <f t="shared" si="157"/>
        <v>1.8000000000000031E-6</v>
      </c>
    </row>
    <row r="1097" spans="1:17" x14ac:dyDescent="0.25">
      <c r="A1097" s="1">
        <v>54.75</v>
      </c>
      <c r="B1097" s="1">
        <v>1.0618000000000001E-2</v>
      </c>
      <c r="C1097" s="1">
        <v>1.8213999999999999E-3</v>
      </c>
      <c r="D1097" s="1">
        <v>2.8799000000000002E-2</v>
      </c>
      <c r="E1097" s="1">
        <v>1.0704E-2</v>
      </c>
      <c r="F1097" s="1">
        <v>1.0009E-6</v>
      </c>
      <c r="G1097" s="1">
        <v>6.7460000000000004</v>
      </c>
      <c r="H1097" s="1">
        <v>1.8374999999999999E-7</v>
      </c>
      <c r="I1097" s="1">
        <f t="shared" si="153"/>
        <v>1.8374999999999999E-7</v>
      </c>
      <c r="J1097" s="4">
        <f t="shared" si="154"/>
        <v>-1.6296877552418382E-8</v>
      </c>
      <c r="K1097" s="4">
        <f t="shared" si="155"/>
        <v>-2.4348499788087915E-8</v>
      </c>
      <c r="L1097" s="4">
        <f t="shared" si="156"/>
        <v>-7.2307937144261746E-9</v>
      </c>
      <c r="M1097" s="4">
        <f t="shared" si="158"/>
        <v>-7.5152190899466505E-9</v>
      </c>
      <c r="N1097" s="5">
        <f t="shared" si="159"/>
        <v>1.6255806555825235E-7</v>
      </c>
      <c r="O1097" s="5">
        <f t="shared" si="160"/>
        <v>1.2481046116280873E-6</v>
      </c>
      <c r="P1097" s="5">
        <f t="shared" si="161"/>
        <v>3.8933732281366355E-7</v>
      </c>
      <c r="Q1097" s="1">
        <f t="shared" si="157"/>
        <v>1.8000000000000031E-6</v>
      </c>
    </row>
    <row r="1098" spans="1:17" x14ac:dyDescent="0.25">
      <c r="A1098" s="1">
        <v>54.8</v>
      </c>
      <c r="B1098" s="1">
        <v>1.0597000000000001E-2</v>
      </c>
      <c r="C1098" s="1">
        <v>1.8155999999999999E-3</v>
      </c>
      <c r="D1098" s="1">
        <v>2.8812000000000001E-2</v>
      </c>
      <c r="E1098" s="1">
        <v>1.0676E-2</v>
      </c>
      <c r="F1098" s="1">
        <v>9.9797000000000004E-7</v>
      </c>
      <c r="G1098" s="1">
        <v>6.7458999999999998</v>
      </c>
      <c r="H1098" s="1">
        <v>1.8379999999999999E-7</v>
      </c>
      <c r="I1098" s="1">
        <f t="shared" si="153"/>
        <v>1.8379999999999999E-7</v>
      </c>
      <c r="J1098" s="4">
        <f t="shared" si="154"/>
        <v>-1.6285080174828105E-8</v>
      </c>
      <c r="K1098" s="4">
        <f t="shared" si="155"/>
        <v>-2.433803992674632E-8</v>
      </c>
      <c r="L1098" s="4">
        <f t="shared" si="156"/>
        <v>-7.2275883454305548E-9</v>
      </c>
      <c r="M1098" s="4">
        <f t="shared" si="158"/>
        <v>-7.5117769720356934E-9</v>
      </c>
      <c r="N1098" s="5">
        <f t="shared" si="159"/>
        <v>1.6338343696474003E-7</v>
      </c>
      <c r="O1098" s="5">
        <f t="shared" si="160"/>
        <v>1.2475634288482046E-6</v>
      </c>
      <c r="P1098" s="5">
        <f t="shared" si="161"/>
        <v>3.8905313418705838E-7</v>
      </c>
      <c r="Q1098" s="1">
        <f t="shared" si="157"/>
        <v>1.8000000000000031E-6</v>
      </c>
    </row>
    <row r="1099" spans="1:17" x14ac:dyDescent="0.25">
      <c r="A1099" s="1">
        <v>54.85</v>
      </c>
      <c r="B1099" s="1">
        <v>1.0576E-2</v>
      </c>
      <c r="C1099" s="1">
        <v>1.8098000000000001E-3</v>
      </c>
      <c r="D1099" s="1">
        <v>2.8826000000000001E-2</v>
      </c>
      <c r="E1099" s="1">
        <v>1.0647999999999999E-2</v>
      </c>
      <c r="F1099" s="1">
        <v>9.9505999999999996E-7</v>
      </c>
      <c r="G1099" s="1">
        <v>6.7457000000000003</v>
      </c>
      <c r="H1099" s="1">
        <v>1.8385E-7</v>
      </c>
      <c r="I1099" s="1">
        <f t="shared" si="153"/>
        <v>1.8385E-7</v>
      </c>
      <c r="J1099" s="4">
        <f t="shared" si="154"/>
        <v>-1.6272077349748242E-8</v>
      </c>
      <c r="K1099" s="4">
        <f t="shared" si="155"/>
        <v>-2.4327486862542064E-8</v>
      </c>
      <c r="L1099" s="4">
        <f t="shared" si="156"/>
        <v>-7.2240738279861706E-9</v>
      </c>
      <c r="M1099" s="4">
        <f t="shared" si="158"/>
        <v>-7.5083364366766786E-9</v>
      </c>
      <c r="N1099" s="5">
        <f t="shared" si="159"/>
        <v>1.6421477264954768E-7</v>
      </c>
      <c r="O1099" s="5">
        <f t="shared" si="160"/>
        <v>1.2470163557720875E-6</v>
      </c>
      <c r="P1099" s="5">
        <f t="shared" si="161"/>
        <v>3.887688715783679E-7</v>
      </c>
      <c r="Q1099" s="1">
        <f t="shared" si="157"/>
        <v>1.8000000000000031E-6</v>
      </c>
    </row>
    <row r="1100" spans="1:17" x14ac:dyDescent="0.25">
      <c r="A1100" s="1">
        <v>54.9</v>
      </c>
      <c r="B1100" s="1">
        <v>1.0555E-2</v>
      </c>
      <c r="C1100" s="1">
        <v>1.804E-3</v>
      </c>
      <c r="D1100" s="1">
        <v>2.8839E-2</v>
      </c>
      <c r="E1100" s="1">
        <v>1.0619999999999999E-2</v>
      </c>
      <c r="F1100" s="1">
        <v>9.9215999999999996E-7</v>
      </c>
      <c r="G1100" s="1">
        <v>6.7455999999999996</v>
      </c>
      <c r="H1100" s="1">
        <v>1.839E-7</v>
      </c>
      <c r="I1100" s="1">
        <f t="shared" si="153"/>
        <v>1.839E-7</v>
      </c>
      <c r="J1100" s="4">
        <f t="shared" si="154"/>
        <v>-1.6259633812738671E-8</v>
      </c>
      <c r="K1100" s="4">
        <f t="shared" si="155"/>
        <v>-2.4316818937554323E-8</v>
      </c>
      <c r="L1100" s="4">
        <f t="shared" si="156"/>
        <v>-7.2206722255730483E-9</v>
      </c>
      <c r="M1100" s="4">
        <f t="shared" si="158"/>
        <v>-7.5048914891662817E-9</v>
      </c>
      <c r="N1100" s="5">
        <f t="shared" si="159"/>
        <v>1.6505128554879028E-7</v>
      </c>
      <c r="O1100" s="5">
        <f t="shared" si="160"/>
        <v>1.2464640621364383E-6</v>
      </c>
      <c r="P1100" s="5">
        <f t="shared" si="161"/>
        <v>3.8848465231477468E-7</v>
      </c>
      <c r="Q1100" s="1">
        <f t="shared" si="157"/>
        <v>1.8000000000000031E-6</v>
      </c>
    </row>
    <row r="1101" spans="1:17" x14ac:dyDescent="0.25">
      <c r="A1101" s="1">
        <v>54.95</v>
      </c>
      <c r="B1101" s="1">
        <v>1.0534E-2</v>
      </c>
      <c r="C1101" s="1">
        <v>1.7982E-3</v>
      </c>
      <c r="D1101" s="1">
        <v>2.8851999999999999E-2</v>
      </c>
      <c r="E1101" s="1">
        <v>1.0592000000000001E-2</v>
      </c>
      <c r="F1101" s="1">
        <v>9.892500000000001E-7</v>
      </c>
      <c r="G1101" s="1">
        <v>6.7454999999999998</v>
      </c>
      <c r="H1101" s="1">
        <v>1.8395E-7</v>
      </c>
      <c r="I1101" s="1">
        <f t="shared" si="153"/>
        <v>1.8395E-7</v>
      </c>
      <c r="J1101" s="4">
        <f t="shared" si="154"/>
        <v>-1.6247342636769611E-8</v>
      </c>
      <c r="K1101" s="4">
        <f t="shared" si="155"/>
        <v>-2.430604921166262E-8</v>
      </c>
      <c r="L1101" s="4">
        <f t="shared" si="156"/>
        <v>-7.2172747543777915E-9</v>
      </c>
      <c r="M1101" s="4">
        <f t="shared" si="158"/>
        <v>-7.5014443938727819E-9</v>
      </c>
      <c r="N1101" s="5">
        <f t="shared" si="159"/>
        <v>1.6589271736930551E-7</v>
      </c>
      <c r="O1101" s="5">
        <f t="shared" si="160"/>
        <v>1.245906799955418E-6</v>
      </c>
      <c r="P1101" s="5">
        <f t="shared" si="161"/>
        <v>3.882004826752797E-7</v>
      </c>
      <c r="Q1101" s="1">
        <f t="shared" si="157"/>
        <v>1.8000000000000031E-6</v>
      </c>
    </row>
    <row r="1102" spans="1:17" x14ac:dyDescent="0.25">
      <c r="A1102" s="1">
        <v>55</v>
      </c>
      <c r="B1102" s="1">
        <v>1.0513E-2</v>
      </c>
      <c r="C1102" s="1">
        <v>1.7924E-3</v>
      </c>
      <c r="D1102" s="1">
        <v>2.8865999999999999E-2</v>
      </c>
      <c r="E1102" s="1">
        <v>1.0564E-2</v>
      </c>
      <c r="F1102" s="1">
        <v>9.8635000000000009E-7</v>
      </c>
      <c r="G1102" s="1">
        <v>6.7454000000000001</v>
      </c>
      <c r="H1102" s="1">
        <v>1.8399E-7</v>
      </c>
      <c r="I1102" s="1">
        <f t="shared" si="153"/>
        <v>1.8399E-7</v>
      </c>
      <c r="J1102" s="4">
        <f t="shared" si="154"/>
        <v>-1.6234519492300722E-8</v>
      </c>
      <c r="K1102" s="4">
        <f t="shared" si="155"/>
        <v>-2.4295182599129272E-8</v>
      </c>
      <c r="L1102" s="4">
        <f t="shared" si="156"/>
        <v>-7.2137227841209449E-9</v>
      </c>
      <c r="M1102" s="4">
        <f t="shared" si="158"/>
        <v>-7.4979952727519316E-9</v>
      </c>
      <c r="N1102" s="5">
        <f t="shared" si="159"/>
        <v>1.667396576920131E-7</v>
      </c>
      <c r="O1102" s="5">
        <f t="shared" si="160"/>
        <v>1.2453441321213415E-6</v>
      </c>
      <c r="P1102" s="5">
        <f t="shared" si="161"/>
        <v>3.879162101866487E-7</v>
      </c>
      <c r="Q1102" s="1">
        <f t="shared" si="157"/>
        <v>1.8000000000000031E-6</v>
      </c>
    </row>
    <row r="1103" spans="1:17" x14ac:dyDescent="0.25">
      <c r="A1103" s="1">
        <v>55.05</v>
      </c>
      <c r="B1103" s="1">
        <v>1.0492E-2</v>
      </c>
      <c r="C1103" s="1">
        <v>1.7866E-3</v>
      </c>
      <c r="D1103" s="1">
        <v>2.8878999999999998E-2</v>
      </c>
      <c r="E1103" s="1">
        <v>1.0536999999999999E-2</v>
      </c>
      <c r="F1103" s="1">
        <v>9.8345000000000009E-7</v>
      </c>
      <c r="G1103" s="1">
        <v>6.7453000000000003</v>
      </c>
      <c r="H1103" s="1">
        <v>1.8404E-7</v>
      </c>
      <c r="I1103" s="1">
        <f t="shared" si="153"/>
        <v>1.8404E-7</v>
      </c>
      <c r="J1103" s="4">
        <f t="shared" si="154"/>
        <v>-1.6221873238688224E-8</v>
      </c>
      <c r="K1103" s="4">
        <f t="shared" si="155"/>
        <v>-2.4284210576364778E-8</v>
      </c>
      <c r="L1103" s="4">
        <f t="shared" si="156"/>
        <v>-7.2101855924168409E-9</v>
      </c>
      <c r="M1103" s="4">
        <f t="shared" si="158"/>
        <v>-7.4941338687849305E-9</v>
      </c>
      <c r="N1103" s="5">
        <f t="shared" si="159"/>
        <v>1.6759180943727282E-7</v>
      </c>
      <c r="O1103" s="5">
        <f t="shared" si="160"/>
        <v>1.2447759286524496E-6</v>
      </c>
      <c r="P1103" s="5">
        <f t="shared" si="161"/>
        <v>3.8763226191028061E-7</v>
      </c>
      <c r="Q1103" s="1">
        <f t="shared" si="157"/>
        <v>1.8000000000000031E-6</v>
      </c>
    </row>
    <row r="1104" spans="1:17" x14ac:dyDescent="0.25">
      <c r="A1104" s="1">
        <v>55.1</v>
      </c>
      <c r="B1104" s="1">
        <v>1.0470999999999999E-2</v>
      </c>
      <c r="C1104" s="1">
        <v>1.7809E-3</v>
      </c>
      <c r="D1104" s="1">
        <v>2.8892000000000001E-2</v>
      </c>
      <c r="E1104" s="1">
        <v>1.0508999999999999E-2</v>
      </c>
      <c r="F1104" s="1">
        <v>9.8055000000000008E-7</v>
      </c>
      <c r="G1104" s="1">
        <v>6.7450999999999999</v>
      </c>
      <c r="H1104" s="1">
        <v>1.8409E-7</v>
      </c>
      <c r="I1104" s="1">
        <f t="shared" si="153"/>
        <v>1.8409E-7</v>
      </c>
      <c r="J1104" s="4">
        <f t="shared" si="154"/>
        <v>-1.6209042436049732E-8</v>
      </c>
      <c r="K1104" s="4">
        <f t="shared" si="155"/>
        <v>-2.427313060872484E-8</v>
      </c>
      <c r="L1104" s="4">
        <f t="shared" si="156"/>
        <v>-7.207259368721566E-9</v>
      </c>
      <c r="M1104" s="4">
        <f t="shared" si="158"/>
        <v>-7.4906833556072835E-9</v>
      </c>
      <c r="N1104" s="5">
        <f t="shared" si="159"/>
        <v>1.6844863824122637E-7</v>
      </c>
      <c r="O1104" s="5">
        <f t="shared" si="160"/>
        <v>1.2442025238353818E-6</v>
      </c>
      <c r="P1104" s="5">
        <f t="shared" si="161"/>
        <v>3.8734883792339493E-7</v>
      </c>
      <c r="Q1104" s="1">
        <f t="shared" si="157"/>
        <v>1.8000000000000031E-6</v>
      </c>
    </row>
    <row r="1105" spans="1:17" x14ac:dyDescent="0.25">
      <c r="A1105" s="1">
        <v>55.15</v>
      </c>
      <c r="B1105" s="1">
        <v>1.0449999999999999E-2</v>
      </c>
      <c r="C1105" s="1">
        <v>1.7750999999999999E-3</v>
      </c>
      <c r="D1105" s="1">
        <v>2.8906000000000001E-2</v>
      </c>
      <c r="E1105" s="1">
        <v>1.0481000000000001E-2</v>
      </c>
      <c r="F1105" s="1">
        <v>9.7765999999999993E-7</v>
      </c>
      <c r="G1105" s="1">
        <v>6.7450000000000001</v>
      </c>
      <c r="H1105" s="1">
        <v>1.8414000000000001E-7</v>
      </c>
      <c r="I1105" s="1">
        <f t="shared" si="153"/>
        <v>1.8414000000000001E-7</v>
      </c>
      <c r="J1105" s="4">
        <f t="shared" si="154"/>
        <v>-1.6195971075460172E-8</v>
      </c>
      <c r="K1105" s="4">
        <f t="shared" si="155"/>
        <v>-2.4261949214788566E-8</v>
      </c>
      <c r="L1105" s="4">
        <f t="shared" si="156"/>
        <v>-7.2035526911717446E-9</v>
      </c>
      <c r="M1105" s="4">
        <f t="shared" si="158"/>
        <v>-7.4872399951979401E-9</v>
      </c>
      <c r="N1105" s="5">
        <f t="shared" si="159"/>
        <v>1.6931106368938301E-7</v>
      </c>
      <c r="O1105" s="5">
        <f t="shared" si="160"/>
        <v>1.2436237856912513E-6</v>
      </c>
      <c r="P1105" s="5">
        <f t="shared" si="161"/>
        <v>3.8706515061936878E-7</v>
      </c>
      <c r="Q1105" s="1">
        <f t="shared" si="157"/>
        <v>1.8000000000000031E-6</v>
      </c>
    </row>
    <row r="1106" spans="1:17" x14ac:dyDescent="0.25">
      <c r="A1106" s="1">
        <v>55.2</v>
      </c>
      <c r="B1106" s="1">
        <v>1.043E-2</v>
      </c>
      <c r="C1106" s="1">
        <v>1.7692999999999999E-3</v>
      </c>
      <c r="D1106" s="1">
        <v>2.8919E-2</v>
      </c>
      <c r="E1106" s="1">
        <v>1.0454E-2</v>
      </c>
      <c r="F1106" s="1">
        <v>9.7475999999999992E-7</v>
      </c>
      <c r="G1106" s="1">
        <v>6.7449000000000003</v>
      </c>
      <c r="H1106" s="1">
        <v>1.8419000000000001E-7</v>
      </c>
      <c r="I1106" s="1">
        <f t="shared" si="153"/>
        <v>1.8419000000000001E-7</v>
      </c>
      <c r="J1106" s="4">
        <f t="shared" si="154"/>
        <v>-1.6183074438445258E-8</v>
      </c>
      <c r="K1106" s="4">
        <f t="shared" si="155"/>
        <v>-2.4250663820981471E-8</v>
      </c>
      <c r="L1106" s="4">
        <f t="shared" si="156"/>
        <v>-7.1998591865861403E-9</v>
      </c>
      <c r="M1106" s="4">
        <f t="shared" si="158"/>
        <v>-7.4837885676809482E-9</v>
      </c>
      <c r="N1106" s="5">
        <f t="shared" si="159"/>
        <v>1.7017879388533307E-7</v>
      </c>
      <c r="O1106" s="5">
        <f t="shared" si="160"/>
        <v>1.2430399848763962E-6</v>
      </c>
      <c r="P1106" s="5">
        <f t="shared" si="161"/>
        <v>3.8678122123827398E-7</v>
      </c>
      <c r="Q1106" s="1">
        <f t="shared" si="157"/>
        <v>1.8000000000000033E-6</v>
      </c>
    </row>
    <row r="1107" spans="1:17" x14ac:dyDescent="0.25">
      <c r="A1107" s="1">
        <v>55.25</v>
      </c>
      <c r="B1107" s="1">
        <v>1.0409E-2</v>
      </c>
      <c r="C1107" s="1">
        <v>1.7635999999999999E-3</v>
      </c>
      <c r="D1107" s="1">
        <v>2.8931999999999999E-2</v>
      </c>
      <c r="E1107" s="1">
        <v>1.0426E-2</v>
      </c>
      <c r="F1107" s="1">
        <v>9.7186999999999998E-7</v>
      </c>
      <c r="G1107" s="1">
        <v>6.7447999999999997</v>
      </c>
      <c r="H1107" s="1">
        <v>1.8423999999999999E-7</v>
      </c>
      <c r="I1107" s="1">
        <f t="shared" si="153"/>
        <v>1.8423999999999999E-7</v>
      </c>
      <c r="J1107" s="4">
        <f t="shared" si="154"/>
        <v>-1.6169658206399574E-8</v>
      </c>
      <c r="K1107" s="4">
        <f t="shared" si="155"/>
        <v>-2.423927970508835E-8</v>
      </c>
      <c r="L1107" s="4">
        <f t="shared" si="156"/>
        <v>-7.1967055335904194E-9</v>
      </c>
      <c r="M1107" s="4">
        <f t="shared" si="158"/>
        <v>-7.4803294796867311E-9</v>
      </c>
      <c r="N1107" s="5">
        <f t="shared" si="159"/>
        <v>1.7105170985043142E-7</v>
      </c>
      <c r="O1107" s="5">
        <f t="shared" si="160"/>
        <v>1.2424506928573939E-6</v>
      </c>
      <c r="P1107" s="5">
        <f t="shared" si="161"/>
        <v>3.8649759729217771E-7</v>
      </c>
      <c r="Q1107" s="1">
        <f t="shared" si="157"/>
        <v>1.8000000000000031E-6</v>
      </c>
    </row>
    <row r="1108" spans="1:17" x14ac:dyDescent="0.25">
      <c r="A1108" s="1">
        <v>55.3</v>
      </c>
      <c r="B1108" s="1">
        <v>1.0388E-2</v>
      </c>
      <c r="C1108" s="1">
        <v>1.7579E-3</v>
      </c>
      <c r="D1108" s="1">
        <v>2.8944999999999999E-2</v>
      </c>
      <c r="E1108" s="1">
        <v>1.0399E-2</v>
      </c>
      <c r="F1108" s="1">
        <v>9.6898000000000004E-7</v>
      </c>
      <c r="G1108" s="1">
        <v>6.7446000000000002</v>
      </c>
      <c r="H1108" s="1">
        <v>1.8428000000000001E-7</v>
      </c>
      <c r="I1108" s="1">
        <f t="shared" si="153"/>
        <v>1.8428000000000001E-7</v>
      </c>
      <c r="J1108" s="4">
        <f t="shared" si="154"/>
        <v>-1.6156369334198131E-8</v>
      </c>
      <c r="K1108" s="4">
        <f t="shared" si="155"/>
        <v>-2.4227788510717806E-8</v>
      </c>
      <c r="L1108" s="4">
        <f t="shared" si="156"/>
        <v>-7.1928567886152611E-9</v>
      </c>
      <c r="M1108" s="4">
        <f t="shared" si="158"/>
        <v>-7.4768733191362104E-9</v>
      </c>
      <c r="N1108" s="5">
        <f t="shared" si="159"/>
        <v>1.7193027223833581E-7</v>
      </c>
      <c r="O1108" s="5">
        <f t="shared" si="160"/>
        <v>1.2418561470000104E-6</v>
      </c>
      <c r="P1108" s="5">
        <f t="shared" si="161"/>
        <v>3.8621358076165672E-7</v>
      </c>
      <c r="Q1108" s="1">
        <f t="shared" si="157"/>
        <v>1.8000000000000027E-6</v>
      </c>
    </row>
    <row r="1109" spans="1:17" x14ac:dyDescent="0.25">
      <c r="A1109" s="1">
        <v>55.35</v>
      </c>
      <c r="B1109" s="1">
        <v>1.0368E-2</v>
      </c>
      <c r="C1109" s="1">
        <v>1.7520999999999999E-3</v>
      </c>
      <c r="D1109" s="1">
        <v>2.8958999999999999E-2</v>
      </c>
      <c r="E1109" s="1">
        <v>1.0371999999999999E-2</v>
      </c>
      <c r="F1109" s="1">
        <v>9.660900000000001E-7</v>
      </c>
      <c r="G1109" s="1">
        <v>6.7445000000000004</v>
      </c>
      <c r="H1109" s="1">
        <v>1.8433000000000001E-7</v>
      </c>
      <c r="I1109" s="1">
        <f t="shared" si="153"/>
        <v>1.8433000000000001E-7</v>
      </c>
      <c r="J1109" s="4">
        <f t="shared" si="154"/>
        <v>-1.6142915640261396E-8</v>
      </c>
      <c r="K1109" s="4">
        <f t="shared" si="155"/>
        <v>-2.421619486650227E-8</v>
      </c>
      <c r="L1109" s="4">
        <f t="shared" si="156"/>
        <v>-7.1896349350221352E-9</v>
      </c>
      <c r="M1109" s="4">
        <f t="shared" si="158"/>
        <v>-7.4730010595902374E-9</v>
      </c>
      <c r="N1109" s="5">
        <f t="shared" si="159"/>
        <v>1.7281391652955453E-7</v>
      </c>
      <c r="O1109" s="5">
        <f t="shared" si="160"/>
        <v>1.2412558688333598E-6</v>
      </c>
      <c r="P1109" s="5">
        <f t="shared" si="161"/>
        <v>3.8593021463708863E-7</v>
      </c>
      <c r="Q1109" s="1">
        <f t="shared" si="157"/>
        <v>1.8000000000000031E-6</v>
      </c>
    </row>
    <row r="1110" spans="1:17" x14ac:dyDescent="0.25">
      <c r="A1110" s="1">
        <v>55.4</v>
      </c>
      <c r="B1110" s="1">
        <v>1.0347E-2</v>
      </c>
      <c r="C1110" s="1">
        <v>1.7463999999999999E-3</v>
      </c>
      <c r="D1110" s="1">
        <v>2.8972000000000001E-2</v>
      </c>
      <c r="E1110" s="1">
        <v>1.0344000000000001E-2</v>
      </c>
      <c r="F1110" s="1">
        <v>9.6319999999999994E-7</v>
      </c>
      <c r="G1110" s="1">
        <v>6.7443999999999997</v>
      </c>
      <c r="H1110" s="1">
        <v>1.8437999999999999E-7</v>
      </c>
      <c r="I1110" s="1">
        <f t="shared" si="153"/>
        <v>1.8437999999999999E-7</v>
      </c>
      <c r="J1110" s="4">
        <f t="shared" si="154"/>
        <v>-1.6129239337664273E-8</v>
      </c>
      <c r="K1110" s="4">
        <f t="shared" si="155"/>
        <v>-2.420448944224914E-8</v>
      </c>
      <c r="L1110" s="4">
        <f t="shared" si="156"/>
        <v>-7.186325830953155E-9</v>
      </c>
      <c r="M1110" s="4">
        <f t="shared" si="158"/>
        <v>-7.469544228725303E-9</v>
      </c>
      <c r="N1110" s="5">
        <f t="shared" si="159"/>
        <v>1.7370284080318624E-7</v>
      </c>
      <c r="O1110" s="5">
        <f t="shared" si="160"/>
        <v>1.2406501629575001E-6</v>
      </c>
      <c r="P1110" s="5">
        <f t="shared" si="161"/>
        <v>3.8564699623931648E-7</v>
      </c>
      <c r="Q1110" s="1">
        <f t="shared" si="157"/>
        <v>1.8000000000000027E-6</v>
      </c>
    </row>
    <row r="1111" spans="1:17" x14ac:dyDescent="0.25">
      <c r="A1111" s="1">
        <v>55.45</v>
      </c>
      <c r="B1111" s="1">
        <v>1.0326999999999999E-2</v>
      </c>
      <c r="C1111" s="1">
        <v>1.7407E-3</v>
      </c>
      <c r="D1111" s="1">
        <v>2.8985E-2</v>
      </c>
      <c r="E1111" s="1">
        <v>1.0317E-2</v>
      </c>
      <c r="F1111" s="1">
        <v>9.6032000000000007E-7</v>
      </c>
      <c r="G1111" s="1">
        <v>6.7443</v>
      </c>
      <c r="H1111" s="1">
        <v>1.8442999999999999E-7</v>
      </c>
      <c r="I1111" s="1">
        <f t="shared" si="153"/>
        <v>1.8442999999999999E-7</v>
      </c>
      <c r="J1111" s="4">
        <f t="shared" si="154"/>
        <v>-1.6115354705521478E-8</v>
      </c>
      <c r="K1111" s="4">
        <f t="shared" si="155"/>
        <v>-2.4192678177673317E-8</v>
      </c>
      <c r="L1111" s="4">
        <f t="shared" si="156"/>
        <v>-7.1822414935293171E-9</v>
      </c>
      <c r="M1111" s="4">
        <f t="shared" si="158"/>
        <v>-7.46608728249418E-9</v>
      </c>
      <c r="N1111" s="5">
        <f t="shared" si="159"/>
        <v>1.7459792278180876E-7</v>
      </c>
      <c r="O1111" s="5">
        <f t="shared" si="160"/>
        <v>1.2400389267678425E-6</v>
      </c>
      <c r="P1111" s="5">
        <f t="shared" si="161"/>
        <v>3.8536315045035164E-7</v>
      </c>
      <c r="Q1111" s="1">
        <f t="shared" si="157"/>
        <v>1.8000000000000029E-6</v>
      </c>
    </row>
    <row r="1112" spans="1:17" x14ac:dyDescent="0.25">
      <c r="A1112" s="1">
        <v>55.5</v>
      </c>
      <c r="B1112" s="1">
        <v>1.0305999999999999E-2</v>
      </c>
      <c r="C1112" s="1">
        <v>1.735E-3</v>
      </c>
      <c r="D1112" s="1">
        <v>2.8997999999999999E-2</v>
      </c>
      <c r="E1112" s="1">
        <v>1.0290000000000001E-2</v>
      </c>
      <c r="F1112" s="1">
        <v>9.5743999999999998E-7</v>
      </c>
      <c r="G1112" s="1">
        <v>6.7442000000000002</v>
      </c>
      <c r="H1112" s="1">
        <v>1.8447000000000001E-7</v>
      </c>
      <c r="I1112" s="1">
        <f t="shared" si="153"/>
        <v>1.8447000000000001E-7</v>
      </c>
      <c r="J1112" s="4">
        <f t="shared" si="154"/>
        <v>-1.6101673647829025E-8</v>
      </c>
      <c r="K1112" s="4">
        <f t="shared" si="155"/>
        <v>-2.4180759071971555E-8</v>
      </c>
      <c r="L1112" s="4">
        <f t="shared" si="156"/>
        <v>-7.1788780109995212E-9</v>
      </c>
      <c r="M1112" s="4">
        <f t="shared" si="158"/>
        <v>-7.4626152129432029E-9</v>
      </c>
      <c r="N1112" s="5">
        <f t="shared" si="159"/>
        <v>1.7549813019495178E-7</v>
      </c>
      <c r="O1112" s="5">
        <f t="shared" si="160"/>
        <v>1.239422456556643E-6</v>
      </c>
      <c r="P1112" s="5">
        <f t="shared" si="161"/>
        <v>3.8507941324840797E-7</v>
      </c>
      <c r="Q1112" s="1">
        <f t="shared" si="157"/>
        <v>1.8000000000000029E-6</v>
      </c>
    </row>
    <row r="1113" spans="1:17" x14ac:dyDescent="0.25">
      <c r="A1113" s="1">
        <v>55.55</v>
      </c>
      <c r="B1113" s="1">
        <v>1.0286E-2</v>
      </c>
      <c r="C1113" s="1">
        <v>1.7293E-3</v>
      </c>
      <c r="D1113" s="1">
        <v>2.9010999999999999E-2</v>
      </c>
      <c r="E1113" s="1">
        <v>1.0263E-2</v>
      </c>
      <c r="F1113" s="1">
        <v>9.545600000000001E-7</v>
      </c>
      <c r="G1113" s="1">
        <v>6.7439999999999998</v>
      </c>
      <c r="H1113" s="1">
        <v>1.8451999999999999E-7</v>
      </c>
      <c r="I1113" s="1">
        <f t="shared" si="153"/>
        <v>1.8451999999999999E-7</v>
      </c>
      <c r="J1113" s="4">
        <f t="shared" si="154"/>
        <v>-1.608776185226702E-8</v>
      </c>
      <c r="K1113" s="4">
        <f t="shared" si="155"/>
        <v>-2.4168737902853165E-8</v>
      </c>
      <c r="L1113" s="4">
        <f t="shared" si="156"/>
        <v>-7.1754234025973933E-9</v>
      </c>
      <c r="M1113" s="4">
        <f t="shared" si="158"/>
        <v>-7.4587379330026271E-9</v>
      </c>
      <c r="N1113" s="5">
        <f t="shared" si="159"/>
        <v>1.7640368284294054E-7</v>
      </c>
      <c r="O1113" s="5">
        <f t="shared" si="160"/>
        <v>1.2388002184390596E-6</v>
      </c>
      <c r="P1113" s="5">
        <f t="shared" si="161"/>
        <v>3.8479609871800276E-7</v>
      </c>
      <c r="Q1113" s="1">
        <f t="shared" si="157"/>
        <v>1.8000000000000031E-6</v>
      </c>
    </row>
    <row r="1114" spans="1:17" x14ac:dyDescent="0.25">
      <c r="A1114" s="1">
        <v>55.6</v>
      </c>
      <c r="B1114" s="1">
        <v>1.0265E-2</v>
      </c>
      <c r="C1114" s="1">
        <v>1.7236E-3</v>
      </c>
      <c r="D1114" s="1">
        <v>2.9024000000000001E-2</v>
      </c>
      <c r="E1114" s="1">
        <v>1.0236E-2</v>
      </c>
      <c r="F1114" s="1">
        <v>9.5168000000000001E-7</v>
      </c>
      <c r="G1114" s="1">
        <v>6.7439</v>
      </c>
      <c r="H1114" s="1">
        <v>1.8456999999999999E-7</v>
      </c>
      <c r="I1114" s="1">
        <f t="shared" si="153"/>
        <v>1.8456999999999999E-7</v>
      </c>
      <c r="J1114" s="4">
        <f t="shared" si="154"/>
        <v>-1.6073635334153838E-8</v>
      </c>
      <c r="K1114" s="4">
        <f t="shared" si="155"/>
        <v>-2.4156604259563723E-8</v>
      </c>
      <c r="L1114" s="4">
        <f t="shared" si="156"/>
        <v>-7.1718848019280754E-9</v>
      </c>
      <c r="M1114" s="4">
        <f t="shared" si="158"/>
        <v>-7.4552704942224509E-9</v>
      </c>
      <c r="N1114" s="5">
        <f t="shared" si="159"/>
        <v>1.7731476696642237E-7</v>
      </c>
      <c r="O1114" s="5">
        <f t="shared" si="160"/>
        <v>1.238172520007872E-6</v>
      </c>
      <c r="P1114" s="5">
        <f t="shared" si="161"/>
        <v>3.8451271302570839E-7</v>
      </c>
      <c r="Q1114" s="1">
        <f t="shared" si="157"/>
        <v>1.8000000000000029E-6</v>
      </c>
    </row>
    <row r="1115" spans="1:17" x14ac:dyDescent="0.25">
      <c r="A1115" s="1">
        <v>55.65</v>
      </c>
      <c r="B1115" s="1">
        <v>1.0245000000000001E-2</v>
      </c>
      <c r="C1115" s="1">
        <v>1.7179000000000001E-3</v>
      </c>
      <c r="D1115" s="1">
        <v>2.9037E-2</v>
      </c>
      <c r="E1115" s="1">
        <v>1.0208999999999999E-2</v>
      </c>
      <c r="F1115" s="1">
        <v>9.4880999999999998E-7</v>
      </c>
      <c r="G1115" s="1">
        <v>6.7438000000000002</v>
      </c>
      <c r="H1115" s="1">
        <v>1.8461999999999999E-7</v>
      </c>
      <c r="I1115" s="1">
        <f t="shared" si="153"/>
        <v>1.8461999999999999E-7</v>
      </c>
      <c r="J1115" s="4">
        <f t="shared" si="154"/>
        <v>-1.6059306637654218E-8</v>
      </c>
      <c r="K1115" s="4">
        <f t="shared" si="155"/>
        <v>-2.4144364140152134E-8</v>
      </c>
      <c r="L1115" s="4">
        <f t="shared" si="156"/>
        <v>-7.1682678041313108E-9</v>
      </c>
      <c r="M1115" s="4">
        <f t="shared" si="158"/>
        <v>-7.4517987015308498E-9</v>
      </c>
      <c r="N1115" s="5">
        <f t="shared" si="159"/>
        <v>1.78231556664789E-7</v>
      </c>
      <c r="O1115" s="5">
        <f t="shared" si="160"/>
        <v>1.237539261206905E-6</v>
      </c>
      <c r="P1115" s="5">
        <f t="shared" si="161"/>
        <v>3.8422918212830886E-7</v>
      </c>
      <c r="Q1115" s="1">
        <f t="shared" si="157"/>
        <v>1.8000000000000027E-6</v>
      </c>
    </row>
    <row r="1116" spans="1:17" x14ac:dyDescent="0.25">
      <c r="A1116" s="1">
        <v>55.7</v>
      </c>
      <c r="B1116" s="1">
        <v>1.0225E-2</v>
      </c>
      <c r="C1116" s="1">
        <v>1.7122000000000001E-3</v>
      </c>
      <c r="D1116" s="1">
        <v>2.9049999999999999E-2</v>
      </c>
      <c r="E1116" s="1">
        <v>1.0182E-2</v>
      </c>
      <c r="F1116" s="1">
        <v>9.4593999999999996E-7</v>
      </c>
      <c r="G1116" s="1">
        <v>6.7436999999999996</v>
      </c>
      <c r="H1116" s="1">
        <v>1.8465999999999999E-7</v>
      </c>
      <c r="I1116" s="1">
        <f t="shared" si="153"/>
        <v>1.8465999999999999E-7</v>
      </c>
      <c r="J1116" s="4">
        <f t="shared" si="154"/>
        <v>-1.6045125073407405E-8</v>
      </c>
      <c r="K1116" s="4">
        <f t="shared" si="155"/>
        <v>-2.4132015593536704E-8</v>
      </c>
      <c r="L1116" s="4">
        <f t="shared" si="156"/>
        <v>-7.1646528786461689E-9</v>
      </c>
      <c r="M1116" s="4">
        <f t="shared" si="158"/>
        <v>-7.4483211184761143E-9</v>
      </c>
      <c r="N1116" s="5">
        <f t="shared" si="159"/>
        <v>1.7915379430627214E-7</v>
      </c>
      <c r="O1116" s="5">
        <f t="shared" si="160"/>
        <v>1.2369006918052518E-6</v>
      </c>
      <c r="P1116" s="5">
        <f t="shared" si="161"/>
        <v>3.8394551388847893E-7</v>
      </c>
      <c r="Q1116" s="1">
        <f t="shared" si="157"/>
        <v>1.8000000000000029E-6</v>
      </c>
    </row>
    <row r="1117" spans="1:17" x14ac:dyDescent="0.25">
      <c r="A1117" s="1">
        <v>55.75</v>
      </c>
      <c r="B1117" s="1">
        <v>1.0205000000000001E-2</v>
      </c>
      <c r="C1117" s="1">
        <v>1.7066E-3</v>
      </c>
      <c r="D1117" s="1">
        <v>2.9062999999999999E-2</v>
      </c>
      <c r="E1117" s="1">
        <v>1.0155000000000001E-2</v>
      </c>
      <c r="F1117" s="1">
        <v>9.4307000000000004E-7</v>
      </c>
      <c r="G1117" s="1">
        <v>6.7435999999999998</v>
      </c>
      <c r="H1117" s="1">
        <v>1.8470999999999999E-7</v>
      </c>
      <c r="I1117" s="1">
        <f t="shared" si="153"/>
        <v>1.8470999999999999E-7</v>
      </c>
      <c r="J1117" s="4">
        <f t="shared" si="154"/>
        <v>-1.6030726009160673E-8</v>
      </c>
      <c r="K1117" s="4">
        <f t="shared" si="155"/>
        <v>-2.4119563490201042E-8</v>
      </c>
      <c r="L1117" s="4">
        <f t="shared" si="156"/>
        <v>-7.1609524571842499E-9</v>
      </c>
      <c r="M1117" s="4">
        <f t="shared" si="158"/>
        <v>-7.4444347524374614E-9</v>
      </c>
      <c r="N1117" s="5">
        <f t="shared" si="159"/>
        <v>1.8008167933012827E-7</v>
      </c>
      <c r="O1117" s="5">
        <f t="shared" si="160"/>
        <v>1.2362562890766489E-6</v>
      </c>
      <c r="P1117" s="5">
        <f t="shared" si="161"/>
        <v>3.8366203159322571E-7</v>
      </c>
      <c r="Q1117" s="1">
        <f t="shared" si="157"/>
        <v>1.8000000000000029E-6</v>
      </c>
    </row>
    <row r="1118" spans="1:17" x14ac:dyDescent="0.25">
      <c r="A1118" s="1">
        <v>55.8</v>
      </c>
      <c r="B1118" s="1">
        <v>1.0184E-2</v>
      </c>
      <c r="C1118" s="1">
        <v>1.7009E-3</v>
      </c>
      <c r="D1118" s="1">
        <v>2.9076000000000001E-2</v>
      </c>
      <c r="E1118" s="1">
        <v>1.0128E-2</v>
      </c>
      <c r="F1118" s="1">
        <v>9.4020000000000001E-7</v>
      </c>
      <c r="G1118" s="1">
        <v>6.7434000000000003</v>
      </c>
      <c r="H1118" s="1">
        <v>1.8475999999999999E-7</v>
      </c>
      <c r="I1118" s="1">
        <f t="shared" si="153"/>
        <v>1.8475999999999999E-7</v>
      </c>
      <c r="J1118" s="4">
        <f t="shared" si="154"/>
        <v>-1.6016122852833351E-8</v>
      </c>
      <c r="K1118" s="4">
        <f t="shared" si="155"/>
        <v>-2.4106997636993285E-8</v>
      </c>
      <c r="L1118" s="4">
        <f t="shared" si="156"/>
        <v>-7.1571725260868144E-9</v>
      </c>
      <c r="M1118" s="4">
        <f t="shared" si="158"/>
        <v>-7.4409524548359725E-9</v>
      </c>
      <c r="N1118" s="5">
        <f t="shared" si="159"/>
        <v>1.810153815882014E-7</v>
      </c>
      <c r="O1118" s="5">
        <f t="shared" si="160"/>
        <v>1.235606366747325E-6</v>
      </c>
      <c r="P1118" s="5">
        <f t="shared" si="161"/>
        <v>3.8337825166447653E-7</v>
      </c>
      <c r="Q1118" s="1">
        <f t="shared" si="157"/>
        <v>1.8000000000000029E-6</v>
      </c>
    </row>
    <row r="1119" spans="1:17" x14ac:dyDescent="0.25">
      <c r="A1119" s="1">
        <v>55.85</v>
      </c>
      <c r="B1119" s="1">
        <v>1.0163999999999999E-2</v>
      </c>
      <c r="C1119" s="1">
        <v>1.6953000000000001E-3</v>
      </c>
      <c r="D1119" s="1">
        <v>2.9089E-2</v>
      </c>
      <c r="E1119" s="1">
        <v>1.0101000000000001E-2</v>
      </c>
      <c r="F1119" s="1">
        <v>9.3733999999999995E-7</v>
      </c>
      <c r="G1119" s="1">
        <v>6.7432999999999996</v>
      </c>
      <c r="H1119" s="1">
        <v>1.8479999999999999E-7</v>
      </c>
      <c r="I1119" s="1">
        <f t="shared" si="153"/>
        <v>1.8479999999999999E-7</v>
      </c>
      <c r="J1119" s="4">
        <f t="shared" si="154"/>
        <v>-1.6001326019544084E-8</v>
      </c>
      <c r="K1119" s="4">
        <f t="shared" si="155"/>
        <v>-2.4094324151574893E-8</v>
      </c>
      <c r="L1119" s="4">
        <f t="shared" si="156"/>
        <v>-7.1533177429553419E-9</v>
      </c>
      <c r="M1119" s="4">
        <f t="shared" si="158"/>
        <v>-7.4374614066411466E-9</v>
      </c>
      <c r="N1119" s="5">
        <f t="shared" si="159"/>
        <v>1.8195506197727689E-7</v>
      </c>
      <c r="O1119" s="5">
        <f t="shared" si="160"/>
        <v>1.2349508300219354E-6</v>
      </c>
      <c r="P1119" s="5">
        <f t="shared" si="161"/>
        <v>3.830941080007907E-7</v>
      </c>
      <c r="Q1119" s="1">
        <f t="shared" si="157"/>
        <v>1.8000000000000029E-6</v>
      </c>
    </row>
    <row r="1120" spans="1:17" x14ac:dyDescent="0.25">
      <c r="A1120" s="1">
        <v>55.9</v>
      </c>
      <c r="B1120" s="1">
        <v>1.0144E-2</v>
      </c>
      <c r="C1120" s="1">
        <v>1.6896000000000001E-3</v>
      </c>
      <c r="D1120" s="1">
        <v>2.9101999999999999E-2</v>
      </c>
      <c r="E1120" s="1">
        <v>1.0075000000000001E-2</v>
      </c>
      <c r="F1120" s="1">
        <v>9.3447999999999999E-7</v>
      </c>
      <c r="G1120" s="1">
        <v>6.7431999999999999</v>
      </c>
      <c r="H1120" s="1">
        <v>1.8484999999999999E-7</v>
      </c>
      <c r="I1120" s="1">
        <f t="shared" si="153"/>
        <v>1.8484999999999999E-7</v>
      </c>
      <c r="J1120" s="4">
        <f t="shared" si="154"/>
        <v>-1.5986685933041329E-8</v>
      </c>
      <c r="K1120" s="4">
        <f t="shared" si="155"/>
        <v>-2.4081541185426371E-8</v>
      </c>
      <c r="L1120" s="4">
        <f t="shared" si="156"/>
        <v>-7.1494685560207562E-9</v>
      </c>
      <c r="M1120" s="4">
        <f t="shared" si="158"/>
        <v>-7.4335580716469207E-9</v>
      </c>
      <c r="N1120" s="5">
        <f t="shared" si="159"/>
        <v>1.8290044867364116E-7</v>
      </c>
      <c r="O1120" s="5">
        <f t="shared" si="160"/>
        <v>1.2342895328411974E-6</v>
      </c>
      <c r="P1120" s="5">
        <f t="shared" si="161"/>
        <v>3.8281001848516452E-7</v>
      </c>
      <c r="Q1120" s="1">
        <f t="shared" si="157"/>
        <v>1.8000000000000031E-6</v>
      </c>
    </row>
    <row r="1121" spans="1:17" x14ac:dyDescent="0.25">
      <c r="A1121" s="1">
        <v>55.95</v>
      </c>
      <c r="B1121" s="1">
        <v>1.0123999999999999E-2</v>
      </c>
      <c r="C1121" s="1">
        <v>1.684E-3</v>
      </c>
      <c r="D1121" s="1">
        <v>2.9114000000000001E-2</v>
      </c>
      <c r="E1121" s="1">
        <v>1.0048E-2</v>
      </c>
      <c r="F1121" s="1">
        <v>9.3162000000000003E-7</v>
      </c>
      <c r="G1121" s="1">
        <v>6.7431000000000001</v>
      </c>
      <c r="H1121" s="1">
        <v>1.8489999999999999E-7</v>
      </c>
      <c r="I1121" s="1">
        <f t="shared" si="153"/>
        <v>1.8489999999999999E-7</v>
      </c>
      <c r="J1121" s="4">
        <f t="shared" si="154"/>
        <v>-1.5971834180171861E-8</v>
      </c>
      <c r="K1121" s="4">
        <f t="shared" si="155"/>
        <v>-2.40686458904054E-8</v>
      </c>
      <c r="L1121" s="4">
        <f t="shared" si="156"/>
        <v>-7.1462455254870192E-9</v>
      </c>
      <c r="M1121" s="4">
        <f t="shared" si="158"/>
        <v>-7.4300553512838121E-9</v>
      </c>
      <c r="N1121" s="5">
        <f t="shared" si="159"/>
        <v>1.8385101485838768E-7</v>
      </c>
      <c r="O1121" s="5">
        <f t="shared" si="160"/>
        <v>1.2336227764822476E-6</v>
      </c>
      <c r="P1121" s="5">
        <f t="shared" si="161"/>
        <v>3.825262086593677E-7</v>
      </c>
      <c r="Q1121" s="1">
        <f t="shared" si="157"/>
        <v>1.8000000000000029E-6</v>
      </c>
    </row>
    <row r="1122" spans="1:17" x14ac:dyDescent="0.25">
      <c r="A1122" s="1">
        <v>56</v>
      </c>
      <c r="B1122" s="1">
        <v>1.0104E-2</v>
      </c>
      <c r="C1122" s="1">
        <v>1.6784E-3</v>
      </c>
      <c r="D1122" s="1">
        <v>2.9127E-2</v>
      </c>
      <c r="E1122" s="1">
        <v>1.0022E-2</v>
      </c>
      <c r="F1122" s="1">
        <v>9.2875999999999996E-7</v>
      </c>
      <c r="G1122" s="1">
        <v>6.7430000000000003</v>
      </c>
      <c r="H1122" s="1">
        <v>1.8493999999999999E-7</v>
      </c>
      <c r="I1122" s="1">
        <f t="shared" si="153"/>
        <v>1.8493999999999999E-7</v>
      </c>
      <c r="J1122" s="4">
        <f t="shared" si="154"/>
        <v>-1.5956720512758514E-8</v>
      </c>
      <c r="K1122" s="4">
        <f t="shared" si="155"/>
        <v>-2.4055644141402459E-8</v>
      </c>
      <c r="L1122" s="4">
        <f t="shared" si="156"/>
        <v>-7.1422090552544994E-9</v>
      </c>
      <c r="M1122" s="4">
        <f t="shared" si="158"/>
        <v>-7.4265550780168718E-9</v>
      </c>
      <c r="N1122" s="5">
        <f t="shared" si="159"/>
        <v>1.8480772943177713E-7</v>
      </c>
      <c r="O1122" s="5">
        <f t="shared" si="160"/>
        <v>1.2329504079316203E-6</v>
      </c>
      <c r="P1122" s="5">
        <f t="shared" si="161"/>
        <v>3.8224186263660534E-7</v>
      </c>
      <c r="Q1122" s="1">
        <f t="shared" si="157"/>
        <v>1.8000000000000027E-6</v>
      </c>
    </row>
    <row r="1123" spans="1:17" x14ac:dyDescent="0.25">
      <c r="A1123" s="1">
        <v>56.05</v>
      </c>
      <c r="B1123" s="1">
        <v>1.0083999999999999E-2</v>
      </c>
      <c r="C1123" s="1">
        <v>1.6727999999999999E-3</v>
      </c>
      <c r="D1123" s="1">
        <v>2.9139999999999999E-2</v>
      </c>
      <c r="E1123" s="1">
        <v>9.9950999999999998E-3</v>
      </c>
      <c r="F1123" s="1">
        <v>9.2590999999999996E-7</v>
      </c>
      <c r="G1123" s="1">
        <v>6.7427999999999999</v>
      </c>
      <c r="H1123" s="1">
        <v>1.8498999999999999E-7</v>
      </c>
      <c r="I1123" s="1">
        <f t="shared" si="153"/>
        <v>1.8498999999999999E-7</v>
      </c>
      <c r="J1123" s="4">
        <f t="shared" si="154"/>
        <v>-1.5941424879873831E-8</v>
      </c>
      <c r="K1123" s="4">
        <f t="shared" si="155"/>
        <v>-2.4042532954665227E-8</v>
      </c>
      <c r="L1123" s="4">
        <f t="shared" si="156"/>
        <v>-7.138815028708132E-9</v>
      </c>
      <c r="M1123" s="4">
        <f t="shared" si="158"/>
        <v>-7.4226400579810256E-9</v>
      </c>
      <c r="N1123" s="5">
        <f t="shared" si="159"/>
        <v>1.8577002247786042E-7</v>
      </c>
      <c r="O1123" s="5">
        <f t="shared" si="160"/>
        <v>1.2322719399148098E-6</v>
      </c>
      <c r="P1123" s="5">
        <f t="shared" si="161"/>
        <v>3.8195803760733246E-7</v>
      </c>
      <c r="Q1123" s="1">
        <f t="shared" si="157"/>
        <v>1.8000000000000027E-6</v>
      </c>
    </row>
    <row r="1124" spans="1:17" x14ac:dyDescent="0.25">
      <c r="A1124" s="1">
        <v>56.1</v>
      </c>
      <c r="B1124" s="1">
        <v>1.0064E-2</v>
      </c>
      <c r="C1124" s="1">
        <v>1.6672E-3</v>
      </c>
      <c r="D1124" s="1">
        <v>2.9152999999999998E-2</v>
      </c>
      <c r="E1124" s="1">
        <v>9.9687000000000005E-3</v>
      </c>
      <c r="F1124" s="1">
        <v>9.2305E-7</v>
      </c>
      <c r="G1124" s="1">
        <v>6.7427000000000001</v>
      </c>
      <c r="H1124" s="1">
        <v>1.8503999999999999E-7</v>
      </c>
      <c r="I1124" s="1">
        <f t="shared" si="153"/>
        <v>1.8503999999999999E-7</v>
      </c>
      <c r="J1124" s="4">
        <f t="shared" si="154"/>
        <v>-1.5926237315162999E-8</v>
      </c>
      <c r="K1124" s="4">
        <f t="shared" si="155"/>
        <v>-2.4029302828340839E-8</v>
      </c>
      <c r="L1124" s="4">
        <f t="shared" si="156"/>
        <v>-7.1347645942203949E-9</v>
      </c>
      <c r="M1124" s="4">
        <f t="shared" si="158"/>
        <v>-7.4191338245835776E-9</v>
      </c>
      <c r="N1124" s="5">
        <f t="shared" si="159"/>
        <v>1.8673832339681783E-7</v>
      </c>
      <c r="O1124" s="5">
        <f t="shared" si="160"/>
        <v>1.2315880082262155E-6</v>
      </c>
      <c r="P1124" s="5">
        <f t="shared" si="161"/>
        <v>3.8167366837696928E-7</v>
      </c>
      <c r="Q1124" s="1">
        <f t="shared" si="157"/>
        <v>1.8000000000000027E-6</v>
      </c>
    </row>
    <row r="1125" spans="1:17" x14ac:dyDescent="0.25">
      <c r="A1125" s="1">
        <v>56.15</v>
      </c>
      <c r="B1125" s="1">
        <v>1.0045E-2</v>
      </c>
      <c r="C1125" s="1">
        <v>1.6616000000000001E-3</v>
      </c>
      <c r="D1125" s="1">
        <v>2.9165E-2</v>
      </c>
      <c r="E1125" s="1">
        <v>9.9422999999999994E-3</v>
      </c>
      <c r="F1125" s="1">
        <v>9.2019999999999999E-7</v>
      </c>
      <c r="G1125" s="1">
        <v>6.7426000000000004</v>
      </c>
      <c r="H1125" s="1">
        <v>1.8507999999999999E-7</v>
      </c>
      <c r="I1125" s="1">
        <f t="shared" si="153"/>
        <v>1.8507999999999999E-7</v>
      </c>
      <c r="J1125" s="4">
        <f t="shared" si="154"/>
        <v>-1.591050295272139E-8</v>
      </c>
      <c r="K1125" s="4">
        <f t="shared" si="155"/>
        <v>-2.4015966160409839E-8</v>
      </c>
      <c r="L1125" s="4">
        <f t="shared" si="156"/>
        <v>-7.1309157440755545E-9</v>
      </c>
      <c r="M1125" s="4">
        <f t="shared" si="158"/>
        <v>-7.4156140376293901E-9</v>
      </c>
      <c r="N1125" s="5">
        <f t="shared" si="159"/>
        <v>1.8771287086043072E-7</v>
      </c>
      <c r="O1125" s="5">
        <f t="shared" si="160"/>
        <v>1.2308981590561565E-6</v>
      </c>
      <c r="P1125" s="5">
        <f t="shared" si="161"/>
        <v>3.8138897008341541E-7</v>
      </c>
      <c r="Q1125" s="1">
        <f t="shared" si="157"/>
        <v>1.8000000000000027E-6</v>
      </c>
    </row>
    <row r="1126" spans="1:17" x14ac:dyDescent="0.25">
      <c r="A1126" s="1">
        <v>56.2</v>
      </c>
      <c r="B1126" s="1">
        <v>1.0024999999999999E-2</v>
      </c>
      <c r="C1126" s="1">
        <v>1.6559999999999999E-3</v>
      </c>
      <c r="D1126" s="1">
        <v>2.9177999999999999E-2</v>
      </c>
      <c r="E1126" s="1">
        <v>9.9159999999999995E-3</v>
      </c>
      <c r="F1126" s="1">
        <v>9.1735999999999995E-7</v>
      </c>
      <c r="G1126" s="1">
        <v>6.7424999999999997</v>
      </c>
      <c r="H1126" s="1">
        <v>1.8512999999999999E-7</v>
      </c>
      <c r="I1126" s="1">
        <f t="shared" si="153"/>
        <v>1.8512999999999999E-7</v>
      </c>
      <c r="J1126" s="4">
        <f t="shared" si="154"/>
        <v>-1.5894925974127359E-8</v>
      </c>
      <c r="K1126" s="4">
        <f t="shared" si="155"/>
        <v>-2.4002514101597103E-8</v>
      </c>
      <c r="L1126" s="4">
        <f t="shared" si="156"/>
        <v>-7.1270735538703617E-9</v>
      </c>
      <c r="M1126" s="4">
        <f t="shared" si="158"/>
        <v>-7.4116844112196768E-9</v>
      </c>
      <c r="N1126" s="5">
        <f t="shared" si="159"/>
        <v>1.8869338543403011E-7</v>
      </c>
      <c r="O1126" s="5">
        <f t="shared" si="160"/>
        <v>1.2302022553399064E-6</v>
      </c>
      <c r="P1126" s="5">
        <f t="shared" si="161"/>
        <v>3.8110435922606608E-7</v>
      </c>
      <c r="Q1126" s="1">
        <f t="shared" si="157"/>
        <v>1.8000000000000027E-6</v>
      </c>
    </row>
    <row r="1127" spans="1:17" x14ac:dyDescent="0.25">
      <c r="A1127" s="1">
        <v>56.25</v>
      </c>
      <c r="B1127" s="1">
        <v>1.0005E-2</v>
      </c>
      <c r="C1127" s="1">
        <v>1.6504E-3</v>
      </c>
      <c r="D1127" s="1">
        <v>2.9191000000000002E-2</v>
      </c>
      <c r="E1127" s="1">
        <v>9.8896999999999995E-3</v>
      </c>
      <c r="F1127" s="1">
        <v>9.1450999999999995E-7</v>
      </c>
      <c r="G1127" s="1">
        <v>6.7423999999999999</v>
      </c>
      <c r="H1127" s="1">
        <v>1.8517000000000001E-7</v>
      </c>
      <c r="I1127" s="1">
        <f t="shared" si="153"/>
        <v>1.8517000000000001E-7</v>
      </c>
      <c r="J1127" s="4">
        <f t="shared" si="154"/>
        <v>-1.5879479955968882E-8</v>
      </c>
      <c r="K1127" s="4">
        <f t="shared" si="155"/>
        <v>-2.3988943979126811E-8</v>
      </c>
      <c r="L1127" s="4">
        <f t="shared" si="156"/>
        <v>-7.1232976308107822E-9</v>
      </c>
      <c r="M1127" s="4">
        <f t="shared" si="158"/>
        <v>-7.408154252469348E-9</v>
      </c>
      <c r="N1127" s="5">
        <f t="shared" si="159"/>
        <v>1.8967955182637726E-7</v>
      </c>
      <c r="O1127" s="5">
        <f t="shared" si="160"/>
        <v>1.2295009455692178E-6</v>
      </c>
      <c r="P1127" s="5">
        <f t="shared" si="161"/>
        <v>3.8081950260440749E-7</v>
      </c>
      <c r="Q1127" s="1">
        <f t="shared" si="157"/>
        <v>1.8000000000000027E-6</v>
      </c>
    </row>
    <row r="1128" spans="1:17" x14ac:dyDescent="0.25">
      <c r="A1128" s="1">
        <v>56.3</v>
      </c>
      <c r="B1128" s="1">
        <v>9.9854999999999996E-3</v>
      </c>
      <c r="C1128" s="1">
        <v>1.6448999999999999E-3</v>
      </c>
      <c r="D1128" s="1">
        <v>2.9203E-2</v>
      </c>
      <c r="E1128" s="1">
        <v>9.8635000000000007E-3</v>
      </c>
      <c r="F1128" s="1">
        <v>9.1167000000000001E-7</v>
      </c>
      <c r="G1128" s="1">
        <v>6.7423000000000002</v>
      </c>
      <c r="H1128" s="1">
        <v>1.8521999999999999E-7</v>
      </c>
      <c r="I1128" s="1">
        <f t="shared" si="153"/>
        <v>1.8521999999999999E-7</v>
      </c>
      <c r="J1128" s="4">
        <f t="shared" si="154"/>
        <v>-1.5863442266576733E-8</v>
      </c>
      <c r="K1128" s="4">
        <f t="shared" si="155"/>
        <v>-2.3975268438598386E-8</v>
      </c>
      <c r="L1128" s="4">
        <f t="shared" si="156"/>
        <v>-7.1193474394224269E-9</v>
      </c>
      <c r="M1128" s="4">
        <f t="shared" si="158"/>
        <v>-7.4042164662116837E-9</v>
      </c>
      <c r="N1128" s="5">
        <f t="shared" si="159"/>
        <v>1.906720305589765E-7</v>
      </c>
      <c r="O1128" s="5">
        <f t="shared" si="160"/>
        <v>1.2287933358634081E-6</v>
      </c>
      <c r="P1128" s="5">
        <f t="shared" si="161"/>
        <v>3.8053463357761824E-7</v>
      </c>
      <c r="Q1128" s="1">
        <f t="shared" si="157"/>
        <v>1.8000000000000027E-6</v>
      </c>
    </row>
    <row r="1129" spans="1:17" x14ac:dyDescent="0.25">
      <c r="A1129" s="1">
        <v>56.35</v>
      </c>
      <c r="B1129" s="1">
        <v>9.9658999999999998E-3</v>
      </c>
      <c r="C1129" s="1">
        <v>1.6393E-3</v>
      </c>
      <c r="D1129" s="1">
        <v>2.9215999999999999E-2</v>
      </c>
      <c r="E1129" s="1">
        <v>9.8373999999999996E-3</v>
      </c>
      <c r="F1129" s="1">
        <v>9.0884000000000003E-7</v>
      </c>
      <c r="G1129" s="1">
        <v>6.7420999999999998</v>
      </c>
      <c r="H1129" s="1">
        <v>1.8526999999999999E-7</v>
      </c>
      <c r="I1129" s="1">
        <f t="shared" si="153"/>
        <v>1.8526999999999999E-7</v>
      </c>
      <c r="J1129" s="4">
        <f t="shared" si="154"/>
        <v>-1.5847556884080893E-8</v>
      </c>
      <c r="K1129" s="4">
        <f t="shared" si="155"/>
        <v>-2.3961470049338501E-8</v>
      </c>
      <c r="L1129" s="4">
        <f t="shared" si="156"/>
        <v>-7.1154734268260156E-9</v>
      </c>
      <c r="M1129" s="4">
        <f t="shared" si="158"/>
        <v>-7.4006756072815075E-9</v>
      </c>
      <c r="N1129" s="5">
        <f t="shared" si="159"/>
        <v>1.916704702974081E-7</v>
      </c>
      <c r="O1129" s="5">
        <f t="shared" si="160"/>
        <v>1.228080098305432E-6</v>
      </c>
      <c r="P1129" s="5">
        <f t="shared" si="161"/>
        <v>3.8024943139716272E-7</v>
      </c>
      <c r="Q1129" s="1">
        <f t="shared" si="157"/>
        <v>1.8000000000000029E-6</v>
      </c>
    </row>
    <row r="1130" spans="1:17" x14ac:dyDescent="0.25">
      <c r="A1130" s="1">
        <v>56.4</v>
      </c>
      <c r="B1130" s="1">
        <v>9.9462999999999999E-3</v>
      </c>
      <c r="C1130" s="1">
        <v>1.6337999999999999E-3</v>
      </c>
      <c r="D1130" s="1">
        <v>2.9229000000000002E-2</v>
      </c>
      <c r="E1130" s="1">
        <v>9.8113000000000002E-3</v>
      </c>
      <c r="F1130" s="1">
        <v>9.0599999999999999E-7</v>
      </c>
      <c r="G1130" s="1">
        <v>6.742</v>
      </c>
      <c r="H1130" s="1">
        <v>1.8531000000000001E-7</v>
      </c>
      <c r="I1130" s="1">
        <f t="shared" si="153"/>
        <v>1.8531000000000001E-7</v>
      </c>
      <c r="J1130" s="4">
        <f t="shared" si="154"/>
        <v>-1.5831791966816759E-8</v>
      </c>
      <c r="K1130" s="4">
        <f t="shared" si="155"/>
        <v>-2.394756191695456E-8</v>
      </c>
      <c r="L1130" s="4">
        <f t="shared" si="156"/>
        <v>-7.1116613674751027E-9</v>
      </c>
      <c r="M1130" s="4">
        <f t="shared" si="158"/>
        <v>-7.397125276269574E-9</v>
      </c>
      <c r="N1130" s="5">
        <f t="shared" si="159"/>
        <v>1.9267457888007078E-7</v>
      </c>
      <c r="O1130" s="5">
        <f t="shared" si="160"/>
        <v>1.2273614536315636E-6</v>
      </c>
      <c r="P1130" s="5">
        <f t="shared" si="161"/>
        <v>3.7996396748836824E-7</v>
      </c>
      <c r="Q1130" s="1">
        <f t="shared" si="157"/>
        <v>1.8000000000000027E-6</v>
      </c>
    </row>
    <row r="1131" spans="1:17" x14ac:dyDescent="0.25">
      <c r="A1131" s="1">
        <v>56.45</v>
      </c>
      <c r="B1131" s="1">
        <v>9.9267999999999995E-3</v>
      </c>
      <c r="C1131" s="1">
        <v>1.6282E-3</v>
      </c>
      <c r="D1131" s="1">
        <v>2.9241E-2</v>
      </c>
      <c r="E1131" s="1">
        <v>9.7853000000000002E-3</v>
      </c>
      <c r="F1131" s="1">
        <v>9.0317000000000001E-7</v>
      </c>
      <c r="G1131" s="1">
        <v>6.7419000000000002</v>
      </c>
      <c r="H1131" s="1">
        <v>1.8535999999999999E-7</v>
      </c>
      <c r="I1131" s="1">
        <f t="shared" si="153"/>
        <v>1.8535999999999999E-7</v>
      </c>
      <c r="J1131" s="4">
        <f t="shared" si="154"/>
        <v>-1.5815423062961526E-8</v>
      </c>
      <c r="K1131" s="4">
        <f t="shared" si="155"/>
        <v>-2.3933548345817535E-8</v>
      </c>
      <c r="L1131" s="4">
        <f t="shared" si="156"/>
        <v>-7.1076702012713334E-9</v>
      </c>
      <c r="M1131" s="4">
        <f t="shared" si="158"/>
        <v>-7.3931678956039298E-9</v>
      </c>
      <c r="N1131" s="5">
        <f t="shared" si="159"/>
        <v>1.9368503396165545E-7</v>
      </c>
      <c r="O1131" s="5">
        <f t="shared" si="160"/>
        <v>1.2266364962443115E-6</v>
      </c>
      <c r="P1131" s="5">
        <f t="shared" si="161"/>
        <v>3.7967846979403561E-7</v>
      </c>
      <c r="Q1131" s="1">
        <f t="shared" si="157"/>
        <v>1.8000000000000027E-6</v>
      </c>
    </row>
    <row r="1132" spans="1:17" x14ac:dyDescent="0.25">
      <c r="A1132" s="1">
        <v>56.5</v>
      </c>
      <c r="B1132" s="1">
        <v>9.9073000000000008E-3</v>
      </c>
      <c r="C1132" s="1">
        <v>1.6226999999999999E-3</v>
      </c>
      <c r="D1132" s="1">
        <v>2.9253999999999999E-2</v>
      </c>
      <c r="E1132" s="1">
        <v>9.7593999999999997E-3</v>
      </c>
      <c r="F1132" s="1">
        <v>9.0034000000000003E-7</v>
      </c>
      <c r="G1132" s="1">
        <v>6.7417999999999996</v>
      </c>
      <c r="H1132" s="1">
        <v>1.8540000000000001E-7</v>
      </c>
      <c r="I1132" s="1">
        <f t="shared" si="153"/>
        <v>1.8540000000000001E-7</v>
      </c>
      <c r="J1132" s="4">
        <f t="shared" si="154"/>
        <v>-1.5799199063425492E-8</v>
      </c>
      <c r="K1132" s="4">
        <f t="shared" si="155"/>
        <v>-2.3919411676762711E-8</v>
      </c>
      <c r="L1132" s="4">
        <f t="shared" si="156"/>
        <v>-7.1037522921559669E-9</v>
      </c>
      <c r="M1132" s="4">
        <f t="shared" si="158"/>
        <v>-7.3896061219069352E-9</v>
      </c>
      <c r="N1132" s="5">
        <f t="shared" si="159"/>
        <v>1.947014942828367E-7</v>
      </c>
      <c r="O1132" s="5">
        <f t="shared" si="160"/>
        <v>1.2259058897528813E-6</v>
      </c>
      <c r="P1132" s="5">
        <f t="shared" si="161"/>
        <v>3.7939261596428462E-7</v>
      </c>
      <c r="Q1132" s="1">
        <f t="shared" si="157"/>
        <v>1.8000000000000027E-6</v>
      </c>
    </row>
    <row r="1133" spans="1:17" x14ac:dyDescent="0.25">
      <c r="A1133" s="1">
        <v>56.55</v>
      </c>
      <c r="B1133" s="1">
        <v>9.8878000000000004E-3</v>
      </c>
      <c r="C1133" s="1">
        <v>1.6172000000000001E-3</v>
      </c>
      <c r="D1133" s="1">
        <v>2.9266E-2</v>
      </c>
      <c r="E1133" s="1">
        <v>9.7335000000000008E-3</v>
      </c>
      <c r="F1133" s="1">
        <v>8.9751000000000005E-7</v>
      </c>
      <c r="G1133" s="1">
        <v>6.7416999999999998</v>
      </c>
      <c r="H1133" s="1">
        <v>1.8545000000000001E-7</v>
      </c>
      <c r="I1133" s="1">
        <f t="shared" si="153"/>
        <v>1.8545000000000001E-7</v>
      </c>
      <c r="J1133" s="4">
        <f t="shared" si="154"/>
        <v>-1.5782739019108259E-8</v>
      </c>
      <c r="K1133" s="4">
        <f t="shared" si="155"/>
        <v>-2.3905164850179827E-8</v>
      </c>
      <c r="L1133" s="4">
        <f t="shared" si="156"/>
        <v>-7.0998152054757459E-9</v>
      </c>
      <c r="M1133" s="4">
        <f t="shared" si="158"/>
        <v>-7.38563605497631E-9</v>
      </c>
      <c r="N1133" s="5">
        <f t="shared" si="159"/>
        <v>1.9572410490843253E-7</v>
      </c>
      <c r="O1133" s="5">
        <f t="shared" si="160"/>
        <v>1.2251690999767861E-6</v>
      </c>
      <c r="P1133" s="5">
        <f t="shared" si="161"/>
        <v>3.7910679511478406E-7</v>
      </c>
      <c r="Q1133" s="1">
        <f t="shared" si="157"/>
        <v>1.8000000000000027E-6</v>
      </c>
    </row>
    <row r="1134" spans="1:17" x14ac:dyDescent="0.25">
      <c r="A1134" s="1">
        <v>56.6</v>
      </c>
      <c r="B1134" s="1">
        <v>9.8683999999999994E-3</v>
      </c>
      <c r="C1134" s="1">
        <v>1.6117E-3</v>
      </c>
      <c r="D1134" s="1">
        <v>2.9278999999999999E-2</v>
      </c>
      <c r="E1134" s="1">
        <v>9.7076000000000003E-3</v>
      </c>
      <c r="F1134" s="1">
        <v>8.9469000000000003E-7</v>
      </c>
      <c r="G1134" s="1">
        <v>6.7416</v>
      </c>
      <c r="H1134" s="1">
        <v>1.8549E-7</v>
      </c>
      <c r="I1134" s="1">
        <f t="shared" si="153"/>
        <v>1.8549E-7</v>
      </c>
      <c r="J1134" s="4">
        <f t="shared" si="154"/>
        <v>-1.5766050304666706E-8</v>
      </c>
      <c r="K1134" s="4">
        <f t="shared" si="155"/>
        <v>-2.3890797449549363E-8</v>
      </c>
      <c r="L1134" s="4">
        <f t="shared" si="156"/>
        <v>-7.0957897979740001E-9</v>
      </c>
      <c r="M1134" s="4">
        <f t="shared" si="158"/>
        <v>-7.3820622911744845E-9</v>
      </c>
      <c r="N1134" s="5">
        <f t="shared" si="159"/>
        <v>1.9675306225534121E-7</v>
      </c>
      <c r="O1134" s="5">
        <f t="shared" si="160"/>
        <v>1.2244264151230778E-6</v>
      </c>
      <c r="P1134" s="5">
        <f t="shared" si="161"/>
        <v>3.7882052262158358E-7</v>
      </c>
      <c r="Q1134" s="1">
        <f t="shared" si="157"/>
        <v>1.8000000000000027E-6</v>
      </c>
    </row>
    <row r="1135" spans="1:17" x14ac:dyDescent="0.25">
      <c r="A1135" s="1">
        <v>56.65</v>
      </c>
      <c r="B1135" s="1">
        <v>9.8490999999999995E-3</v>
      </c>
      <c r="C1135" s="1">
        <v>1.6061999999999999E-3</v>
      </c>
      <c r="D1135" s="1">
        <v>2.9291000000000001E-2</v>
      </c>
      <c r="E1135" s="1">
        <v>9.6819000000000002E-3</v>
      </c>
      <c r="F1135" s="1">
        <v>8.9186000000000005E-7</v>
      </c>
      <c r="G1135" s="1">
        <v>6.7415000000000003</v>
      </c>
      <c r="H1135" s="1">
        <v>1.8554000000000001E-7</v>
      </c>
      <c r="I1135" s="1">
        <f t="shared" si="153"/>
        <v>1.8554000000000001E-7</v>
      </c>
      <c r="J1135" s="4">
        <f t="shared" si="154"/>
        <v>-1.5749496232679954E-8</v>
      </c>
      <c r="K1135" s="4">
        <f t="shared" si="155"/>
        <v>-2.3876315094898662E-8</v>
      </c>
      <c r="L1135" s="4">
        <f t="shared" si="156"/>
        <v>-7.0917603858063711E-9</v>
      </c>
      <c r="M1135" s="4">
        <f t="shared" si="158"/>
        <v>-7.378078967812721E-9</v>
      </c>
      <c r="N1135" s="5">
        <f t="shared" si="159"/>
        <v>1.9778812073175355E-7</v>
      </c>
      <c r="O1135" s="5">
        <f t="shared" si="160"/>
        <v>1.2236776752286718E-6</v>
      </c>
      <c r="P1135" s="5">
        <f t="shared" si="161"/>
        <v>3.7853420403957724E-7</v>
      </c>
      <c r="Q1135" s="1">
        <f t="shared" si="157"/>
        <v>1.8000000000000027E-6</v>
      </c>
    </row>
    <row r="1136" spans="1:17" x14ac:dyDescent="0.25">
      <c r="A1136" s="1">
        <v>56.7</v>
      </c>
      <c r="B1136" s="1">
        <v>9.8297999999999996E-3</v>
      </c>
      <c r="C1136" s="1">
        <v>1.6007E-3</v>
      </c>
      <c r="D1136" s="1">
        <v>2.9302999999999999E-2</v>
      </c>
      <c r="E1136" s="1">
        <v>9.6561000000000008E-3</v>
      </c>
      <c r="F1136" s="1">
        <v>8.8904999999999998E-7</v>
      </c>
      <c r="G1136" s="1">
        <v>6.7412999999999998</v>
      </c>
      <c r="H1136" s="1">
        <v>1.8558E-7</v>
      </c>
      <c r="I1136" s="1">
        <f t="shared" si="153"/>
        <v>1.8558E-7</v>
      </c>
      <c r="J1136" s="4">
        <f t="shared" si="154"/>
        <v>-1.5732349160953661E-8</v>
      </c>
      <c r="K1136" s="4">
        <f t="shared" si="155"/>
        <v>-2.3861714666961135E-8</v>
      </c>
      <c r="L1136" s="4">
        <f t="shared" si="156"/>
        <v>-7.0877041247164871E-9</v>
      </c>
      <c r="M1136" s="4">
        <f t="shared" si="158"/>
        <v>-7.3744898028384605E-9</v>
      </c>
      <c r="N1136" s="5">
        <f t="shared" si="159"/>
        <v>1.9882978211304451E-7</v>
      </c>
      <c r="O1136" s="5">
        <f t="shared" si="160"/>
        <v>1.2229227995255028E-6</v>
      </c>
      <c r="P1136" s="5">
        <f t="shared" si="161"/>
        <v>3.7824741836145526E-7</v>
      </c>
      <c r="Q1136" s="1">
        <f t="shared" si="157"/>
        <v>1.8000000000000027E-6</v>
      </c>
    </row>
    <row r="1137" spans="1:17" x14ac:dyDescent="0.25">
      <c r="A1137" s="1">
        <v>56.75</v>
      </c>
      <c r="B1137" s="1">
        <v>9.8105999999999992E-3</v>
      </c>
      <c r="C1137" s="1">
        <v>1.5952E-3</v>
      </c>
      <c r="D1137" s="1">
        <v>2.9315999999999998E-2</v>
      </c>
      <c r="E1137" s="1">
        <v>9.6305000000000002E-3</v>
      </c>
      <c r="F1137" s="1">
        <v>8.8622999999999996E-7</v>
      </c>
      <c r="G1137" s="1">
        <v>6.7412000000000001</v>
      </c>
      <c r="H1137" s="1">
        <v>1.8563E-7</v>
      </c>
      <c r="I1137" s="1">
        <f t="shared" si="153"/>
        <v>1.8563E-7</v>
      </c>
      <c r="J1137" s="4">
        <f t="shared" si="154"/>
        <v>-1.5715702869405878E-8</v>
      </c>
      <c r="K1137" s="4">
        <f t="shared" si="155"/>
        <v>-2.384699459074595E-8</v>
      </c>
      <c r="L1137" s="4">
        <f t="shared" si="156"/>
        <v>-7.0836561912228911E-9</v>
      </c>
      <c r="M1137" s="4">
        <f t="shared" si="158"/>
        <v>-7.3704913694490629E-9</v>
      </c>
      <c r="N1137" s="5">
        <f t="shared" si="159"/>
        <v>1.9987741764316169E-7</v>
      </c>
      <c r="O1137" s="5">
        <f t="shared" si="160"/>
        <v>1.2221619991736119E-6</v>
      </c>
      <c r="P1137" s="5">
        <f t="shared" si="161"/>
        <v>3.7796058318322908E-7</v>
      </c>
      <c r="Q1137" s="1">
        <f t="shared" si="157"/>
        <v>1.8000000000000027E-6</v>
      </c>
    </row>
    <row r="1138" spans="1:17" x14ac:dyDescent="0.25">
      <c r="A1138" s="1">
        <v>56.8</v>
      </c>
      <c r="B1138" s="1">
        <v>9.7912999999999993E-3</v>
      </c>
      <c r="C1138" s="1">
        <v>1.5897000000000001E-3</v>
      </c>
      <c r="D1138" s="1">
        <v>2.9328E-2</v>
      </c>
      <c r="E1138" s="1">
        <v>9.6048999999999995E-3</v>
      </c>
      <c r="F1138" s="1">
        <v>8.8342000000000001E-7</v>
      </c>
      <c r="G1138" s="1">
        <v>6.7411000000000003</v>
      </c>
      <c r="H1138" s="1">
        <v>1.8566999999999999E-7</v>
      </c>
      <c r="I1138" s="1">
        <f t="shared" si="153"/>
        <v>1.8566999999999999E-7</v>
      </c>
      <c r="J1138" s="4">
        <f t="shared" si="154"/>
        <v>-1.5698444595405245E-8</v>
      </c>
      <c r="K1138" s="4">
        <f t="shared" si="155"/>
        <v>-2.3832158983884079E-8</v>
      </c>
      <c r="L1138" s="4">
        <f t="shared" si="156"/>
        <v>-7.0795737371292832E-9</v>
      </c>
      <c r="M1138" s="4">
        <f t="shared" si="158"/>
        <v>-7.3668864209113774E-9</v>
      </c>
      <c r="N1138" s="5">
        <f t="shared" si="159"/>
        <v>2.0093155829451124E-7</v>
      </c>
      <c r="O1138" s="5">
        <f t="shared" si="160"/>
        <v>1.2213951712060444E-6</v>
      </c>
      <c r="P1138" s="5">
        <f t="shared" si="161"/>
        <v>3.7767327049944697E-7</v>
      </c>
      <c r="Q1138" s="1">
        <f t="shared" si="157"/>
        <v>1.8000000000000027E-6</v>
      </c>
    </row>
    <row r="1139" spans="1:17" x14ac:dyDescent="0.25">
      <c r="A1139" s="1">
        <v>56.85</v>
      </c>
      <c r="B1139" s="1">
        <v>9.7722E-3</v>
      </c>
      <c r="C1139" s="1">
        <v>1.5842E-3</v>
      </c>
      <c r="D1139" s="1">
        <v>2.9340000000000001E-2</v>
      </c>
      <c r="E1139" s="1">
        <v>9.5794000000000001E-3</v>
      </c>
      <c r="F1139" s="1">
        <v>8.8061000000000005E-7</v>
      </c>
      <c r="G1139" s="1">
        <v>6.7409999999999997</v>
      </c>
      <c r="H1139" s="1">
        <v>1.8572E-7</v>
      </c>
      <c r="I1139" s="1">
        <f t="shared" si="153"/>
        <v>1.8572E-7</v>
      </c>
      <c r="J1139" s="4">
        <f t="shared" si="154"/>
        <v>-1.5681319615484761E-8</v>
      </c>
      <c r="K1139" s="4">
        <f t="shared" si="155"/>
        <v>-2.3817205838519899E-8</v>
      </c>
      <c r="L1139" s="4">
        <f t="shared" si="156"/>
        <v>-7.075486779960764E-9</v>
      </c>
      <c r="M1139" s="4">
        <f t="shared" si="158"/>
        <v>-7.3628725940320212E-9</v>
      </c>
      <c r="N1139" s="5">
        <f t="shared" si="159"/>
        <v>2.0199195773758563E-7</v>
      </c>
      <c r="O1139" s="5">
        <f t="shared" si="160"/>
        <v>1.2206221575770412E-6</v>
      </c>
      <c r="P1139" s="5">
        <f t="shared" si="161"/>
        <v>3.7738588468537572E-7</v>
      </c>
      <c r="Q1139" s="1">
        <f t="shared" si="157"/>
        <v>1.8000000000000025E-6</v>
      </c>
    </row>
    <row r="1140" spans="1:17" x14ac:dyDescent="0.25">
      <c r="A1140" s="1">
        <v>56.9</v>
      </c>
      <c r="B1140" s="1">
        <v>9.7531000000000007E-3</v>
      </c>
      <c r="C1140" s="1">
        <v>1.5788E-3</v>
      </c>
      <c r="D1140" s="1">
        <v>2.9353000000000001E-2</v>
      </c>
      <c r="E1140" s="1">
        <v>9.5539000000000006E-3</v>
      </c>
      <c r="F1140" s="1">
        <v>8.7779999999999999E-7</v>
      </c>
      <c r="G1140" s="1">
        <v>6.7408999999999999</v>
      </c>
      <c r="H1140" s="1">
        <v>1.8575999999999999E-7</v>
      </c>
      <c r="I1140" s="1">
        <f t="shared" si="153"/>
        <v>1.8575999999999999E-7</v>
      </c>
      <c r="J1140" s="4">
        <f t="shared" si="154"/>
        <v>-1.5663950579901197E-8</v>
      </c>
      <c r="K1140" s="4">
        <f t="shared" si="155"/>
        <v>-2.3802132072750951E-8</v>
      </c>
      <c r="L1140" s="4">
        <f t="shared" si="156"/>
        <v>-7.0713787030375305E-9</v>
      </c>
      <c r="M1140" s="4">
        <f t="shared" si="158"/>
        <v>-7.3592511828952199E-9</v>
      </c>
      <c r="N1140" s="5">
        <f t="shared" si="159"/>
        <v>2.0305876052739786E-7</v>
      </c>
      <c r="O1140" s="5">
        <f t="shared" si="160"/>
        <v>1.2198432272670866E-6</v>
      </c>
      <c r="P1140" s="5">
        <f t="shared" si="161"/>
        <v>3.7709801220551804E-7</v>
      </c>
      <c r="Q1140" s="1">
        <f t="shared" si="157"/>
        <v>1.8000000000000025E-6</v>
      </c>
    </row>
    <row r="1141" spans="1:17" x14ac:dyDescent="0.25">
      <c r="A1141" s="1">
        <v>56.95</v>
      </c>
      <c r="B1141" s="1">
        <v>9.7339999999999996E-3</v>
      </c>
      <c r="C1141" s="1">
        <v>1.5732999999999999E-3</v>
      </c>
      <c r="D1141" s="1">
        <v>2.9364999999999999E-2</v>
      </c>
      <c r="E1141" s="1">
        <v>9.5285000000000005E-3</v>
      </c>
      <c r="F1141" s="1">
        <v>8.7499999999999999E-7</v>
      </c>
      <c r="G1141" s="1">
        <v>6.7408000000000001</v>
      </c>
      <c r="H1141" s="1">
        <v>1.8580999999999999E-7</v>
      </c>
      <c r="I1141" s="1">
        <f t="shared" si="153"/>
        <v>1.8580999999999999E-7</v>
      </c>
      <c r="J1141" s="4">
        <f t="shared" si="154"/>
        <v>-1.5646344343606913E-8</v>
      </c>
      <c r="K1141" s="4">
        <f t="shared" si="155"/>
        <v>-2.378694293171022E-8</v>
      </c>
      <c r="L1141" s="4">
        <f t="shared" si="156"/>
        <v>-7.0671790644930767E-9</v>
      </c>
      <c r="M1141" s="4">
        <f t="shared" si="158"/>
        <v>-7.3552213084668145E-9</v>
      </c>
      <c r="N1141" s="5">
        <f t="shared" si="159"/>
        <v>2.0413218005100809E-7</v>
      </c>
      <c r="O1141" s="5">
        <f t="shared" si="160"/>
        <v>1.21905784998745E-6</v>
      </c>
      <c r="P1141" s="5">
        <f t="shared" si="161"/>
        <v>3.7680996996154433E-7</v>
      </c>
      <c r="Q1141" s="1">
        <f t="shared" si="157"/>
        <v>1.8000000000000025E-6</v>
      </c>
    </row>
    <row r="1142" spans="1:17" x14ac:dyDescent="0.25">
      <c r="A1142" s="1">
        <v>57</v>
      </c>
      <c r="B1142" s="1">
        <v>9.7149999999999997E-3</v>
      </c>
      <c r="C1142" s="1">
        <v>1.5678999999999999E-3</v>
      </c>
      <c r="D1142" s="1">
        <v>2.9377E-2</v>
      </c>
      <c r="E1142" s="1">
        <v>9.5031000000000004E-3</v>
      </c>
      <c r="F1142" s="1">
        <v>8.7219999999999999E-7</v>
      </c>
      <c r="G1142" s="1">
        <v>6.7407000000000004</v>
      </c>
      <c r="H1142" s="1">
        <v>1.8585000000000001E-7</v>
      </c>
      <c r="I1142" s="1">
        <f t="shared" si="153"/>
        <v>1.8585000000000001E-7</v>
      </c>
      <c r="J1142" s="4">
        <f t="shared" si="154"/>
        <v>-1.562887003515442E-8</v>
      </c>
      <c r="K1142" s="4">
        <f t="shared" si="155"/>
        <v>-2.3771628074753923E-8</v>
      </c>
      <c r="L1142" s="4">
        <f t="shared" si="156"/>
        <v>-7.06304806559281E-9</v>
      </c>
      <c r="M1142" s="4">
        <f t="shared" si="158"/>
        <v>-7.3515813544478097E-9</v>
      </c>
      <c r="N1142" s="5">
        <f t="shared" si="159"/>
        <v>2.0521189002501478E-7</v>
      </c>
      <c r="O1142" s="5">
        <f t="shared" si="160"/>
        <v>1.2182666733022984E-6</v>
      </c>
      <c r="P1142" s="5">
        <f t="shared" si="161"/>
        <v>3.7652143667268933E-7</v>
      </c>
      <c r="Q1142" s="1">
        <f t="shared" si="157"/>
        <v>1.8000000000000027E-6</v>
      </c>
    </row>
    <row r="1143" spans="1:17" x14ac:dyDescent="0.25">
      <c r="A1143" s="1">
        <v>57.05</v>
      </c>
      <c r="B1143" s="1">
        <v>9.6959999999999998E-3</v>
      </c>
      <c r="C1143" s="1">
        <v>1.5625000000000001E-3</v>
      </c>
      <c r="D1143" s="1">
        <v>2.9388999999999998E-2</v>
      </c>
      <c r="E1143" s="1">
        <v>9.4777999999999998E-3</v>
      </c>
      <c r="F1143" s="1">
        <v>8.6939999999999999E-7</v>
      </c>
      <c r="G1143" s="1">
        <v>6.7405999999999997</v>
      </c>
      <c r="H1143" s="1">
        <v>1.8589999999999999E-7</v>
      </c>
      <c r="I1143" s="1">
        <f t="shared" si="153"/>
        <v>1.8589999999999999E-7</v>
      </c>
      <c r="J1143" s="4">
        <f t="shared" si="154"/>
        <v>-1.5611142390048828E-8</v>
      </c>
      <c r="K1143" s="4">
        <f t="shared" si="155"/>
        <v>-2.375620012939347E-8</v>
      </c>
      <c r="L1143" s="4">
        <f t="shared" si="156"/>
        <v>-7.0588182306182431E-9</v>
      </c>
      <c r="M1143" s="4">
        <f t="shared" si="158"/>
        <v>-7.3475334455896111E-9</v>
      </c>
      <c r="N1143" s="5">
        <f t="shared" si="159"/>
        <v>2.0629812953374119E-7</v>
      </c>
      <c r="O1143" s="5">
        <f t="shared" si="160"/>
        <v>1.2174691490085434E-6</v>
      </c>
      <c r="P1143" s="5">
        <f t="shared" si="161"/>
        <v>3.7623272145771797E-7</v>
      </c>
      <c r="Q1143" s="1">
        <f t="shared" si="157"/>
        <v>1.8000000000000027E-6</v>
      </c>
    </row>
    <row r="1144" spans="1:17" x14ac:dyDescent="0.25">
      <c r="A1144" s="1">
        <v>57.1</v>
      </c>
      <c r="B1144" s="1">
        <v>9.6770999999999992E-3</v>
      </c>
      <c r="C1144" s="1">
        <v>1.557E-3</v>
      </c>
      <c r="D1144" s="1">
        <v>2.9402000000000001E-2</v>
      </c>
      <c r="E1144" s="1">
        <v>9.4526000000000002E-3</v>
      </c>
      <c r="F1144" s="1">
        <v>8.6660999999999995E-7</v>
      </c>
      <c r="G1144" s="1">
        <v>6.7404000000000002</v>
      </c>
      <c r="H1144" s="1">
        <v>1.8594000000000001E-7</v>
      </c>
      <c r="I1144" s="1">
        <f t="shared" si="153"/>
        <v>1.8594000000000001E-7</v>
      </c>
      <c r="J1144" s="4">
        <f t="shared" si="154"/>
        <v>-1.5593175326419541E-8</v>
      </c>
      <c r="K1144" s="4">
        <f t="shared" si="155"/>
        <v>-2.374064840566862E-8</v>
      </c>
      <c r="L1144" s="4">
        <f t="shared" si="156"/>
        <v>-7.0545702553630938E-9</v>
      </c>
      <c r="M1144" s="4">
        <f t="shared" si="158"/>
        <v>-7.3438746064945515E-9</v>
      </c>
      <c r="N1144" s="5">
        <f t="shared" si="159"/>
        <v>2.0739103235762715E-7</v>
      </c>
      <c r="O1144" s="5">
        <f t="shared" si="160"/>
        <v>1.2166655505357889E-6</v>
      </c>
      <c r="P1144" s="5">
        <f t="shared" si="161"/>
        <v>3.7594341710658652E-7</v>
      </c>
      <c r="Q1144" s="1">
        <f t="shared" si="157"/>
        <v>1.8000000000000025E-6</v>
      </c>
    </row>
    <row r="1145" spans="1:17" x14ac:dyDescent="0.25">
      <c r="A1145" s="1">
        <v>57.15</v>
      </c>
      <c r="B1145" s="1">
        <v>9.6582000000000005E-3</v>
      </c>
      <c r="C1145" s="1">
        <v>1.5516E-3</v>
      </c>
      <c r="D1145" s="1">
        <v>2.9413999999999999E-2</v>
      </c>
      <c r="E1145" s="1">
        <v>9.4274000000000007E-3</v>
      </c>
      <c r="F1145" s="1">
        <v>8.6380999999999995E-7</v>
      </c>
      <c r="G1145" s="1">
        <v>6.7403000000000004</v>
      </c>
      <c r="H1145" s="1">
        <v>1.8598E-7</v>
      </c>
      <c r="I1145" s="1">
        <f t="shared" si="153"/>
        <v>1.8598E-7</v>
      </c>
      <c r="J1145" s="4">
        <f t="shared" si="154"/>
        <v>-1.5575333900649738E-8</v>
      </c>
      <c r="K1145" s="4">
        <f t="shared" si="155"/>
        <v>-2.3724978235446538E-8</v>
      </c>
      <c r="L1145" s="4">
        <f t="shared" si="156"/>
        <v>-7.0503884688789557E-9</v>
      </c>
      <c r="M1145" s="4">
        <f t="shared" si="158"/>
        <v>-7.3398064925634464E-9</v>
      </c>
      <c r="N1145" s="5">
        <f t="shared" si="159"/>
        <v>2.0849028822354499E-7</v>
      </c>
      <c r="O1145" s="5">
        <f t="shared" si="160"/>
        <v>1.2158557126935556E-6</v>
      </c>
      <c r="P1145" s="5">
        <f t="shared" si="161"/>
        <v>3.7565399908290198E-7</v>
      </c>
      <c r="Q1145" s="1">
        <f t="shared" si="157"/>
        <v>1.8000000000000027E-6</v>
      </c>
    </row>
    <row r="1146" spans="1:17" x14ac:dyDescent="0.25">
      <c r="A1146" s="1">
        <v>57.2</v>
      </c>
      <c r="B1146" s="1">
        <v>9.6393999999999994E-3</v>
      </c>
      <c r="C1146" s="1">
        <v>1.5462E-3</v>
      </c>
      <c r="D1146" s="1">
        <v>2.9426000000000001E-2</v>
      </c>
      <c r="E1146" s="1">
        <v>9.4023000000000006E-3</v>
      </c>
      <c r="F1146" s="1">
        <v>8.6102999999999997E-7</v>
      </c>
      <c r="G1146" s="1">
        <v>6.7401999999999997</v>
      </c>
      <c r="H1146" s="1">
        <v>1.8603000000000001E-7</v>
      </c>
      <c r="I1146" s="1">
        <f t="shared" si="153"/>
        <v>1.8603000000000001E-7</v>
      </c>
      <c r="J1146" s="4">
        <f t="shared" si="154"/>
        <v>-1.5556872219280651E-8</v>
      </c>
      <c r="K1146" s="4">
        <f t="shared" si="155"/>
        <v>-2.3709186397526357E-8</v>
      </c>
      <c r="L1146" s="4">
        <f t="shared" si="156"/>
        <v>-7.0460235145945612E-9</v>
      </c>
      <c r="M1146" s="4">
        <f t="shared" si="158"/>
        <v>-7.3357337286916279E-9</v>
      </c>
      <c r="N1146" s="5">
        <f t="shared" si="159"/>
        <v>2.0959657888719612E-7</v>
      </c>
      <c r="O1146" s="5">
        <f t="shared" si="160"/>
        <v>1.2150391322440017E-6</v>
      </c>
      <c r="P1146" s="5">
        <f t="shared" si="161"/>
        <v>3.7536428886880491E-7</v>
      </c>
      <c r="Q1146" s="1">
        <f t="shared" si="157"/>
        <v>1.8000000000000027E-6</v>
      </c>
    </row>
    <row r="1147" spans="1:17" x14ac:dyDescent="0.25">
      <c r="A1147" s="1">
        <v>57.25</v>
      </c>
      <c r="B1147" s="1">
        <v>9.6206E-3</v>
      </c>
      <c r="C1147" s="1">
        <v>1.5407999999999999E-3</v>
      </c>
      <c r="D1147" s="1">
        <v>2.9437999999999999E-2</v>
      </c>
      <c r="E1147" s="1">
        <v>9.3772000000000005E-3</v>
      </c>
      <c r="F1147" s="1">
        <v>8.5824000000000004E-7</v>
      </c>
      <c r="G1147" s="1">
        <v>6.7401</v>
      </c>
      <c r="H1147" s="1">
        <v>1.8607E-7</v>
      </c>
      <c r="I1147" s="1">
        <f t="shared" si="153"/>
        <v>1.8607E-7</v>
      </c>
      <c r="J1147" s="4">
        <f t="shared" si="154"/>
        <v>-1.5538917340512851E-8</v>
      </c>
      <c r="K1147" s="4">
        <f t="shared" si="155"/>
        <v>-2.3693263078756687E-8</v>
      </c>
      <c r="L1147" s="4">
        <f t="shared" si="156"/>
        <v>-7.0418160159276873E-9</v>
      </c>
      <c r="M1147" s="4">
        <f t="shared" si="158"/>
        <v>-7.3320469591172798E-9</v>
      </c>
      <c r="N1147" s="5">
        <f t="shared" si="159"/>
        <v>2.1070910860951229E-7</v>
      </c>
      <c r="O1147" s="5">
        <f t="shared" si="160"/>
        <v>1.2142168334648753E-6</v>
      </c>
      <c r="P1147" s="5">
        <f t="shared" si="161"/>
        <v>3.750740579256153E-7</v>
      </c>
      <c r="Q1147" s="1">
        <f t="shared" si="157"/>
        <v>1.8000000000000031E-6</v>
      </c>
    </row>
    <row r="1148" spans="1:17" x14ac:dyDescent="0.25">
      <c r="A1148" s="1">
        <v>57.3</v>
      </c>
      <c r="B1148" s="1">
        <v>9.6019E-3</v>
      </c>
      <c r="C1148" s="1">
        <v>1.5353999999999999E-3</v>
      </c>
      <c r="D1148" s="1">
        <v>2.945E-2</v>
      </c>
      <c r="E1148" s="1">
        <v>9.3521999999999997E-3</v>
      </c>
      <c r="F1148" s="1">
        <v>8.5545999999999996E-7</v>
      </c>
      <c r="G1148" s="1">
        <v>6.74</v>
      </c>
      <c r="H1148" s="1">
        <v>1.8610999999999999E-7</v>
      </c>
      <c r="I1148" s="1">
        <f t="shared" si="153"/>
        <v>1.8610999999999999E-7</v>
      </c>
      <c r="J1148" s="4">
        <f t="shared" si="154"/>
        <v>-1.5520325080653859E-8</v>
      </c>
      <c r="K1148" s="4">
        <f t="shared" si="155"/>
        <v>-2.3677228252563722E-8</v>
      </c>
      <c r="L1148" s="4">
        <f t="shared" si="156"/>
        <v>-7.0374178346054198E-9</v>
      </c>
      <c r="M1148" s="4">
        <f t="shared" si="158"/>
        <v>-7.3279531456126037E-9</v>
      </c>
      <c r="N1148" s="5">
        <f t="shared" si="159"/>
        <v>2.1182859394681673E-7</v>
      </c>
      <c r="O1148" s="5">
        <f t="shared" si="160"/>
        <v>1.2133878834385781E-6</v>
      </c>
      <c r="P1148" s="5">
        <f t="shared" si="161"/>
        <v>3.747835226146081E-7</v>
      </c>
      <c r="Q1148" s="1">
        <f t="shared" si="157"/>
        <v>1.8000000000000029E-6</v>
      </c>
    </row>
    <row r="1149" spans="1:17" x14ac:dyDescent="0.25">
      <c r="A1149" s="1">
        <v>57.35</v>
      </c>
      <c r="B1149" s="1">
        <v>9.5832000000000001E-3</v>
      </c>
      <c r="C1149" s="1">
        <v>1.5300999999999999E-3</v>
      </c>
      <c r="D1149" s="1">
        <v>2.9461999999999999E-2</v>
      </c>
      <c r="E1149" s="1">
        <v>9.3273000000000002E-3</v>
      </c>
      <c r="F1149" s="1">
        <v>8.5267999999999998E-7</v>
      </c>
      <c r="G1149" s="1">
        <v>6.7398999999999996</v>
      </c>
      <c r="H1149" s="1">
        <v>1.8615999999999999E-7</v>
      </c>
      <c r="I1149" s="1">
        <f t="shared" si="153"/>
        <v>1.8615999999999999E-7</v>
      </c>
      <c r="J1149" s="4">
        <f t="shared" si="154"/>
        <v>-1.5501866708491394E-8</v>
      </c>
      <c r="K1149" s="4">
        <f t="shared" si="155"/>
        <v>-2.3661063727054293E-8</v>
      </c>
      <c r="L1149" s="4">
        <f t="shared" si="156"/>
        <v>-7.0330899749758713E-9</v>
      </c>
      <c r="M1149" s="4">
        <f t="shared" si="158"/>
        <v>-7.3238509463501197E-9</v>
      </c>
      <c r="N1149" s="5">
        <f t="shared" si="159"/>
        <v>2.1295470099040374E-7</v>
      </c>
      <c r="O1149" s="5">
        <f t="shared" si="160"/>
        <v>1.2125525373663654E-6</v>
      </c>
      <c r="P1149" s="5">
        <f t="shared" si="161"/>
        <v>3.7449276164323383E-7</v>
      </c>
      <c r="Q1149" s="1">
        <f t="shared" si="157"/>
        <v>1.8000000000000031E-6</v>
      </c>
    </row>
    <row r="1150" spans="1:17" x14ac:dyDescent="0.25">
      <c r="A1150" s="1">
        <v>57.4</v>
      </c>
      <c r="B1150" s="1">
        <v>9.5645999999999995E-3</v>
      </c>
      <c r="C1150" s="1">
        <v>1.5246999999999999E-3</v>
      </c>
      <c r="D1150" s="1">
        <v>2.9474E-2</v>
      </c>
      <c r="E1150" s="1">
        <v>9.3024000000000006E-3</v>
      </c>
      <c r="F1150" s="1">
        <v>8.4990999999999997E-7</v>
      </c>
      <c r="G1150" s="1">
        <v>6.7397999999999998</v>
      </c>
      <c r="H1150" s="1">
        <v>1.8620000000000001E-7</v>
      </c>
      <c r="I1150" s="1">
        <f t="shared" si="153"/>
        <v>1.8620000000000001E-7</v>
      </c>
      <c r="J1150" s="4">
        <f t="shared" si="154"/>
        <v>-1.5483152260911455E-8</v>
      </c>
      <c r="K1150" s="4">
        <f t="shared" si="155"/>
        <v>-2.3644774478642782E-8</v>
      </c>
      <c r="L1150" s="4">
        <f t="shared" si="156"/>
        <v>-7.0287379233156361E-9</v>
      </c>
      <c r="M1150" s="4">
        <f t="shared" si="158"/>
        <v>-7.3201351132875469E-9</v>
      </c>
      <c r="N1150" s="5">
        <f t="shared" si="159"/>
        <v>2.1408758528481944E-7</v>
      </c>
      <c r="O1150" s="5">
        <f t="shared" si="160"/>
        <v>1.2117110502619217E-6</v>
      </c>
      <c r="P1150" s="5">
        <f t="shared" si="161"/>
        <v>3.7420136445326192E-7</v>
      </c>
      <c r="Q1150" s="1">
        <f t="shared" si="157"/>
        <v>1.8000000000000031E-6</v>
      </c>
    </row>
    <row r="1151" spans="1:17" x14ac:dyDescent="0.25">
      <c r="A1151" s="1">
        <v>57.45</v>
      </c>
      <c r="B1151" s="1">
        <v>9.5460000000000007E-3</v>
      </c>
      <c r="C1151" s="1">
        <v>1.5194E-3</v>
      </c>
      <c r="D1151" s="1">
        <v>2.9485999999999998E-2</v>
      </c>
      <c r="E1151" s="1">
        <v>9.2776000000000004E-3</v>
      </c>
      <c r="F1151" s="1">
        <v>8.4713999999999995E-7</v>
      </c>
      <c r="G1151" s="1">
        <v>6.7397</v>
      </c>
      <c r="H1151" s="1">
        <v>1.8624999999999999E-7</v>
      </c>
      <c r="I1151" s="1">
        <f t="shared" si="153"/>
        <v>1.8624999999999999E-7</v>
      </c>
      <c r="J1151" s="4">
        <f t="shared" si="154"/>
        <v>-1.5464552670185609E-8</v>
      </c>
      <c r="K1151" s="4">
        <f t="shared" si="155"/>
        <v>-2.3628365480109487E-8</v>
      </c>
      <c r="L1151" s="4">
        <f t="shared" si="156"/>
        <v>-7.0243724306151085E-9</v>
      </c>
      <c r="M1151" s="4">
        <f t="shared" si="158"/>
        <v>-7.3160108764263486E-9</v>
      </c>
      <c r="N1151" s="5">
        <f t="shared" si="159"/>
        <v>2.1522702566412821E-7</v>
      </c>
      <c r="O1151" s="5">
        <f t="shared" si="160"/>
        <v>1.2108632483284243E-6</v>
      </c>
      <c r="P1151" s="5">
        <f t="shared" si="161"/>
        <v>3.7390972600745066E-7</v>
      </c>
      <c r="Q1151" s="1">
        <f t="shared" si="157"/>
        <v>1.8000000000000031E-6</v>
      </c>
    </row>
    <row r="1152" spans="1:17" x14ac:dyDescent="0.25">
      <c r="A1152" s="1">
        <v>57.5</v>
      </c>
      <c r="B1152" s="1">
        <v>9.5274000000000001E-3</v>
      </c>
      <c r="C1152" s="1">
        <v>1.5139999999999999E-3</v>
      </c>
      <c r="D1152" s="1">
        <v>2.9498E-2</v>
      </c>
      <c r="E1152" s="1">
        <v>9.2528000000000003E-3</v>
      </c>
      <c r="F1152" s="1">
        <v>8.4437000000000004E-7</v>
      </c>
      <c r="G1152" s="1">
        <v>6.7396000000000003</v>
      </c>
      <c r="H1152" s="1">
        <v>1.8629000000000001E-7</v>
      </c>
      <c r="I1152" s="1">
        <f t="shared" si="153"/>
        <v>1.8629000000000001E-7</v>
      </c>
      <c r="J1152" s="4">
        <f t="shared" si="154"/>
        <v>-1.5445685271452398E-8</v>
      </c>
      <c r="K1152" s="4">
        <f t="shared" si="155"/>
        <v>-2.3611833342402934E-8</v>
      </c>
      <c r="L1152" s="4">
        <f t="shared" si="156"/>
        <v>-7.0199777150042627E-9</v>
      </c>
      <c r="M1152" s="4">
        <f t="shared" si="158"/>
        <v>-7.3122720792327906E-9</v>
      </c>
      <c r="N1152" s="5">
        <f t="shared" si="159"/>
        <v>2.1637319602007449E-7</v>
      </c>
      <c r="O1152" s="5">
        <f t="shared" si="160"/>
        <v>1.2100093723367064E-6</v>
      </c>
      <c r="P1152" s="5">
        <f t="shared" si="161"/>
        <v>3.7361743164322213E-7</v>
      </c>
      <c r="Q1152" s="1">
        <f t="shared" si="157"/>
        <v>1.8000000000000029E-6</v>
      </c>
    </row>
    <row r="1153" spans="1:17" x14ac:dyDescent="0.25">
      <c r="A1153" s="1">
        <v>57.55</v>
      </c>
      <c r="B1153" s="1">
        <v>9.5089000000000007E-3</v>
      </c>
      <c r="C1153" s="1">
        <v>1.5087E-3</v>
      </c>
      <c r="D1153" s="1">
        <v>2.9510000000000002E-2</v>
      </c>
      <c r="E1153" s="1">
        <v>9.2280999999999995E-3</v>
      </c>
      <c r="F1153" s="1">
        <v>8.4160000000000002E-7</v>
      </c>
      <c r="G1153" s="1">
        <v>6.7394999999999996</v>
      </c>
      <c r="H1153" s="1">
        <v>1.8633E-7</v>
      </c>
      <c r="I1153" s="1">
        <f t="shared" si="153"/>
        <v>1.8633E-7</v>
      </c>
      <c r="J1153" s="4">
        <f t="shared" si="154"/>
        <v>-1.5426558462494387E-8</v>
      </c>
      <c r="K1153" s="4">
        <f t="shared" si="155"/>
        <v>-2.3595182760564435E-8</v>
      </c>
      <c r="L1153" s="4">
        <f t="shared" si="156"/>
        <v>-7.0154821889496009E-9</v>
      </c>
      <c r="M1153" s="4">
        <f t="shared" si="158"/>
        <v>-7.3081250907852495E-9</v>
      </c>
      <c r="N1153" s="5">
        <f t="shared" si="159"/>
        <v>2.1752633812919491E-7</v>
      </c>
      <c r="O1153" s="5">
        <f t="shared" si="160"/>
        <v>1.2091488731294217E-6</v>
      </c>
      <c r="P1153" s="5">
        <f t="shared" si="161"/>
        <v>3.7332478874138646E-7</v>
      </c>
      <c r="Q1153" s="1">
        <f t="shared" si="157"/>
        <v>1.8000000000000031E-6</v>
      </c>
    </row>
    <row r="1154" spans="1:17" x14ac:dyDescent="0.25">
      <c r="A1154" s="1">
        <v>57.6</v>
      </c>
      <c r="B1154" s="1">
        <v>9.4903999999999995E-3</v>
      </c>
      <c r="C1154" s="1">
        <v>1.5032999999999999E-3</v>
      </c>
      <c r="D1154" s="1">
        <v>2.9522E-2</v>
      </c>
      <c r="E1154" s="1">
        <v>9.2034999999999999E-3</v>
      </c>
      <c r="F1154" s="1">
        <v>8.3883999999999996E-7</v>
      </c>
      <c r="G1154" s="1">
        <v>6.7393999999999998</v>
      </c>
      <c r="H1154" s="1">
        <v>1.8638000000000001E-7</v>
      </c>
      <c r="I1154" s="1">
        <f t="shared" si="153"/>
        <v>1.8638000000000001E-7</v>
      </c>
      <c r="J1154" s="4">
        <f t="shared" si="154"/>
        <v>-1.5407185184828994E-8</v>
      </c>
      <c r="K1154" s="4">
        <f t="shared" si="155"/>
        <v>-2.3578403026025733E-8</v>
      </c>
      <c r="L1154" s="4">
        <f t="shared" si="156"/>
        <v>-7.0109676717811291E-9</v>
      </c>
      <c r="M1154" s="4">
        <f t="shared" si="158"/>
        <v>-7.3039688280497893E-9</v>
      </c>
      <c r="N1154" s="5">
        <f t="shared" si="159"/>
        <v>2.186865882986105E-7</v>
      </c>
      <c r="O1154" s="5">
        <f t="shared" si="160"/>
        <v>1.2082816241162747E-6</v>
      </c>
      <c r="P1154" s="5">
        <f t="shared" si="161"/>
        <v>3.7303178758511778E-7</v>
      </c>
      <c r="Q1154" s="1">
        <f t="shared" si="157"/>
        <v>1.8000000000000029E-6</v>
      </c>
    </row>
    <row r="1155" spans="1:17" x14ac:dyDescent="0.25">
      <c r="A1155" s="1">
        <v>57.65</v>
      </c>
      <c r="B1155" s="1">
        <v>9.4719999999999995E-3</v>
      </c>
      <c r="C1155" s="1">
        <v>1.498E-3</v>
      </c>
      <c r="D1155" s="1">
        <v>2.9534000000000001E-2</v>
      </c>
      <c r="E1155" s="1">
        <v>9.1789000000000003E-3</v>
      </c>
      <c r="F1155" s="1">
        <v>8.3608000000000001E-7</v>
      </c>
      <c r="G1155" s="1">
        <v>6.7392000000000003</v>
      </c>
      <c r="H1155" s="1">
        <v>1.8642E-7</v>
      </c>
      <c r="I1155" s="1">
        <f t="shared" ref="I1155:I1218" si="162">H1155</f>
        <v>1.8642E-7</v>
      </c>
      <c r="J1155" s="4">
        <f t="shared" ref="J1155:J1218" si="163">(-$T$4*F1154^2*N1154)*(A1155-A1154)</f>
        <v>-1.5387937454488768E-8</v>
      </c>
      <c r="K1155" s="4">
        <f t="shared" ref="K1155:K1218" si="164">-O1154*$T$7*(A1155-A1154)</f>
        <v>-2.3561491670266021E-8</v>
      </c>
      <c r="L1155" s="4">
        <f t="shared" ref="L1155:L1218" si="165">-$T$5*F1154*E1154*(A1155-A1154)*N1154</f>
        <v>-7.0065204544836643E-9</v>
      </c>
      <c r="M1155" s="4">
        <f t="shared" si="158"/>
        <v>-7.3001947798615808E-9</v>
      </c>
      <c r="N1155" s="5">
        <f t="shared" si="159"/>
        <v>2.1985362205990409E-7</v>
      </c>
      <c r="O1155" s="5">
        <f t="shared" si="160"/>
        <v>1.2074082646803589E-6</v>
      </c>
      <c r="P1155" s="5">
        <f t="shared" si="161"/>
        <v>3.7273811325973987E-7</v>
      </c>
      <c r="Q1155" s="1">
        <f t="shared" ref="Q1155:Q1218" si="166">N1155+O1155+P1155</f>
        <v>1.8000000000000029E-6</v>
      </c>
    </row>
    <row r="1156" spans="1:17" x14ac:dyDescent="0.25">
      <c r="A1156" s="1">
        <v>57.7</v>
      </c>
      <c r="B1156" s="1">
        <v>9.4535999999999995E-3</v>
      </c>
      <c r="C1156" s="1">
        <v>1.4927E-3</v>
      </c>
      <c r="D1156" s="1">
        <v>2.9545999999999999E-2</v>
      </c>
      <c r="E1156" s="1">
        <v>9.1544E-3</v>
      </c>
      <c r="F1156" s="1">
        <v>8.3333000000000001E-7</v>
      </c>
      <c r="G1156" s="1">
        <v>6.7390999999999996</v>
      </c>
      <c r="H1156" s="1">
        <v>1.8645999999999999E-7</v>
      </c>
      <c r="I1156" s="1">
        <f t="shared" si="162"/>
        <v>1.8645999999999999E-7</v>
      </c>
      <c r="J1156" s="4">
        <f t="shared" si="163"/>
        <v>-1.5368422607074176E-8</v>
      </c>
      <c r="K1156" s="4">
        <f t="shared" si="164"/>
        <v>-2.3544461161269005E-8</v>
      </c>
      <c r="L1156" s="4">
        <f t="shared" si="165"/>
        <v>-7.0019691801323266E-9</v>
      </c>
      <c r="M1156" s="4">
        <f t="shared" ref="M1156:M1219" si="167">-P1155*$T$8*I1155*(A1156-A1155)</f>
        <v>-7.2960131027580969E-9</v>
      </c>
      <c r="N1156" s="5">
        <f t="shared" ref="N1156:N1219" si="168">N1155+J1156-K1156+L1156</f>
        <v>2.2102769143396659E-7</v>
      </c>
      <c r="O1156" s="5">
        <f t="shared" ref="O1156:O1219" si="169">-J1156+O1155+K1156-M1156</f>
        <v>1.2065282392289222E-6</v>
      </c>
      <c r="P1156" s="5">
        <f t="shared" ref="P1156:P1219" si="170">P1155-L1156+M1156</f>
        <v>3.7244406933711415E-7</v>
      </c>
      <c r="Q1156" s="1">
        <f t="shared" si="166"/>
        <v>1.8000000000000029E-6</v>
      </c>
    </row>
    <row r="1157" spans="1:17" x14ac:dyDescent="0.25">
      <c r="A1157" s="1">
        <v>57.75</v>
      </c>
      <c r="B1157" s="1">
        <v>9.4353000000000006E-3</v>
      </c>
      <c r="C1157" s="1">
        <v>1.4874000000000001E-3</v>
      </c>
      <c r="D1157" s="1">
        <v>2.9557E-2</v>
      </c>
      <c r="E1157" s="1">
        <v>9.1298999999999998E-3</v>
      </c>
      <c r="F1157" s="1">
        <v>8.3056999999999995E-7</v>
      </c>
      <c r="G1157" s="1">
        <v>6.7389999999999999</v>
      </c>
      <c r="H1157" s="1">
        <v>1.8650000000000001E-7</v>
      </c>
      <c r="I1157" s="1">
        <f t="shared" si="162"/>
        <v>1.8650000000000001E-7</v>
      </c>
      <c r="J1157" s="4">
        <f t="shared" si="163"/>
        <v>-1.5349022445552712E-8</v>
      </c>
      <c r="K1157" s="4">
        <f t="shared" si="164"/>
        <v>-2.3527300664962645E-8</v>
      </c>
      <c r="L1157" s="4">
        <f t="shared" si="165"/>
        <v>-6.9974803254845734E-9</v>
      </c>
      <c r="M1157" s="4">
        <f t="shared" si="167"/>
        <v>-7.2918217227024073E-9</v>
      </c>
      <c r="N1157" s="5">
        <f t="shared" si="168"/>
        <v>2.2220848932789193E-7</v>
      </c>
      <c r="O1157" s="5">
        <f t="shared" si="169"/>
        <v>1.2056417827322148E-6</v>
      </c>
      <c r="P1157" s="5">
        <f t="shared" si="170"/>
        <v>3.7214972793989626E-7</v>
      </c>
      <c r="Q1157" s="1">
        <f t="shared" si="166"/>
        <v>1.8000000000000029E-6</v>
      </c>
    </row>
    <row r="1158" spans="1:17" x14ac:dyDescent="0.25">
      <c r="A1158" s="1">
        <v>57.8</v>
      </c>
      <c r="B1158" s="1">
        <v>9.417E-3</v>
      </c>
      <c r="C1158" s="1">
        <v>1.4821000000000001E-3</v>
      </c>
      <c r="D1158" s="1">
        <v>2.9569000000000002E-2</v>
      </c>
      <c r="E1158" s="1">
        <v>9.1055000000000007E-3</v>
      </c>
      <c r="F1158" s="1">
        <v>8.2783000000000002E-7</v>
      </c>
      <c r="G1158" s="1">
        <v>6.7389000000000001</v>
      </c>
      <c r="H1158" s="1">
        <v>1.8655000000000001E-7</v>
      </c>
      <c r="I1158" s="1">
        <f t="shared" si="162"/>
        <v>1.8655000000000001E-7</v>
      </c>
      <c r="J1158" s="4">
        <f t="shared" si="163"/>
        <v>-1.5328975416611626E-8</v>
      </c>
      <c r="K1158" s="4">
        <f t="shared" si="164"/>
        <v>-2.3510014763276852E-8</v>
      </c>
      <c r="L1158" s="4">
        <f t="shared" si="165"/>
        <v>-6.9927983496021811E-9</v>
      </c>
      <c r="M1158" s="4">
        <f t="shared" si="167"/>
        <v>-7.2876220473826053E-9</v>
      </c>
      <c r="N1158" s="5">
        <f t="shared" si="168"/>
        <v>2.2339673032495498E-7</v>
      </c>
      <c r="O1158" s="5">
        <f t="shared" si="169"/>
        <v>1.2047483654329322E-6</v>
      </c>
      <c r="P1158" s="5">
        <f t="shared" si="170"/>
        <v>3.7185490424211583E-7</v>
      </c>
      <c r="Q1158" s="1">
        <f t="shared" si="166"/>
        <v>1.8000000000000029E-6</v>
      </c>
    </row>
    <row r="1159" spans="1:17" x14ac:dyDescent="0.25">
      <c r="A1159" s="1">
        <v>57.85</v>
      </c>
      <c r="B1159" s="1">
        <v>9.3988000000000006E-3</v>
      </c>
      <c r="C1159" s="1">
        <v>1.4769E-3</v>
      </c>
      <c r="D1159" s="1">
        <v>2.9581E-2</v>
      </c>
      <c r="E1159" s="1">
        <v>9.0810999999999999E-3</v>
      </c>
      <c r="F1159" s="1">
        <v>8.2508000000000003E-7</v>
      </c>
      <c r="G1159" s="1">
        <v>6.7388000000000003</v>
      </c>
      <c r="H1159" s="1">
        <v>1.8659000000000001E-7</v>
      </c>
      <c r="I1159" s="1">
        <f t="shared" si="162"/>
        <v>1.8659000000000001E-7</v>
      </c>
      <c r="J1159" s="4">
        <f t="shared" si="163"/>
        <v>-1.5309433977176146E-8</v>
      </c>
      <c r="K1159" s="4">
        <f t="shared" si="164"/>
        <v>-2.3492593125944184E-8</v>
      </c>
      <c r="L1159" s="4">
        <f t="shared" si="165"/>
        <v>-6.9882730992907485E-9</v>
      </c>
      <c r="M1159" s="4">
        <f t="shared" si="167"/>
        <v>-7.2838009005691254E-9</v>
      </c>
      <c r="N1159" s="5">
        <f t="shared" si="168"/>
        <v>2.2459161637443225E-7</v>
      </c>
      <c r="O1159" s="5">
        <f t="shared" si="169"/>
        <v>1.203849007184733E-6</v>
      </c>
      <c r="P1159" s="5">
        <f t="shared" si="170"/>
        <v>3.7155937644083744E-7</v>
      </c>
      <c r="Q1159" s="1">
        <f t="shared" si="166"/>
        <v>1.8000000000000027E-6</v>
      </c>
    </row>
    <row r="1160" spans="1:17" x14ac:dyDescent="0.25">
      <c r="A1160" s="1">
        <v>57.9</v>
      </c>
      <c r="B1160" s="1">
        <v>9.3805999999999994E-3</v>
      </c>
      <c r="C1160" s="1">
        <v>1.4716E-3</v>
      </c>
      <c r="D1160" s="1">
        <v>2.9593000000000001E-2</v>
      </c>
      <c r="E1160" s="1">
        <v>9.0568000000000003E-3</v>
      </c>
      <c r="F1160" s="1">
        <v>8.2233999999999999E-7</v>
      </c>
      <c r="G1160" s="1">
        <v>6.7386999999999997</v>
      </c>
      <c r="H1160" s="1">
        <v>1.8663E-7</v>
      </c>
      <c r="I1160" s="1">
        <f t="shared" si="162"/>
        <v>1.8663E-7</v>
      </c>
      <c r="J1160" s="4">
        <f t="shared" si="163"/>
        <v>-1.5289231642558704E-8</v>
      </c>
      <c r="K1160" s="4">
        <f t="shared" si="164"/>
        <v>-2.347505564010096E-8</v>
      </c>
      <c r="L1160" s="4">
        <f t="shared" si="165"/>
        <v>-6.9835485298073565E-9</v>
      </c>
      <c r="M1160" s="4">
        <f t="shared" si="167"/>
        <v>-7.2795727252596507E-9</v>
      </c>
      <c r="N1160" s="5">
        <f t="shared" si="168"/>
        <v>2.2579389184216713E-7</v>
      </c>
      <c r="O1160" s="5">
        <f t="shared" si="169"/>
        <v>1.2029427559124503E-6</v>
      </c>
      <c r="P1160" s="5">
        <f t="shared" si="170"/>
        <v>3.7126335224538511E-7</v>
      </c>
      <c r="Q1160" s="1">
        <f t="shared" si="166"/>
        <v>1.8000000000000027E-6</v>
      </c>
    </row>
    <row r="1161" spans="1:17" x14ac:dyDescent="0.25">
      <c r="A1161" s="1">
        <v>57.95</v>
      </c>
      <c r="B1161" s="1">
        <v>9.3624999999999993E-3</v>
      </c>
      <c r="C1161" s="1">
        <v>1.4663E-3</v>
      </c>
      <c r="D1161" s="1">
        <v>2.9603999999999998E-2</v>
      </c>
      <c r="E1161" s="1">
        <v>9.0326E-3</v>
      </c>
      <c r="F1161" s="1">
        <v>8.1959999999999995E-7</v>
      </c>
      <c r="G1161" s="1">
        <v>6.7385999999999999</v>
      </c>
      <c r="H1161" s="1">
        <v>1.8666999999999999E-7</v>
      </c>
      <c r="I1161" s="1">
        <f t="shared" si="162"/>
        <v>1.8666999999999999E-7</v>
      </c>
      <c r="J1161" s="4">
        <f t="shared" si="163"/>
        <v>-1.5269155587105388E-8</v>
      </c>
      <c r="K1161" s="4">
        <f t="shared" si="164"/>
        <v>-2.3457383740294781E-8</v>
      </c>
      <c r="L1161" s="4">
        <f t="shared" si="165"/>
        <v>-6.9788920219541637E-9</v>
      </c>
      <c r="M1161" s="4">
        <f t="shared" si="167"/>
        <v>-7.2753323401040238E-9</v>
      </c>
      <c r="N1161" s="5">
        <f t="shared" si="168"/>
        <v>2.2700322797340236E-7</v>
      </c>
      <c r="O1161" s="5">
        <f t="shared" si="169"/>
        <v>1.202029860099365E-6</v>
      </c>
      <c r="P1161" s="5">
        <f t="shared" si="170"/>
        <v>3.7096691192723528E-7</v>
      </c>
      <c r="Q1161" s="1">
        <f t="shared" si="166"/>
        <v>1.8000000000000027E-6</v>
      </c>
    </row>
    <row r="1162" spans="1:17" x14ac:dyDescent="0.25">
      <c r="A1162" s="1">
        <v>58</v>
      </c>
      <c r="B1162" s="1">
        <v>9.3443999999999992E-3</v>
      </c>
      <c r="C1162" s="1">
        <v>1.4610999999999999E-3</v>
      </c>
      <c r="D1162" s="1">
        <v>2.9616E-2</v>
      </c>
      <c r="E1162" s="1">
        <v>9.0083999999999997E-3</v>
      </c>
      <c r="F1162" s="1">
        <v>8.1686999999999998E-7</v>
      </c>
      <c r="G1162" s="1">
        <v>6.7385000000000002</v>
      </c>
      <c r="H1162" s="1">
        <v>1.8671999999999999E-7</v>
      </c>
      <c r="I1162" s="1">
        <f t="shared" si="162"/>
        <v>1.8671999999999999E-7</v>
      </c>
      <c r="J1162" s="4">
        <f t="shared" si="163"/>
        <v>-1.52488092692273E-8</v>
      </c>
      <c r="K1162" s="4">
        <f t="shared" si="164"/>
        <v>-2.3439582271936287E-8</v>
      </c>
      <c r="L1162" s="4">
        <f t="shared" si="165"/>
        <v>-6.9742073891126579E-9</v>
      </c>
      <c r="M1162" s="4">
        <f t="shared" si="167"/>
        <v>-7.2710813121925724E-9</v>
      </c>
      <c r="N1162" s="5">
        <f t="shared" si="168"/>
        <v>2.2821979358699871E-7</v>
      </c>
      <c r="O1162" s="5">
        <f t="shared" si="169"/>
        <v>1.2011101684088487E-6</v>
      </c>
      <c r="P1162" s="5">
        <f t="shared" si="170"/>
        <v>3.7067003800415539E-7</v>
      </c>
      <c r="Q1162" s="1">
        <f t="shared" si="166"/>
        <v>1.8000000000000029E-6</v>
      </c>
    </row>
    <row r="1163" spans="1:17" x14ac:dyDescent="0.25">
      <c r="A1163" s="1">
        <v>58.05</v>
      </c>
      <c r="B1163" s="1">
        <v>9.3262999999999992E-3</v>
      </c>
      <c r="C1163" s="1">
        <v>1.4557999999999999E-3</v>
      </c>
      <c r="D1163" s="1">
        <v>2.9628000000000002E-2</v>
      </c>
      <c r="E1163" s="1">
        <v>8.9843000000000006E-3</v>
      </c>
      <c r="F1163" s="1">
        <v>8.1414000000000001E-7</v>
      </c>
      <c r="G1163" s="1">
        <v>6.7384000000000004</v>
      </c>
      <c r="H1163" s="1">
        <v>1.8676000000000001E-7</v>
      </c>
      <c r="I1163" s="1">
        <f t="shared" si="162"/>
        <v>1.8676000000000001E-7</v>
      </c>
      <c r="J1163" s="4">
        <f t="shared" si="163"/>
        <v>-1.5228572720994428E-8</v>
      </c>
      <c r="K1163" s="4">
        <f t="shared" si="164"/>
        <v>-2.342164828397122E-8</v>
      </c>
      <c r="L1163" s="4">
        <f t="shared" si="165"/>
        <v>-6.9695062760805972E-9</v>
      </c>
      <c r="M1163" s="4">
        <f t="shared" si="167"/>
        <v>-7.2672084970938557E-9</v>
      </c>
      <c r="N1163" s="5">
        <f t="shared" si="168"/>
        <v>2.2944336287389489E-7</v>
      </c>
      <c r="O1163" s="5">
        <f t="shared" si="169"/>
        <v>1.2001843013429658E-6</v>
      </c>
      <c r="P1163" s="5">
        <f t="shared" si="170"/>
        <v>3.7037233578314215E-7</v>
      </c>
      <c r="Q1163" s="1">
        <f t="shared" si="166"/>
        <v>1.8000000000000029E-6</v>
      </c>
    </row>
    <row r="1164" spans="1:17" x14ac:dyDescent="0.25">
      <c r="A1164" s="1">
        <v>58.1</v>
      </c>
      <c r="B1164" s="1">
        <v>9.3083000000000003E-3</v>
      </c>
      <c r="C1164" s="1">
        <v>1.4506E-3</v>
      </c>
      <c r="D1164" s="1">
        <v>2.9638999999999999E-2</v>
      </c>
      <c r="E1164" s="1">
        <v>8.9601999999999998E-3</v>
      </c>
      <c r="F1164" s="1">
        <v>8.1141000000000004E-7</v>
      </c>
      <c r="G1164" s="1">
        <v>6.7382999999999997</v>
      </c>
      <c r="H1164" s="1">
        <v>1.8680000000000001E-7</v>
      </c>
      <c r="I1164" s="1">
        <f t="shared" si="162"/>
        <v>1.8680000000000001E-7</v>
      </c>
      <c r="J1164" s="4">
        <f t="shared" si="163"/>
        <v>-1.5208055369516036E-8</v>
      </c>
      <c r="K1164" s="4">
        <f t="shared" si="164"/>
        <v>-2.3403593876189831E-8</v>
      </c>
      <c r="L1164" s="4">
        <f t="shared" si="165"/>
        <v>-6.9647724863515274E-9</v>
      </c>
      <c r="M1164" s="4">
        <f t="shared" si="167"/>
        <v>-7.2629274302408806E-9</v>
      </c>
      <c r="N1164" s="5">
        <f t="shared" si="168"/>
        <v>2.3067412889421716E-7</v>
      </c>
      <c r="O1164" s="5">
        <f t="shared" si="169"/>
        <v>1.1992516902665329E-6</v>
      </c>
      <c r="P1164" s="5">
        <f t="shared" si="170"/>
        <v>3.7007418083925284E-7</v>
      </c>
      <c r="Q1164" s="1">
        <f t="shared" si="166"/>
        <v>1.8000000000000031E-6</v>
      </c>
    </row>
    <row r="1165" spans="1:17" x14ac:dyDescent="0.25">
      <c r="A1165" s="1">
        <v>58.15</v>
      </c>
      <c r="B1165" s="1">
        <v>9.2902999999999996E-3</v>
      </c>
      <c r="C1165" s="1">
        <v>1.4453999999999999E-3</v>
      </c>
      <c r="D1165" s="1">
        <v>2.9651E-2</v>
      </c>
      <c r="E1165" s="1">
        <v>8.9362E-3</v>
      </c>
      <c r="F1165" s="1">
        <v>8.0869000000000002E-7</v>
      </c>
      <c r="G1165" s="1">
        <v>6.7382</v>
      </c>
      <c r="H1165" s="1">
        <v>1.8684E-7</v>
      </c>
      <c r="I1165" s="1">
        <f t="shared" si="162"/>
        <v>1.8684E-7</v>
      </c>
      <c r="J1165" s="4">
        <f t="shared" si="163"/>
        <v>-1.5187266041594308E-8</v>
      </c>
      <c r="K1165" s="4">
        <f t="shared" si="164"/>
        <v>-2.3385407960196064E-8</v>
      </c>
      <c r="L1165" s="4">
        <f t="shared" si="165"/>
        <v>-6.9599327827048868E-9</v>
      </c>
      <c r="M1165" s="4">
        <f t="shared" si="167"/>
        <v>-7.2586349829806929E-9</v>
      </c>
      <c r="N1165" s="5">
        <f t="shared" si="168"/>
        <v>2.3191233803011406E-7</v>
      </c>
      <c r="O1165" s="5">
        <f t="shared" si="169"/>
        <v>1.1983121833309117E-6</v>
      </c>
      <c r="P1165" s="5">
        <f t="shared" si="170"/>
        <v>3.6977547863897707E-7</v>
      </c>
      <c r="Q1165" s="1">
        <f t="shared" si="166"/>
        <v>1.8000000000000029E-6</v>
      </c>
    </row>
    <row r="1166" spans="1:17" x14ac:dyDescent="0.25">
      <c r="A1166" s="1">
        <v>58.2</v>
      </c>
      <c r="B1166" s="1">
        <v>9.2724000000000001E-3</v>
      </c>
      <c r="C1166" s="1">
        <v>1.4402E-3</v>
      </c>
      <c r="D1166" s="1">
        <v>2.9662999999999998E-2</v>
      </c>
      <c r="E1166" s="1">
        <v>8.9122000000000003E-3</v>
      </c>
      <c r="F1166" s="1">
        <v>8.0597000000000001E-7</v>
      </c>
      <c r="G1166" s="1">
        <v>6.7381000000000002</v>
      </c>
      <c r="H1166" s="1">
        <v>1.8687999999999999E-7</v>
      </c>
      <c r="I1166" s="1">
        <f t="shared" si="162"/>
        <v>1.8687999999999999E-7</v>
      </c>
      <c r="J1166" s="4">
        <f t="shared" si="163"/>
        <v>-1.5166591860256658E-8</v>
      </c>
      <c r="K1166" s="4">
        <f t="shared" si="164"/>
        <v>-2.3367087574954769E-8</v>
      </c>
      <c r="L1166" s="4">
        <f t="shared" si="165"/>
        <v>-6.9551564561667128E-9</v>
      </c>
      <c r="M1166" s="4">
        <f t="shared" si="167"/>
        <v>-7.2543292950357979E-9</v>
      </c>
      <c r="N1166" s="5">
        <f t="shared" si="168"/>
        <v>2.3315767728864545E-7</v>
      </c>
      <c r="O1166" s="5">
        <f t="shared" si="169"/>
        <v>1.1973660169112494E-6</v>
      </c>
      <c r="P1166" s="5">
        <f t="shared" si="170"/>
        <v>3.6947630580010794E-7</v>
      </c>
      <c r="Q1166" s="1">
        <f t="shared" si="166"/>
        <v>1.8000000000000027E-6</v>
      </c>
    </row>
    <row r="1167" spans="1:17" x14ac:dyDescent="0.25">
      <c r="A1167" s="1">
        <v>58.25</v>
      </c>
      <c r="B1167" s="1">
        <v>9.2545000000000006E-3</v>
      </c>
      <c r="C1167" s="1">
        <v>1.4350000000000001E-3</v>
      </c>
      <c r="D1167" s="1">
        <v>2.9673999999999999E-2</v>
      </c>
      <c r="E1167" s="1">
        <v>8.8883E-3</v>
      </c>
      <c r="F1167" s="1">
        <v>8.0325E-7</v>
      </c>
      <c r="G1167" s="1">
        <v>6.7380000000000004</v>
      </c>
      <c r="H1167" s="1">
        <v>1.8692999999999999E-7</v>
      </c>
      <c r="I1167" s="1">
        <f t="shared" si="162"/>
        <v>1.8692999999999999E-7</v>
      </c>
      <c r="J1167" s="4">
        <f t="shared" si="163"/>
        <v>-1.5145634554764607E-8</v>
      </c>
      <c r="K1167" s="4">
        <f t="shared" si="164"/>
        <v>-2.3348637329768038E-8</v>
      </c>
      <c r="L1167" s="4">
        <f t="shared" si="165"/>
        <v>-6.9502690640810277E-9</v>
      </c>
      <c r="M1167" s="4">
        <f t="shared" si="167"/>
        <v>-7.2500118629316248E-9</v>
      </c>
      <c r="N1167" s="5">
        <f t="shared" si="168"/>
        <v>2.3441041099956786E-7</v>
      </c>
      <c r="O1167" s="5">
        <f t="shared" si="169"/>
        <v>1.1964130259991777E-6</v>
      </c>
      <c r="P1167" s="5">
        <f t="shared" si="170"/>
        <v>3.6917656300125737E-7</v>
      </c>
      <c r="Q1167" s="1">
        <f t="shared" si="166"/>
        <v>1.8000000000000029E-6</v>
      </c>
    </row>
    <row r="1168" spans="1:17" x14ac:dyDescent="0.25">
      <c r="A1168" s="1">
        <v>58.3</v>
      </c>
      <c r="B1168" s="1">
        <v>9.2367000000000005E-3</v>
      </c>
      <c r="C1168" s="1">
        <v>1.4298E-3</v>
      </c>
      <c r="D1168" s="1">
        <v>2.9686000000000001E-2</v>
      </c>
      <c r="E1168" s="1">
        <v>8.8645000000000009E-3</v>
      </c>
      <c r="F1168" s="1">
        <v>8.0054000000000005E-7</v>
      </c>
      <c r="G1168" s="1">
        <v>6.7378999999999998</v>
      </c>
      <c r="H1168" s="1">
        <v>1.8697000000000001E-7</v>
      </c>
      <c r="I1168" s="1">
        <f t="shared" si="162"/>
        <v>1.8697000000000001E-7</v>
      </c>
      <c r="J1168" s="4">
        <f t="shared" si="163"/>
        <v>-1.5124407313687877E-8</v>
      </c>
      <c r="K1168" s="4">
        <f t="shared" si="164"/>
        <v>-2.3330054006982637E-8</v>
      </c>
      <c r="L1168" s="4">
        <f t="shared" si="165"/>
        <v>-6.9453547280914482E-9</v>
      </c>
      <c r="M1168" s="4">
        <f t="shared" si="167"/>
        <v>-7.2460683667912175E-9</v>
      </c>
      <c r="N1168" s="5">
        <f t="shared" si="168"/>
        <v>2.3567070296477116E-7</v>
      </c>
      <c r="O1168" s="5">
        <f t="shared" si="169"/>
        <v>1.1954534476726742E-6</v>
      </c>
      <c r="P1168" s="5">
        <f t="shared" si="170"/>
        <v>3.6887584936255761E-7</v>
      </c>
      <c r="Q1168" s="1">
        <f t="shared" si="166"/>
        <v>1.8000000000000029E-6</v>
      </c>
    </row>
    <row r="1169" spans="1:17" x14ac:dyDescent="0.25">
      <c r="A1169" s="1">
        <v>58.35</v>
      </c>
      <c r="B1169" s="1">
        <v>9.2189000000000004E-3</v>
      </c>
      <c r="C1169" s="1">
        <v>1.4246E-3</v>
      </c>
      <c r="D1169" s="1">
        <v>2.9697000000000001E-2</v>
      </c>
      <c r="E1169" s="1">
        <v>8.8406999999999999E-3</v>
      </c>
      <c r="F1169" s="1">
        <v>7.9782999999999999E-7</v>
      </c>
      <c r="G1169" s="1">
        <v>6.7378</v>
      </c>
      <c r="H1169" s="1">
        <v>1.8701E-7</v>
      </c>
      <c r="I1169" s="1">
        <f t="shared" si="162"/>
        <v>1.8701E-7</v>
      </c>
      <c r="J1169" s="4">
        <f t="shared" si="163"/>
        <v>-1.5103293810640498E-8</v>
      </c>
      <c r="K1169" s="4">
        <f t="shared" si="164"/>
        <v>-2.3311342229619137E-8</v>
      </c>
      <c r="L1169" s="4">
        <f t="shared" si="165"/>
        <v>-6.9405034618551761E-9</v>
      </c>
      <c r="M1169" s="4">
        <f t="shared" si="167"/>
        <v>-7.241715343308945E-9</v>
      </c>
      <c r="N1169" s="5">
        <f t="shared" si="168"/>
        <v>2.3693824792189464E-7</v>
      </c>
      <c r="O1169" s="5">
        <f t="shared" si="169"/>
        <v>1.1944871145970045E-6</v>
      </c>
      <c r="P1169" s="5">
        <f t="shared" si="170"/>
        <v>3.6857463748110387E-7</v>
      </c>
      <c r="Q1169" s="1">
        <f t="shared" si="166"/>
        <v>1.8000000000000031E-6</v>
      </c>
    </row>
    <row r="1170" spans="1:17" x14ac:dyDescent="0.25">
      <c r="A1170" s="1">
        <v>58.4</v>
      </c>
      <c r="B1170" s="1">
        <v>9.2011999999999997E-3</v>
      </c>
      <c r="C1170" s="1">
        <v>1.4193999999999999E-3</v>
      </c>
      <c r="D1170" s="1">
        <v>2.9708999999999999E-2</v>
      </c>
      <c r="E1170" s="1">
        <v>8.8170000000000002E-3</v>
      </c>
      <c r="F1170" s="1">
        <v>7.9513E-7</v>
      </c>
      <c r="G1170" s="1">
        <v>6.7377000000000002</v>
      </c>
      <c r="H1170" s="1">
        <v>1.8705E-7</v>
      </c>
      <c r="I1170" s="1">
        <f t="shared" si="162"/>
        <v>1.8705E-7</v>
      </c>
      <c r="J1170" s="4">
        <f t="shared" si="163"/>
        <v>-1.5081894479173482E-8</v>
      </c>
      <c r="K1170" s="4">
        <f t="shared" si="164"/>
        <v>-2.3292498734640266E-8</v>
      </c>
      <c r="L1170" s="4">
        <f t="shared" si="165"/>
        <v>-6.9355400745324232E-9</v>
      </c>
      <c r="M1170" s="4">
        <f t="shared" si="167"/>
        <v>-7.237350010310418E-9</v>
      </c>
      <c r="N1170" s="5">
        <f t="shared" si="168"/>
        <v>2.3821331210282899E-7</v>
      </c>
      <c r="O1170" s="5">
        <f t="shared" si="169"/>
        <v>1.1935138603518481E-6</v>
      </c>
      <c r="P1170" s="5">
        <f t="shared" si="170"/>
        <v>3.6827282754532589E-7</v>
      </c>
      <c r="Q1170" s="1">
        <f t="shared" si="166"/>
        <v>1.8000000000000031E-6</v>
      </c>
    </row>
    <row r="1171" spans="1:17" x14ac:dyDescent="0.25">
      <c r="A1171" s="1">
        <v>58.45</v>
      </c>
      <c r="B1171" s="1">
        <v>9.1835000000000007E-3</v>
      </c>
      <c r="C1171" s="1">
        <v>1.4143000000000001E-3</v>
      </c>
      <c r="D1171" s="1">
        <v>2.972E-2</v>
      </c>
      <c r="E1171" s="1">
        <v>8.7933000000000004E-3</v>
      </c>
      <c r="F1171" s="1">
        <v>7.9242000000000005E-7</v>
      </c>
      <c r="G1171" s="1">
        <v>6.7375999999999996</v>
      </c>
      <c r="H1171" s="1">
        <v>1.8708999999999999E-7</v>
      </c>
      <c r="I1171" s="1">
        <f t="shared" si="162"/>
        <v>1.8708999999999999E-7</v>
      </c>
      <c r="J1171" s="4">
        <f t="shared" si="163"/>
        <v>-1.5060601129921997E-8</v>
      </c>
      <c r="K1171" s="4">
        <f t="shared" si="164"/>
        <v>-2.3273520276863025E-8</v>
      </c>
      <c r="L1171" s="4">
        <f t="shared" si="165"/>
        <v>-6.9306362314900363E-9</v>
      </c>
      <c r="M1171" s="4">
        <f t="shared" si="167"/>
        <v>-7.2329704011977027E-9</v>
      </c>
      <c r="N1171" s="5">
        <f t="shared" si="168"/>
        <v>2.3949559501827998E-7</v>
      </c>
      <c r="O1171" s="5">
        <f t="shared" si="169"/>
        <v>1.1925339116061047E-6</v>
      </c>
      <c r="P1171" s="5">
        <f t="shared" si="170"/>
        <v>3.6797049337561821E-7</v>
      </c>
      <c r="Q1171" s="1">
        <f t="shared" si="166"/>
        <v>1.8000000000000029E-6</v>
      </c>
    </row>
    <row r="1172" spans="1:17" x14ac:dyDescent="0.25">
      <c r="A1172" s="1">
        <v>58.5</v>
      </c>
      <c r="B1172" s="1">
        <v>9.1658E-3</v>
      </c>
      <c r="C1172" s="1">
        <v>1.4090999999999999E-3</v>
      </c>
      <c r="D1172" s="1">
        <v>2.9731E-2</v>
      </c>
      <c r="E1172" s="1">
        <v>8.7697000000000001E-3</v>
      </c>
      <c r="F1172" s="1">
        <v>7.8973000000000002E-7</v>
      </c>
      <c r="G1172" s="1">
        <v>6.7374000000000001</v>
      </c>
      <c r="H1172" s="1">
        <v>1.8713000000000001E-7</v>
      </c>
      <c r="I1172" s="1">
        <f t="shared" si="162"/>
        <v>1.8713000000000001E-7</v>
      </c>
      <c r="J1172" s="4">
        <f t="shared" si="163"/>
        <v>-1.5038633879001458E-8</v>
      </c>
      <c r="K1172" s="4">
        <f t="shared" si="164"/>
        <v>-2.3254411276317721E-8</v>
      </c>
      <c r="L1172" s="4">
        <f t="shared" si="165"/>
        <v>-6.9255288867788222E-9</v>
      </c>
      <c r="M1172" s="4">
        <f t="shared" si="167"/>
        <v>-7.228577958592251E-9</v>
      </c>
      <c r="N1172" s="5">
        <f t="shared" si="168"/>
        <v>2.4078584352881742E-7</v>
      </c>
      <c r="O1172" s="5">
        <f t="shared" si="169"/>
        <v>1.1915467121673805E-6</v>
      </c>
      <c r="P1172" s="5">
        <f t="shared" si="170"/>
        <v>3.6766744430380478E-7</v>
      </c>
      <c r="Q1172" s="1">
        <f t="shared" si="166"/>
        <v>1.8000000000000027E-6</v>
      </c>
    </row>
    <row r="1173" spans="1:17" x14ac:dyDescent="0.25">
      <c r="A1173" s="1">
        <v>58.55</v>
      </c>
      <c r="B1173" s="1">
        <v>9.1482000000000004E-3</v>
      </c>
      <c r="C1173" s="1">
        <v>1.4040000000000001E-3</v>
      </c>
      <c r="D1173" s="1">
        <v>2.9742999999999999E-2</v>
      </c>
      <c r="E1173" s="1">
        <v>8.7462000000000008E-3</v>
      </c>
      <c r="F1173" s="1">
        <v>7.8703000000000003E-7</v>
      </c>
      <c r="G1173" s="1">
        <v>6.7373000000000003</v>
      </c>
      <c r="H1173" s="1">
        <v>1.8718000000000001E-7</v>
      </c>
      <c r="I1173" s="1">
        <f t="shared" si="162"/>
        <v>1.8718000000000001E-7</v>
      </c>
      <c r="J1173" s="4">
        <f t="shared" si="163"/>
        <v>-1.5017174325876502E-8</v>
      </c>
      <c r="K1173" s="4">
        <f t="shared" si="164"/>
        <v>-2.3235160887262599E-8</v>
      </c>
      <c r="L1173" s="4">
        <f t="shared" si="165"/>
        <v>-6.9205788281488927E-9</v>
      </c>
      <c r="M1173" s="4">
        <f t="shared" si="167"/>
        <v>-7.224168929519544E-9</v>
      </c>
      <c r="N1173" s="5">
        <f t="shared" si="168"/>
        <v>2.4208325126205462E-7</v>
      </c>
      <c r="O1173" s="5">
        <f t="shared" si="169"/>
        <v>1.1905528945355138E-6</v>
      </c>
      <c r="P1173" s="5">
        <f t="shared" si="170"/>
        <v>3.6736385420243408E-7</v>
      </c>
      <c r="Q1173" s="1">
        <f t="shared" si="166"/>
        <v>1.8000000000000027E-6</v>
      </c>
    </row>
    <row r="1174" spans="1:17" x14ac:dyDescent="0.25">
      <c r="A1174" s="1">
        <v>58.6</v>
      </c>
      <c r="B1174" s="1">
        <v>9.1305999999999991E-3</v>
      </c>
      <c r="C1174" s="1">
        <v>1.3989E-3</v>
      </c>
      <c r="D1174" s="1">
        <v>2.9753999999999999E-2</v>
      </c>
      <c r="E1174" s="1">
        <v>8.7226999999999999E-3</v>
      </c>
      <c r="F1174" s="1">
        <v>7.8433999999999999E-7</v>
      </c>
      <c r="G1174" s="1">
        <v>6.7371999999999996</v>
      </c>
      <c r="H1174" s="1">
        <v>1.8722E-7</v>
      </c>
      <c r="I1174" s="1">
        <f t="shared" si="162"/>
        <v>1.8722E-7</v>
      </c>
      <c r="J1174" s="4">
        <f t="shared" si="163"/>
        <v>-1.499502926399398E-8</v>
      </c>
      <c r="K1174" s="4">
        <f t="shared" si="164"/>
        <v>-2.3215781443444499E-8</v>
      </c>
      <c r="L1174" s="4">
        <f t="shared" si="165"/>
        <v>-6.9154991364660601E-9</v>
      </c>
      <c r="M1174" s="4">
        <f t="shared" si="167"/>
        <v>-7.2201324541098356E-9</v>
      </c>
      <c r="N1174" s="5">
        <f t="shared" si="168"/>
        <v>2.433885043050391E-7</v>
      </c>
      <c r="O1174" s="5">
        <f t="shared" si="169"/>
        <v>1.1895522748101734E-6</v>
      </c>
      <c r="P1174" s="5">
        <f t="shared" si="170"/>
        <v>3.6705922088479027E-7</v>
      </c>
      <c r="Q1174" s="1">
        <f t="shared" si="166"/>
        <v>1.8000000000000027E-6</v>
      </c>
    </row>
    <row r="1175" spans="1:17" x14ac:dyDescent="0.25">
      <c r="A1175" s="1">
        <v>58.65</v>
      </c>
      <c r="B1175" s="1">
        <v>9.1131000000000007E-3</v>
      </c>
      <c r="C1175" s="1">
        <v>1.3937000000000001E-3</v>
      </c>
      <c r="D1175" s="1">
        <v>2.9766000000000001E-2</v>
      </c>
      <c r="E1175" s="1">
        <v>8.6992000000000007E-3</v>
      </c>
      <c r="F1175" s="1">
        <v>7.8166000000000003E-7</v>
      </c>
      <c r="G1175" s="1">
        <v>6.7370999999999999</v>
      </c>
      <c r="H1175" s="1">
        <v>1.8726E-7</v>
      </c>
      <c r="I1175" s="1">
        <f t="shared" si="162"/>
        <v>1.8726E-7</v>
      </c>
      <c r="J1175" s="4">
        <f t="shared" si="163"/>
        <v>-1.4972998791723579E-8</v>
      </c>
      <c r="K1175" s="4">
        <f t="shared" si="164"/>
        <v>-2.3196269358797063E-8</v>
      </c>
      <c r="L1175" s="4">
        <f t="shared" si="165"/>
        <v>-6.91040432371617E-9</v>
      </c>
      <c r="M1175" s="4">
        <f t="shared" si="167"/>
        <v>-7.2156868700748853E-9</v>
      </c>
      <c r="N1175" s="5">
        <f t="shared" si="168"/>
        <v>2.447013705483964E-7</v>
      </c>
      <c r="O1175" s="5">
        <f t="shared" si="169"/>
        <v>1.1885446911131748E-6</v>
      </c>
      <c r="P1175" s="5">
        <f t="shared" si="170"/>
        <v>3.6675393833843155E-7</v>
      </c>
      <c r="Q1175" s="1">
        <f t="shared" si="166"/>
        <v>1.8000000000000027E-6</v>
      </c>
    </row>
    <row r="1176" spans="1:17" x14ac:dyDescent="0.25">
      <c r="A1176" s="1">
        <v>58.7</v>
      </c>
      <c r="B1176" s="1">
        <v>9.0956000000000006E-3</v>
      </c>
      <c r="C1176" s="1">
        <v>1.3886E-3</v>
      </c>
      <c r="D1176" s="1">
        <v>2.9777000000000001E-2</v>
      </c>
      <c r="E1176" s="1">
        <v>8.6757999999999991E-3</v>
      </c>
      <c r="F1176" s="1">
        <v>7.7896999999999999E-7</v>
      </c>
      <c r="G1176" s="1">
        <v>6.7370000000000001</v>
      </c>
      <c r="H1176" s="1">
        <v>1.8729999999999999E-7</v>
      </c>
      <c r="I1176" s="1">
        <f t="shared" si="162"/>
        <v>1.8729999999999999E-7</v>
      </c>
      <c r="J1176" s="4">
        <f t="shared" si="163"/>
        <v>-1.4951066680992596E-8</v>
      </c>
      <c r="K1176" s="4">
        <f t="shared" si="164"/>
        <v>-2.3176621476708883E-8</v>
      </c>
      <c r="L1176" s="4">
        <f t="shared" si="165"/>
        <v>-6.9052865053329682E-9</v>
      </c>
      <c r="M1176" s="4">
        <f t="shared" si="167"/>
        <v>-7.2112259617923572E-9</v>
      </c>
      <c r="N1176" s="5">
        <f t="shared" si="168"/>
        <v>2.4602163883877971E-7</v>
      </c>
      <c r="O1176" s="5">
        <f t="shared" si="169"/>
        <v>1.187530362279251E-6</v>
      </c>
      <c r="P1176" s="5">
        <f t="shared" si="170"/>
        <v>3.6644799888197215E-7</v>
      </c>
      <c r="Q1176" s="1">
        <f t="shared" si="166"/>
        <v>1.8000000000000027E-6</v>
      </c>
    </row>
    <row r="1177" spans="1:17" x14ac:dyDescent="0.25">
      <c r="A1177" s="1">
        <v>58.75</v>
      </c>
      <c r="B1177" s="1">
        <v>9.0781999999999998E-3</v>
      </c>
      <c r="C1177" s="1">
        <v>1.3835E-3</v>
      </c>
      <c r="D1177" s="1">
        <v>2.9787999999999999E-2</v>
      </c>
      <c r="E1177" s="1">
        <v>8.6525000000000005E-3</v>
      </c>
      <c r="F1177" s="1">
        <v>7.7629999999999998E-7</v>
      </c>
      <c r="G1177" s="1">
        <v>6.7369000000000003</v>
      </c>
      <c r="H1177" s="1">
        <v>1.8734000000000001E-7</v>
      </c>
      <c r="I1177" s="1">
        <f t="shared" si="162"/>
        <v>1.8734000000000001E-7</v>
      </c>
      <c r="J1177" s="4">
        <f t="shared" si="163"/>
        <v>-1.4928451850457559E-8</v>
      </c>
      <c r="K1177" s="4">
        <f t="shared" si="164"/>
        <v>-2.3156842064444079E-8</v>
      </c>
      <c r="L1177" s="4">
        <f t="shared" si="165"/>
        <v>-6.9000409469097488E-9</v>
      </c>
      <c r="M1177" s="4">
        <f t="shared" si="167"/>
        <v>-7.2067495700118954E-9</v>
      </c>
      <c r="N1177" s="5">
        <f t="shared" si="168"/>
        <v>2.4734998810585647E-7</v>
      </c>
      <c r="O1177" s="5">
        <f t="shared" si="169"/>
        <v>1.1865087216352762E-6</v>
      </c>
      <c r="P1177" s="5">
        <f t="shared" si="170"/>
        <v>3.6614129025886999E-7</v>
      </c>
      <c r="Q1177" s="1">
        <f t="shared" si="166"/>
        <v>1.8000000000000027E-6</v>
      </c>
    </row>
    <row r="1178" spans="1:17" x14ac:dyDescent="0.25">
      <c r="A1178" s="1">
        <v>58.8</v>
      </c>
      <c r="B1178" s="1">
        <v>9.0608000000000008E-3</v>
      </c>
      <c r="C1178" s="1">
        <v>1.3783999999999999E-3</v>
      </c>
      <c r="D1178" s="1">
        <v>2.9798999999999999E-2</v>
      </c>
      <c r="E1178" s="1">
        <v>8.6292999999999995E-3</v>
      </c>
      <c r="F1178" s="1">
        <v>7.7362000000000001E-7</v>
      </c>
      <c r="G1178" s="1">
        <v>6.7367999999999997</v>
      </c>
      <c r="H1178" s="1">
        <v>1.8738E-7</v>
      </c>
      <c r="I1178" s="1">
        <f t="shared" si="162"/>
        <v>1.8738E-7</v>
      </c>
      <c r="J1178" s="4">
        <f t="shared" si="163"/>
        <v>-1.4906341485358476E-8</v>
      </c>
      <c r="K1178" s="4">
        <f t="shared" si="164"/>
        <v>-2.3136920071886573E-8</v>
      </c>
      <c r="L1178" s="4">
        <f t="shared" si="165"/>
        <v>-6.8949510081613626E-9</v>
      </c>
      <c r="M1178" s="4">
        <f t="shared" si="167"/>
        <v>-7.2022554782947453E-9</v>
      </c>
      <c r="N1178" s="5">
        <f t="shared" si="168"/>
        <v>2.4868561568422317E-7</v>
      </c>
      <c r="O1178" s="5">
        <f t="shared" si="169"/>
        <v>1.1854803985270427E-6</v>
      </c>
      <c r="P1178" s="5">
        <f t="shared" si="170"/>
        <v>3.6583398578873658E-7</v>
      </c>
      <c r="Q1178" s="1">
        <f t="shared" si="166"/>
        <v>1.8000000000000025E-6</v>
      </c>
    </row>
    <row r="1179" spans="1:17" x14ac:dyDescent="0.25">
      <c r="A1179" s="1">
        <v>58.85</v>
      </c>
      <c r="B1179" s="1">
        <v>9.0434999999999995E-3</v>
      </c>
      <c r="C1179" s="1">
        <v>1.3734000000000001E-3</v>
      </c>
      <c r="D1179" s="1">
        <v>2.9811000000000001E-2</v>
      </c>
      <c r="E1179" s="1">
        <v>8.6060000000000008E-3</v>
      </c>
      <c r="F1179" s="1">
        <v>7.7095E-7</v>
      </c>
      <c r="G1179" s="1">
        <v>6.7366999999999999</v>
      </c>
      <c r="H1179" s="1">
        <v>1.8741999999999999E-7</v>
      </c>
      <c r="I1179" s="1">
        <f t="shared" si="162"/>
        <v>1.8741999999999999E-7</v>
      </c>
      <c r="J1179" s="4">
        <f t="shared" si="163"/>
        <v>-1.4883533298528722E-8</v>
      </c>
      <c r="K1179" s="4">
        <f t="shared" si="164"/>
        <v>-2.3116867771279305E-8</v>
      </c>
      <c r="L1179" s="4">
        <f t="shared" si="165"/>
        <v>-6.8897270837869306E-9</v>
      </c>
      <c r="M1179" s="4">
        <f t="shared" si="167"/>
        <v>-7.1977470869954268E-9</v>
      </c>
      <c r="N1179" s="5">
        <f t="shared" si="168"/>
        <v>2.5002922307318678E-7</v>
      </c>
      <c r="O1179" s="5">
        <f t="shared" si="169"/>
        <v>1.1844448111412875E-6</v>
      </c>
      <c r="P1179" s="5">
        <f t="shared" si="170"/>
        <v>3.6552596578552813E-7</v>
      </c>
      <c r="Q1179" s="1">
        <f t="shared" si="166"/>
        <v>1.8000000000000025E-6</v>
      </c>
    </row>
    <row r="1180" spans="1:17" x14ac:dyDescent="0.25">
      <c r="A1180" s="1">
        <v>58.9</v>
      </c>
      <c r="B1180" s="1">
        <v>9.0261000000000004E-3</v>
      </c>
      <c r="C1180" s="1">
        <v>1.3683E-3</v>
      </c>
      <c r="D1180" s="1">
        <v>2.9822000000000001E-2</v>
      </c>
      <c r="E1180" s="1">
        <v>8.5828999999999992E-3</v>
      </c>
      <c r="F1180" s="1">
        <v>7.6827999999999999E-7</v>
      </c>
      <c r="G1180" s="1">
        <v>6.7366000000000001</v>
      </c>
      <c r="H1180" s="1">
        <v>1.8746000000000001E-7</v>
      </c>
      <c r="I1180" s="1">
        <f t="shared" si="162"/>
        <v>1.8746000000000001E-7</v>
      </c>
      <c r="J1180" s="4">
        <f t="shared" si="163"/>
        <v>-1.4860834476481389E-8</v>
      </c>
      <c r="K1180" s="4">
        <f t="shared" si="164"/>
        <v>-2.3096673817253793E-8</v>
      </c>
      <c r="L1180" s="4">
        <f t="shared" si="165"/>
        <v>-6.8844051785989391E-9</v>
      </c>
      <c r="M1180" s="4">
        <f t="shared" si="167"/>
        <v>-7.1932220332895784E-9</v>
      </c>
      <c r="N1180" s="5">
        <f t="shared" si="168"/>
        <v>2.5138065723536025E-7</v>
      </c>
      <c r="O1180" s="5">
        <f t="shared" si="169"/>
        <v>1.1834021938338046E-6</v>
      </c>
      <c r="P1180" s="5">
        <f t="shared" si="170"/>
        <v>3.6521714893083745E-7</v>
      </c>
      <c r="Q1180" s="1">
        <f t="shared" si="166"/>
        <v>1.8000000000000022E-6</v>
      </c>
    </row>
    <row r="1181" spans="1:17" x14ac:dyDescent="0.25">
      <c r="A1181" s="1">
        <v>58.95</v>
      </c>
      <c r="B1181" s="1">
        <v>9.0089000000000002E-3</v>
      </c>
      <c r="C1181" s="1">
        <v>1.3632E-3</v>
      </c>
      <c r="D1181" s="1">
        <v>2.9832999999999998E-2</v>
      </c>
      <c r="E1181" s="1">
        <v>8.5597999999999994E-3</v>
      </c>
      <c r="F1181" s="1">
        <v>7.6562000000000005E-7</v>
      </c>
      <c r="G1181" s="1">
        <v>6.7365000000000004</v>
      </c>
      <c r="H1181" s="1">
        <v>1.875E-7</v>
      </c>
      <c r="I1181" s="1">
        <f t="shared" si="162"/>
        <v>1.875E-7</v>
      </c>
      <c r="J1181" s="4">
        <f t="shared" si="163"/>
        <v>-1.4837847827450908E-8</v>
      </c>
      <c r="K1181" s="4">
        <f t="shared" si="164"/>
        <v>-2.3076342779761158E-8</v>
      </c>
      <c r="L1181" s="4">
        <f t="shared" si="165"/>
        <v>-6.8791302792035181E-9</v>
      </c>
      <c r="M1181" s="4">
        <f t="shared" si="167"/>
        <v>-7.1886787075509662E-9</v>
      </c>
      <c r="N1181" s="5">
        <f t="shared" si="168"/>
        <v>2.5274002190846697E-7</v>
      </c>
      <c r="O1181" s="5">
        <f t="shared" si="169"/>
        <v>1.1823523775890452E-6</v>
      </c>
      <c r="P1181" s="5">
        <f t="shared" si="170"/>
        <v>3.6490760050249005E-7</v>
      </c>
      <c r="Q1181" s="1">
        <f t="shared" si="166"/>
        <v>1.8000000000000022E-6</v>
      </c>
    </row>
    <row r="1182" spans="1:17" x14ac:dyDescent="0.25">
      <c r="A1182" s="1">
        <v>59</v>
      </c>
      <c r="B1182" s="1">
        <v>8.9917E-3</v>
      </c>
      <c r="C1182" s="1">
        <v>1.3581999999999999E-3</v>
      </c>
      <c r="D1182" s="1">
        <v>2.9843999999999999E-2</v>
      </c>
      <c r="E1182" s="1">
        <v>8.5366999999999995E-3</v>
      </c>
      <c r="F1182" s="1">
        <v>7.6296E-7</v>
      </c>
      <c r="G1182" s="1">
        <v>6.7363999999999997</v>
      </c>
      <c r="H1182" s="1">
        <v>1.8754E-7</v>
      </c>
      <c r="I1182" s="1">
        <f t="shared" si="162"/>
        <v>1.8754E-7</v>
      </c>
      <c r="J1182" s="4">
        <f t="shared" si="163"/>
        <v>-1.4814962565942099E-8</v>
      </c>
      <c r="K1182" s="4">
        <f t="shared" si="164"/>
        <v>-2.3055871362985071E-8</v>
      </c>
      <c r="L1182" s="4">
        <f t="shared" si="165"/>
        <v>-6.8738334130978449E-9</v>
      </c>
      <c r="M1182" s="4">
        <f t="shared" si="167"/>
        <v>-7.1841183848923639E-9</v>
      </c>
      <c r="N1182" s="5">
        <f t="shared" si="168"/>
        <v>2.5410709729241207E-7</v>
      </c>
      <c r="O1182" s="5">
        <f t="shared" si="169"/>
        <v>1.1812955871768944E-6</v>
      </c>
      <c r="P1182" s="5">
        <f t="shared" si="170"/>
        <v>3.6459731553069555E-7</v>
      </c>
      <c r="Q1182" s="1">
        <f t="shared" si="166"/>
        <v>1.800000000000002E-6</v>
      </c>
    </row>
    <row r="1183" spans="1:17" x14ac:dyDescent="0.25">
      <c r="A1183" s="1">
        <v>59.05</v>
      </c>
      <c r="B1183" s="1">
        <v>8.9744999999999998E-3</v>
      </c>
      <c r="C1183" s="1">
        <v>1.3531999999999999E-3</v>
      </c>
      <c r="D1183" s="1">
        <v>2.9855E-2</v>
      </c>
      <c r="E1183" s="1">
        <v>8.5137000000000008E-3</v>
      </c>
      <c r="F1183" s="1">
        <v>7.6031000000000001E-7</v>
      </c>
      <c r="G1183" s="1">
        <v>6.7363</v>
      </c>
      <c r="H1183" s="1">
        <v>1.8757999999999999E-7</v>
      </c>
      <c r="I1183" s="1">
        <f t="shared" si="162"/>
        <v>1.8757999999999999E-7</v>
      </c>
      <c r="J1183" s="4">
        <f t="shared" si="163"/>
        <v>-1.4791776443297046E-8</v>
      </c>
      <c r="K1183" s="4">
        <f t="shared" si="164"/>
        <v>-2.3035263949948131E-8</v>
      </c>
      <c r="L1183" s="4">
        <f t="shared" si="165"/>
        <v>-6.8684174209460467E-9</v>
      </c>
      <c r="M1183" s="4">
        <f t="shared" si="167"/>
        <v>-7.1795409582353892E-9</v>
      </c>
      <c r="N1183" s="5">
        <f t="shared" si="168"/>
        <v>2.5548216737811713E-7</v>
      </c>
      <c r="O1183" s="5">
        <f t="shared" si="169"/>
        <v>1.1802316406284789E-6</v>
      </c>
      <c r="P1183" s="5">
        <f t="shared" si="170"/>
        <v>3.6428619199340621E-7</v>
      </c>
      <c r="Q1183" s="1">
        <f t="shared" si="166"/>
        <v>1.8000000000000022E-6</v>
      </c>
    </row>
    <row r="1184" spans="1:17" x14ac:dyDescent="0.25">
      <c r="A1184" s="1">
        <v>59.1</v>
      </c>
      <c r="B1184" s="1">
        <v>8.9574000000000008E-3</v>
      </c>
      <c r="C1184" s="1">
        <v>1.3481000000000001E-3</v>
      </c>
      <c r="D1184" s="1">
        <v>2.9866E-2</v>
      </c>
      <c r="E1184" s="1">
        <v>8.4907999999999997E-3</v>
      </c>
      <c r="F1184" s="1">
        <v>7.5766000000000002E-7</v>
      </c>
      <c r="G1184" s="1">
        <v>6.7362000000000002</v>
      </c>
      <c r="H1184" s="1">
        <v>1.8762000000000001E-7</v>
      </c>
      <c r="I1184" s="1">
        <f t="shared" si="162"/>
        <v>1.8762000000000001E-7</v>
      </c>
      <c r="J1184" s="4">
        <f t="shared" si="163"/>
        <v>-1.4768690762671793E-8</v>
      </c>
      <c r="K1184" s="4">
        <f t="shared" si="164"/>
        <v>-2.3014516992257301E-8</v>
      </c>
      <c r="L1184" s="4">
        <f t="shared" si="165"/>
        <v>-6.8630590228532986E-9</v>
      </c>
      <c r="M1184" s="4">
        <f t="shared" si="167"/>
        <v>-7.1749444088835411E-9</v>
      </c>
      <c r="N1184" s="5">
        <f t="shared" si="168"/>
        <v>2.5686493458484935E-7</v>
      </c>
      <c r="O1184" s="5">
        <f t="shared" si="169"/>
        <v>1.179160758807777E-6</v>
      </c>
      <c r="P1184" s="5">
        <f t="shared" si="170"/>
        <v>3.6397430660737599E-7</v>
      </c>
      <c r="Q1184" s="1">
        <f t="shared" si="166"/>
        <v>1.8000000000000022E-6</v>
      </c>
    </row>
    <row r="1185" spans="1:17" x14ac:dyDescent="0.25">
      <c r="A1185" s="1">
        <v>59.15</v>
      </c>
      <c r="B1185" s="1">
        <v>8.9403E-3</v>
      </c>
      <c r="C1185" s="1">
        <v>1.3431000000000001E-3</v>
      </c>
      <c r="D1185" s="1">
        <v>2.9877000000000001E-2</v>
      </c>
      <c r="E1185" s="1">
        <v>8.4679000000000004E-3</v>
      </c>
      <c r="F1185" s="1">
        <v>7.5501000000000004E-7</v>
      </c>
      <c r="G1185" s="1">
        <v>6.7361000000000004</v>
      </c>
      <c r="H1185" s="1">
        <v>1.8766E-7</v>
      </c>
      <c r="I1185" s="1">
        <f t="shared" si="162"/>
        <v>1.8766E-7</v>
      </c>
      <c r="J1185" s="4">
        <f t="shared" si="163"/>
        <v>-1.4745297550650502E-8</v>
      </c>
      <c r="K1185" s="4">
        <f t="shared" si="164"/>
        <v>-2.2993634796750345E-8</v>
      </c>
      <c r="L1185" s="4">
        <f t="shared" si="165"/>
        <v>-6.8576590507445641E-9</v>
      </c>
      <c r="M1185" s="4">
        <f t="shared" si="167"/>
        <v>-7.1703302375955599E-9</v>
      </c>
      <c r="N1185" s="5">
        <f t="shared" si="168"/>
        <v>2.5825561278020464E-7</v>
      </c>
      <c r="O1185" s="5">
        <f t="shared" si="169"/>
        <v>1.1780827517992728E-6</v>
      </c>
      <c r="P1185" s="5">
        <f t="shared" si="170"/>
        <v>3.6366163542052498E-7</v>
      </c>
      <c r="Q1185" s="1">
        <f t="shared" si="166"/>
        <v>1.8000000000000025E-6</v>
      </c>
    </row>
    <row r="1186" spans="1:17" x14ac:dyDescent="0.25">
      <c r="A1186" s="1">
        <v>59.2</v>
      </c>
      <c r="B1186" s="1">
        <v>8.9231999999999992E-3</v>
      </c>
      <c r="C1186" s="1">
        <v>1.3381000000000001E-3</v>
      </c>
      <c r="D1186" s="1">
        <v>2.9888000000000001E-2</v>
      </c>
      <c r="E1186" s="1">
        <v>8.4451000000000005E-3</v>
      </c>
      <c r="F1186" s="1">
        <v>7.5237000000000001E-7</v>
      </c>
      <c r="G1186" s="1">
        <v>6.7359999999999998</v>
      </c>
      <c r="H1186" s="1">
        <v>1.8769999999999999E-7</v>
      </c>
      <c r="I1186" s="1">
        <f t="shared" si="162"/>
        <v>1.8769999999999999E-7</v>
      </c>
      <c r="J1186" s="4">
        <f t="shared" si="163"/>
        <v>-1.4721605536062728E-8</v>
      </c>
      <c r="K1186" s="4">
        <f t="shared" si="164"/>
        <v>-2.2972613660087779E-8</v>
      </c>
      <c r="L1186" s="4">
        <f t="shared" si="165"/>
        <v>-6.8521409862535066E-9</v>
      </c>
      <c r="M1186" s="4">
        <f t="shared" si="167"/>
        <v>-7.1656979628172603E-9</v>
      </c>
      <c r="N1186" s="5">
        <f t="shared" si="168"/>
        <v>2.5965447991797621E-7</v>
      </c>
      <c r="O1186" s="5">
        <f t="shared" si="169"/>
        <v>1.1769974416380651E-6</v>
      </c>
      <c r="P1186" s="5">
        <f t="shared" si="170"/>
        <v>3.6334807844396125E-7</v>
      </c>
      <c r="Q1186" s="1">
        <f t="shared" si="166"/>
        <v>1.8000000000000025E-6</v>
      </c>
    </row>
    <row r="1187" spans="1:17" x14ac:dyDescent="0.25">
      <c r="A1187" s="1">
        <v>59.25</v>
      </c>
      <c r="B1187" s="1">
        <v>8.9061999999999995E-3</v>
      </c>
      <c r="C1187" s="1">
        <v>1.3331E-3</v>
      </c>
      <c r="D1187" s="1">
        <v>2.9898999999999998E-2</v>
      </c>
      <c r="E1187" s="1">
        <v>8.4223000000000006E-3</v>
      </c>
      <c r="F1187" s="1">
        <v>7.4972999999999998E-7</v>
      </c>
      <c r="G1187" s="1">
        <v>6.7359</v>
      </c>
      <c r="H1187" s="1">
        <v>1.8774000000000001E-7</v>
      </c>
      <c r="I1187" s="1">
        <f t="shared" si="162"/>
        <v>1.8774000000000001E-7</v>
      </c>
      <c r="J1187" s="4">
        <f t="shared" si="163"/>
        <v>-1.4698017508320991E-8</v>
      </c>
      <c r="K1187" s="4">
        <f t="shared" si="164"/>
        <v>-2.2951450111940965E-8</v>
      </c>
      <c r="L1187" s="4">
        <f t="shared" si="165"/>
        <v>-6.8466824140650852E-9</v>
      </c>
      <c r="M1187" s="4">
        <f t="shared" si="167"/>
        <v>-7.1610456040124042E-9</v>
      </c>
      <c r="N1187" s="5">
        <f t="shared" si="168"/>
        <v>2.610612301075311E-7</v>
      </c>
      <c r="O1187" s="5">
        <f t="shared" si="169"/>
        <v>1.1759050546384574E-6</v>
      </c>
      <c r="P1187" s="5">
        <f t="shared" si="170"/>
        <v>3.6303371525401392E-7</v>
      </c>
      <c r="Q1187" s="1">
        <f t="shared" si="166"/>
        <v>1.8000000000000025E-6</v>
      </c>
    </row>
    <row r="1188" spans="1:17" x14ac:dyDescent="0.25">
      <c r="A1188" s="1">
        <v>59.3</v>
      </c>
      <c r="B1188" s="1">
        <v>8.8891999999999999E-3</v>
      </c>
      <c r="C1188" s="1">
        <v>1.3281E-3</v>
      </c>
      <c r="D1188" s="1">
        <v>2.9909999999999999E-2</v>
      </c>
      <c r="E1188" s="1">
        <v>8.3996000000000001E-3</v>
      </c>
      <c r="F1188" s="1">
        <v>7.4708999999999995E-7</v>
      </c>
      <c r="G1188" s="1">
        <v>6.7358000000000002</v>
      </c>
      <c r="H1188" s="1">
        <v>1.8778E-7</v>
      </c>
      <c r="I1188" s="1">
        <f t="shared" si="162"/>
        <v>1.8778E-7</v>
      </c>
      <c r="J1188" s="4">
        <f t="shared" si="163"/>
        <v>-1.4674123116864801E-8</v>
      </c>
      <c r="K1188" s="4">
        <f t="shared" si="164"/>
        <v>-2.2930148565448615E-8</v>
      </c>
      <c r="L1188" s="4">
        <f t="shared" si="165"/>
        <v>-6.8411021111301032E-9</v>
      </c>
      <c r="M1188" s="4">
        <f t="shared" si="167"/>
        <v>-7.1563747186873939E-9</v>
      </c>
      <c r="N1188" s="5">
        <f t="shared" si="168"/>
        <v>2.6247615344498481E-7</v>
      </c>
      <c r="O1188" s="5">
        <f t="shared" si="169"/>
        <v>1.174805403908561E-6</v>
      </c>
      <c r="P1188" s="5">
        <f t="shared" si="170"/>
        <v>3.6271844264645663E-7</v>
      </c>
      <c r="Q1188" s="1">
        <f t="shared" si="166"/>
        <v>1.8000000000000022E-6</v>
      </c>
    </row>
    <row r="1189" spans="1:17" x14ac:dyDescent="0.25">
      <c r="A1189" s="1">
        <v>59.35</v>
      </c>
      <c r="B1189" s="1">
        <v>8.8722999999999996E-3</v>
      </c>
      <c r="C1189" s="1">
        <v>1.3231E-3</v>
      </c>
      <c r="D1189" s="1">
        <v>2.9921E-2</v>
      </c>
      <c r="E1189" s="1">
        <v>8.3770000000000008E-3</v>
      </c>
      <c r="F1189" s="1">
        <v>7.4445999999999998E-7</v>
      </c>
      <c r="G1189" s="1">
        <v>6.7356999999999996</v>
      </c>
      <c r="H1189" s="1">
        <v>1.8782E-7</v>
      </c>
      <c r="I1189" s="1">
        <f t="shared" si="162"/>
        <v>1.8782E-7</v>
      </c>
      <c r="J1189" s="4">
        <f t="shared" si="163"/>
        <v>-1.4649935057734406E-8</v>
      </c>
      <c r="K1189" s="4">
        <f t="shared" si="164"/>
        <v>-2.2908705376218894E-8</v>
      </c>
      <c r="L1189" s="4">
        <f t="shared" si="165"/>
        <v>-6.83548725348252E-9</v>
      </c>
      <c r="M1189" s="4">
        <f t="shared" si="167"/>
        <v>-7.1516832618165307E-9</v>
      </c>
      <c r="N1189" s="5">
        <f t="shared" si="168"/>
        <v>2.6389943650998678E-7</v>
      </c>
      <c r="O1189" s="5">
        <f t="shared" si="169"/>
        <v>1.1736983168518929E-6</v>
      </c>
      <c r="P1189" s="5">
        <f t="shared" si="170"/>
        <v>3.624022466381226E-7</v>
      </c>
      <c r="Q1189" s="1">
        <f t="shared" si="166"/>
        <v>1.8000000000000025E-6</v>
      </c>
    </row>
    <row r="1190" spans="1:17" x14ac:dyDescent="0.25">
      <c r="A1190" s="1">
        <v>59.4</v>
      </c>
      <c r="B1190" s="1">
        <v>8.8553999999999994E-3</v>
      </c>
      <c r="C1190" s="1">
        <v>1.3182000000000001E-3</v>
      </c>
      <c r="D1190" s="1">
        <v>2.9932E-2</v>
      </c>
      <c r="E1190" s="1">
        <v>8.3543999999999997E-3</v>
      </c>
      <c r="F1190" s="1">
        <v>7.4183999999999998E-7</v>
      </c>
      <c r="G1190" s="1">
        <v>6.7355999999999998</v>
      </c>
      <c r="H1190" s="1">
        <v>1.8785999999999999E-7</v>
      </c>
      <c r="I1190" s="1">
        <f t="shared" si="162"/>
        <v>1.8785999999999999E-7</v>
      </c>
      <c r="J1190" s="4">
        <f t="shared" si="163"/>
        <v>-1.4625852821540686E-8</v>
      </c>
      <c r="K1190" s="4">
        <f t="shared" si="164"/>
        <v>-2.2887117178610611E-8</v>
      </c>
      <c r="L1190" s="4">
        <f t="shared" si="165"/>
        <v>-6.8299329944804586E-9</v>
      </c>
      <c r="M1190" s="4">
        <f t="shared" si="167"/>
        <v>-7.1469709461746727E-9</v>
      </c>
      <c r="N1190" s="5">
        <f t="shared" si="168"/>
        <v>2.6533076787257622E-7</v>
      </c>
      <c r="O1190" s="5">
        <f t="shared" si="169"/>
        <v>1.1725840234409975E-6</v>
      </c>
      <c r="P1190" s="5">
        <f t="shared" si="170"/>
        <v>3.6208520868642837E-7</v>
      </c>
      <c r="Q1190" s="1">
        <f t="shared" si="166"/>
        <v>1.800000000000002E-6</v>
      </c>
    </row>
    <row r="1191" spans="1:17" x14ac:dyDescent="0.25">
      <c r="A1191" s="1">
        <v>59.45</v>
      </c>
      <c r="B1191" s="1">
        <v>8.8386000000000003E-3</v>
      </c>
      <c r="C1191" s="1">
        <v>1.3132E-3</v>
      </c>
      <c r="D1191" s="1">
        <v>2.9943000000000001E-2</v>
      </c>
      <c r="E1191" s="1">
        <v>8.3318000000000003E-3</v>
      </c>
      <c r="F1191" s="1">
        <v>7.3921000000000001E-7</v>
      </c>
      <c r="G1191" s="1">
        <v>6.7355</v>
      </c>
      <c r="H1191" s="1">
        <v>1.8790000000000001E-7</v>
      </c>
      <c r="I1191" s="1">
        <f t="shared" si="162"/>
        <v>1.8790000000000001E-7</v>
      </c>
      <c r="J1191" s="4">
        <f t="shared" si="163"/>
        <v>-1.4601857553795347E-8</v>
      </c>
      <c r="K1191" s="4">
        <f t="shared" si="164"/>
        <v>-2.2865388457101401E-8</v>
      </c>
      <c r="L1191" s="4">
        <f t="shared" si="165"/>
        <v>-6.8243489000569613E-9</v>
      </c>
      <c r="M1191" s="4">
        <f t="shared" si="167"/>
        <v>-7.1422393669030137E-9</v>
      </c>
      <c r="N1191" s="5">
        <f t="shared" si="168"/>
        <v>2.6676994987582532E-7</v>
      </c>
      <c r="O1191" s="5">
        <f t="shared" si="169"/>
        <v>1.1714627319045945E-6</v>
      </c>
      <c r="P1191" s="5">
        <f t="shared" si="170"/>
        <v>3.6176731821958228E-7</v>
      </c>
      <c r="Q1191" s="1">
        <f t="shared" si="166"/>
        <v>1.8000000000000022E-6</v>
      </c>
    </row>
    <row r="1192" spans="1:17" x14ac:dyDescent="0.25">
      <c r="A1192" s="1">
        <v>59.5</v>
      </c>
      <c r="B1192" s="1">
        <v>8.8217999999999994E-3</v>
      </c>
      <c r="C1192" s="1">
        <v>1.3083000000000001E-3</v>
      </c>
      <c r="D1192" s="1">
        <v>2.9954000000000001E-2</v>
      </c>
      <c r="E1192" s="1">
        <v>8.3093000000000004E-3</v>
      </c>
      <c r="F1192" s="1">
        <v>7.3659999999999997E-7</v>
      </c>
      <c r="G1192" s="1">
        <v>6.7354000000000003</v>
      </c>
      <c r="H1192" s="1">
        <v>1.8794E-7</v>
      </c>
      <c r="I1192" s="1">
        <f t="shared" si="162"/>
        <v>1.8794E-7</v>
      </c>
      <c r="J1192" s="4">
        <f t="shared" si="163"/>
        <v>-1.457714836177246E-8</v>
      </c>
      <c r="K1192" s="4">
        <f t="shared" si="164"/>
        <v>-2.2843523272138295E-8</v>
      </c>
      <c r="L1192" s="4">
        <f t="shared" si="165"/>
        <v>-6.8185444135030014E-9</v>
      </c>
      <c r="M1192" s="4">
        <f t="shared" si="167"/>
        <v>-7.1374883048128435E-9</v>
      </c>
      <c r="N1192" s="5">
        <f t="shared" si="168"/>
        <v>2.6821778037268809E-7</v>
      </c>
      <c r="O1192" s="5">
        <f t="shared" si="169"/>
        <v>1.1703338452990413E-6</v>
      </c>
      <c r="P1192" s="5">
        <f t="shared" si="170"/>
        <v>3.6144837432827246E-7</v>
      </c>
      <c r="Q1192" s="1">
        <f t="shared" si="166"/>
        <v>1.8000000000000018E-6</v>
      </c>
    </row>
    <row r="1193" spans="1:17" x14ac:dyDescent="0.25">
      <c r="A1193" s="1">
        <v>59.55</v>
      </c>
      <c r="B1193" s="1">
        <v>8.8050999999999997E-3</v>
      </c>
      <c r="C1193" s="1">
        <v>1.3033000000000001E-3</v>
      </c>
      <c r="D1193" s="1">
        <v>2.9964999999999999E-2</v>
      </c>
      <c r="E1193" s="1">
        <v>8.2868999999999998E-3</v>
      </c>
      <c r="F1193" s="1">
        <v>7.3397999999999996E-7</v>
      </c>
      <c r="G1193" s="1">
        <v>6.7352999999999996</v>
      </c>
      <c r="H1193" s="1">
        <v>1.8797999999999999E-7</v>
      </c>
      <c r="I1193" s="1">
        <f t="shared" si="162"/>
        <v>1.8797999999999999E-7</v>
      </c>
      <c r="J1193" s="4">
        <f t="shared" si="163"/>
        <v>-1.4552948525878147E-8</v>
      </c>
      <c r="K1193" s="4">
        <f t="shared" si="164"/>
        <v>-2.2821509983330008E-8</v>
      </c>
      <c r="L1193" s="4">
        <f t="shared" si="165"/>
        <v>-6.8128968642713684E-9</v>
      </c>
      <c r="M1193" s="4">
        <f t="shared" si="167"/>
        <v>-7.1327137844814257E-9</v>
      </c>
      <c r="N1193" s="5">
        <f t="shared" si="168"/>
        <v>2.696734449658686E-7</v>
      </c>
      <c r="O1193" s="5">
        <f t="shared" si="169"/>
        <v>1.1691979976260706E-6</v>
      </c>
      <c r="P1193" s="5">
        <f t="shared" si="170"/>
        <v>3.6112855740806237E-7</v>
      </c>
      <c r="Q1193" s="1">
        <f t="shared" si="166"/>
        <v>1.8000000000000016E-6</v>
      </c>
    </row>
    <row r="1194" spans="1:17" x14ac:dyDescent="0.25">
      <c r="A1194" s="1">
        <v>59.6</v>
      </c>
      <c r="B1194" s="1">
        <v>8.7884E-3</v>
      </c>
      <c r="C1194" s="1">
        <v>1.2983999999999999E-3</v>
      </c>
      <c r="D1194" s="1">
        <v>2.9975999999999999E-2</v>
      </c>
      <c r="E1194" s="1">
        <v>8.2644999999999993E-3</v>
      </c>
      <c r="F1194" s="1">
        <v>7.3137000000000002E-7</v>
      </c>
      <c r="G1194" s="1">
        <v>6.7351999999999999</v>
      </c>
      <c r="H1194" s="1">
        <v>1.8802000000000001E-7</v>
      </c>
      <c r="I1194" s="1">
        <f t="shared" si="162"/>
        <v>1.8802000000000001E-7</v>
      </c>
      <c r="J1194" s="4">
        <f t="shared" si="163"/>
        <v>-1.4528026901156904E-8</v>
      </c>
      <c r="K1194" s="4">
        <f t="shared" si="164"/>
        <v>-2.2799360953710322E-8</v>
      </c>
      <c r="L1194" s="4">
        <f t="shared" si="165"/>
        <v>-6.8071074202003905E-9</v>
      </c>
      <c r="M1194" s="4">
        <f t="shared" si="167"/>
        <v>-7.1279193532652021E-9</v>
      </c>
      <c r="N1194" s="5">
        <f t="shared" si="168"/>
        <v>2.7113767159822162E-7</v>
      </c>
      <c r="O1194" s="5">
        <f t="shared" si="169"/>
        <v>1.1680545829267822E-6</v>
      </c>
      <c r="P1194" s="5">
        <f t="shared" si="170"/>
        <v>3.6080774547499753E-7</v>
      </c>
      <c r="Q1194" s="1">
        <f t="shared" si="166"/>
        <v>1.8000000000000014E-6</v>
      </c>
    </row>
    <row r="1195" spans="1:17" x14ac:dyDescent="0.25">
      <c r="A1195" s="1">
        <v>59.65</v>
      </c>
      <c r="B1195" s="1">
        <v>8.7717000000000003E-3</v>
      </c>
      <c r="C1195" s="1">
        <v>1.2934999999999999E-3</v>
      </c>
      <c r="D1195" s="1">
        <v>2.9987E-2</v>
      </c>
      <c r="E1195" s="1">
        <v>8.2421999999999999E-3</v>
      </c>
      <c r="F1195" s="1">
        <v>7.2877000000000003E-7</v>
      </c>
      <c r="G1195" s="1">
        <v>6.7351000000000001</v>
      </c>
      <c r="H1195" s="1">
        <v>1.8806E-7</v>
      </c>
      <c r="I1195" s="1">
        <f t="shared" si="162"/>
        <v>1.8806E-7</v>
      </c>
      <c r="J1195" s="4">
        <f t="shared" si="163"/>
        <v>-1.4503210366371065E-8</v>
      </c>
      <c r="K1195" s="4">
        <f t="shared" si="164"/>
        <v>-2.2777064367070959E-8</v>
      </c>
      <c r="L1195" s="4">
        <f t="shared" si="165"/>
        <v>-6.8012961374191678E-9</v>
      </c>
      <c r="M1195" s="4">
        <f t="shared" si="167"/>
        <v>-7.1231025919415444E-9</v>
      </c>
      <c r="N1195" s="5">
        <f t="shared" si="168"/>
        <v>2.7261022946150239E-7</v>
      </c>
      <c r="O1195" s="5">
        <f t="shared" si="169"/>
        <v>1.166903831518024E-6</v>
      </c>
      <c r="P1195" s="5">
        <f t="shared" si="170"/>
        <v>3.6048593902047512E-7</v>
      </c>
      <c r="Q1195" s="1">
        <f t="shared" si="166"/>
        <v>1.8000000000000014E-6</v>
      </c>
    </row>
    <row r="1196" spans="1:17" x14ac:dyDescent="0.25">
      <c r="A1196" s="1">
        <v>59.7</v>
      </c>
      <c r="B1196" s="1">
        <v>8.7551E-3</v>
      </c>
      <c r="C1196" s="1">
        <v>1.2886E-3</v>
      </c>
      <c r="D1196" s="1">
        <v>2.9996999999999999E-2</v>
      </c>
      <c r="E1196" s="1">
        <v>8.2199000000000005E-3</v>
      </c>
      <c r="F1196" s="1">
        <v>7.2617000000000005E-7</v>
      </c>
      <c r="G1196" s="1">
        <v>6.7350000000000003</v>
      </c>
      <c r="H1196" s="1">
        <v>1.881E-7</v>
      </c>
      <c r="I1196" s="1">
        <f t="shared" si="162"/>
        <v>1.881E-7</v>
      </c>
      <c r="J1196" s="4">
        <f t="shared" si="163"/>
        <v>-1.4478485026199619E-8</v>
      </c>
      <c r="K1196" s="4">
        <f t="shared" si="164"/>
        <v>-2.2754624714603409E-8</v>
      </c>
      <c r="L1196" s="4">
        <f t="shared" si="165"/>
        <v>-6.795538544728944E-9</v>
      </c>
      <c r="M1196" s="4">
        <f t="shared" si="167"/>
        <v>-7.1182634976806154E-9</v>
      </c>
      <c r="N1196" s="5">
        <f t="shared" si="168"/>
        <v>2.7409083060517728E-7</v>
      </c>
      <c r="O1196" s="5">
        <f t="shared" si="169"/>
        <v>1.1657459553273008E-6</v>
      </c>
      <c r="P1196" s="5">
        <f t="shared" si="170"/>
        <v>3.6016321406752343E-7</v>
      </c>
      <c r="Q1196" s="1">
        <f t="shared" si="166"/>
        <v>1.8000000000000016E-6</v>
      </c>
    </row>
    <row r="1197" spans="1:17" x14ac:dyDescent="0.25">
      <c r="A1197" s="1">
        <v>59.75</v>
      </c>
      <c r="B1197" s="1">
        <v>8.7384999999999997E-3</v>
      </c>
      <c r="C1197" s="1">
        <v>1.2837E-3</v>
      </c>
      <c r="D1197" s="1">
        <v>3.0008E-2</v>
      </c>
      <c r="E1197" s="1">
        <v>8.1977000000000005E-3</v>
      </c>
      <c r="F1197" s="1">
        <v>7.2356999999999996E-7</v>
      </c>
      <c r="G1197" s="1">
        <v>6.7350000000000003</v>
      </c>
      <c r="H1197" s="1">
        <v>1.8813E-7</v>
      </c>
      <c r="I1197" s="1">
        <f t="shared" si="162"/>
        <v>1.8813E-7</v>
      </c>
      <c r="J1197" s="4">
        <f t="shared" si="163"/>
        <v>-1.445343631338978E-8</v>
      </c>
      <c r="K1197" s="4">
        <f t="shared" si="164"/>
        <v>-2.2732046128881072E-8</v>
      </c>
      <c r="L1197" s="4">
        <f t="shared" si="165"/>
        <v>-6.7896508363412913E-9</v>
      </c>
      <c r="M1197" s="4">
        <f t="shared" si="167"/>
        <v>-7.1134035594402179E-9</v>
      </c>
      <c r="N1197" s="5">
        <f t="shared" si="168"/>
        <v>2.7557978958432728E-7</v>
      </c>
      <c r="O1197" s="5">
        <f t="shared" si="169"/>
        <v>1.1645807490712496E-6</v>
      </c>
      <c r="P1197" s="5">
        <f t="shared" si="170"/>
        <v>3.5983946134442454E-7</v>
      </c>
      <c r="Q1197" s="1">
        <f t="shared" si="166"/>
        <v>1.8000000000000014E-6</v>
      </c>
    </row>
    <row r="1198" spans="1:17" x14ac:dyDescent="0.25">
      <c r="A1198" s="1">
        <v>59.8</v>
      </c>
      <c r="B1198" s="1">
        <v>8.7218999999999994E-3</v>
      </c>
      <c r="C1198" s="1">
        <v>1.2788000000000001E-3</v>
      </c>
      <c r="D1198" s="1">
        <v>3.0019000000000001E-2</v>
      </c>
      <c r="E1198" s="1">
        <v>8.1755999999999999E-3</v>
      </c>
      <c r="F1198" s="1">
        <v>7.2098000000000004E-7</v>
      </c>
      <c r="G1198" s="1">
        <v>6.7348999999999997</v>
      </c>
      <c r="H1198" s="1">
        <v>1.8817E-7</v>
      </c>
      <c r="I1198" s="1">
        <f t="shared" si="162"/>
        <v>1.8817E-7</v>
      </c>
      <c r="J1198" s="4">
        <f t="shared" si="163"/>
        <v>-1.4428077573966242E-8</v>
      </c>
      <c r="K1198" s="4">
        <f t="shared" si="164"/>
        <v>-2.2709324606888078E-8</v>
      </c>
      <c r="L1198" s="4">
        <f t="shared" si="165"/>
        <v>-6.7837218768277821E-9</v>
      </c>
      <c r="M1198" s="4">
        <f t="shared" si="167"/>
        <v>-7.1081427755858874E-9</v>
      </c>
      <c r="N1198" s="5">
        <f t="shared" si="168"/>
        <v>2.770773147404214E-7</v>
      </c>
      <c r="O1198" s="5">
        <f t="shared" si="169"/>
        <v>1.1634076448139137E-6</v>
      </c>
      <c r="P1198" s="5">
        <f t="shared" si="170"/>
        <v>3.5951504044566642E-7</v>
      </c>
      <c r="Q1198" s="1">
        <f t="shared" si="166"/>
        <v>1.8000000000000014E-6</v>
      </c>
    </row>
    <row r="1199" spans="1:17" x14ac:dyDescent="0.25">
      <c r="A1199" s="1">
        <v>59.85</v>
      </c>
      <c r="B1199" s="1">
        <v>8.7054000000000003E-3</v>
      </c>
      <c r="C1199" s="1">
        <v>1.2738999999999999E-3</v>
      </c>
      <c r="D1199" s="1">
        <v>3.0029E-2</v>
      </c>
      <c r="E1199" s="1">
        <v>8.1534999999999993E-3</v>
      </c>
      <c r="F1199" s="1">
        <v>7.1839000000000002E-7</v>
      </c>
      <c r="G1199" s="1">
        <v>6.7347999999999999</v>
      </c>
      <c r="H1199" s="1">
        <v>1.8820999999999999E-7</v>
      </c>
      <c r="I1199" s="1">
        <f t="shared" si="162"/>
        <v>1.8820999999999999E-7</v>
      </c>
      <c r="J1199" s="4">
        <f t="shared" si="163"/>
        <v>-1.4402815757306152E-8</v>
      </c>
      <c r="K1199" s="4">
        <f t="shared" si="164"/>
        <v>-2.268644907387325E-8</v>
      </c>
      <c r="L1199" s="4">
        <f t="shared" si="165"/>
        <v>-6.777849470131535E-9</v>
      </c>
      <c r="M1199" s="4">
        <f t="shared" si="167"/>
        <v>-7.1032442418700157E-9</v>
      </c>
      <c r="N1199" s="5">
        <f t="shared" si="168"/>
        <v>2.78583098586857E-7</v>
      </c>
      <c r="O1199" s="5">
        <f t="shared" si="169"/>
        <v>1.1622272557392166E-6</v>
      </c>
      <c r="P1199" s="5">
        <f t="shared" si="170"/>
        <v>3.5918964567392796E-7</v>
      </c>
      <c r="Q1199" s="1">
        <f t="shared" si="166"/>
        <v>1.8000000000000016E-6</v>
      </c>
    </row>
    <row r="1200" spans="1:17" x14ac:dyDescent="0.25">
      <c r="A1200" s="1">
        <v>59.9</v>
      </c>
      <c r="B1200" s="1">
        <v>8.6890000000000005E-3</v>
      </c>
      <c r="C1200" s="1">
        <v>1.2691E-3</v>
      </c>
      <c r="D1200" s="1">
        <v>3.0040000000000001E-2</v>
      </c>
      <c r="E1200" s="1">
        <v>8.1314000000000004E-3</v>
      </c>
      <c r="F1200" s="1">
        <v>7.1580999999999995E-7</v>
      </c>
      <c r="G1200" s="1">
        <v>6.7347000000000001</v>
      </c>
      <c r="H1200" s="1">
        <v>1.8825000000000001E-7</v>
      </c>
      <c r="I1200" s="1">
        <f t="shared" si="162"/>
        <v>1.8825000000000001E-7</v>
      </c>
      <c r="J1200" s="4">
        <f t="shared" si="163"/>
        <v>-1.4377233336690457E-8</v>
      </c>
      <c r="K1200" s="4">
        <f t="shared" si="164"/>
        <v>-2.2663431486913436E-8</v>
      </c>
      <c r="L1200" s="4">
        <f t="shared" si="165"/>
        <v>-6.7718482139844426E-9</v>
      </c>
      <c r="M1200" s="4">
        <f t="shared" si="167"/>
        <v>-7.0983237372900439E-9</v>
      </c>
      <c r="N1200" s="5">
        <f t="shared" si="168"/>
        <v>2.8009744852309555E-7</v>
      </c>
      <c r="O1200" s="5">
        <f t="shared" si="169"/>
        <v>1.1610393813262834E-6</v>
      </c>
      <c r="P1200" s="5">
        <f t="shared" si="170"/>
        <v>3.5886317015062235E-7</v>
      </c>
      <c r="Q1200" s="1">
        <f t="shared" si="166"/>
        <v>1.8000000000000014E-6</v>
      </c>
    </row>
    <row r="1201" spans="1:17" x14ac:dyDescent="0.25">
      <c r="A1201" s="1">
        <v>59.95</v>
      </c>
      <c r="B1201" s="1">
        <v>8.6726000000000008E-3</v>
      </c>
      <c r="C1201" s="1">
        <v>1.2642E-3</v>
      </c>
      <c r="D1201" s="1">
        <v>3.0051000000000001E-2</v>
      </c>
      <c r="E1201" s="1">
        <v>8.1093999999999992E-3</v>
      </c>
      <c r="F1201" s="1">
        <v>7.1322999999999999E-7</v>
      </c>
      <c r="G1201" s="1">
        <v>6.7346000000000004</v>
      </c>
      <c r="H1201" s="1">
        <v>1.8829E-7</v>
      </c>
      <c r="I1201" s="1">
        <f t="shared" si="162"/>
        <v>1.8829E-7</v>
      </c>
      <c r="J1201" s="4">
        <f t="shared" si="163"/>
        <v>-1.4351743876779205E-8</v>
      </c>
      <c r="K1201" s="4">
        <f t="shared" si="164"/>
        <v>-2.2640267935864458E-8</v>
      </c>
      <c r="L1201" s="4">
        <f t="shared" si="165"/>
        <v>-6.765818389831324E-9</v>
      </c>
      <c r="M1201" s="4">
        <f t="shared" si="167"/>
        <v>-7.0933791369903435E-9</v>
      </c>
      <c r="N1201" s="5">
        <f t="shared" si="168"/>
        <v>2.8162015419234952E-7</v>
      </c>
      <c r="O1201" s="5">
        <f t="shared" si="169"/>
        <v>1.1598442364041885E-6</v>
      </c>
      <c r="P1201" s="5">
        <f t="shared" si="170"/>
        <v>3.5853560940346333E-7</v>
      </c>
      <c r="Q1201" s="1">
        <f t="shared" si="166"/>
        <v>1.8000000000000014E-6</v>
      </c>
    </row>
    <row r="1202" spans="1:17" x14ac:dyDescent="0.25">
      <c r="A1202" s="1">
        <v>60</v>
      </c>
      <c r="B1202" s="1">
        <v>8.6561999999999993E-3</v>
      </c>
      <c r="C1202" s="1">
        <v>1.2593999999999999E-3</v>
      </c>
      <c r="D1202" s="1">
        <v>3.0061000000000001E-2</v>
      </c>
      <c r="E1202" s="1">
        <v>8.0874999999999992E-3</v>
      </c>
      <c r="F1202" s="1">
        <v>7.1065000000000003E-7</v>
      </c>
      <c r="G1202" s="1">
        <v>6.7344999999999997</v>
      </c>
      <c r="H1202" s="1">
        <v>1.8832999999999999E-7</v>
      </c>
      <c r="I1202" s="1">
        <f t="shared" si="162"/>
        <v>1.8832999999999999E-7</v>
      </c>
      <c r="J1202" s="4">
        <f t="shared" si="163"/>
        <v>-1.4325933684248055E-8</v>
      </c>
      <c r="K1202" s="4">
        <f t="shared" si="164"/>
        <v>-2.2616962609880389E-8</v>
      </c>
      <c r="L1202" s="4">
        <f t="shared" si="165"/>
        <v>-6.7597425160049477E-9</v>
      </c>
      <c r="M1202" s="4">
        <f t="shared" si="167"/>
        <v>-7.0884103389302981E-9</v>
      </c>
      <c r="N1202" s="5">
        <f t="shared" si="168"/>
        <v>2.8315144060197687E-7</v>
      </c>
      <c r="O1202" s="5">
        <f t="shared" si="169"/>
        <v>1.1586416178174864E-6</v>
      </c>
      <c r="P1202" s="5">
        <f t="shared" si="170"/>
        <v>3.5820694158053801E-7</v>
      </c>
      <c r="Q1202" s="1">
        <f t="shared" si="166"/>
        <v>1.8000000000000014E-6</v>
      </c>
    </row>
    <row r="1203" spans="1:17" x14ac:dyDescent="0.25">
      <c r="A1203" s="1">
        <v>60.05</v>
      </c>
      <c r="B1203" s="1">
        <v>8.6399000000000007E-3</v>
      </c>
      <c r="C1203" s="1">
        <v>1.2545E-3</v>
      </c>
      <c r="D1203" s="1">
        <v>3.0072000000000002E-2</v>
      </c>
      <c r="E1203" s="1">
        <v>8.0655999999999992E-3</v>
      </c>
      <c r="F1203" s="1">
        <v>7.0808000000000002E-7</v>
      </c>
      <c r="G1203" s="1">
        <v>6.7343999999999999</v>
      </c>
      <c r="H1203" s="1">
        <v>1.8837000000000001E-7</v>
      </c>
      <c r="I1203" s="1">
        <f t="shared" si="162"/>
        <v>1.8837000000000001E-7</v>
      </c>
      <c r="J1203" s="4">
        <f t="shared" si="163"/>
        <v>-1.4299810961860768E-8</v>
      </c>
      <c r="K1203" s="4">
        <f t="shared" si="164"/>
        <v>-2.25935115474397E-8</v>
      </c>
      <c r="L1203" s="4">
        <f t="shared" si="165"/>
        <v>-6.7536247490227704E-9</v>
      </c>
      <c r="M1203" s="4">
        <f t="shared" si="167"/>
        <v>-7.0834168973251826E-9</v>
      </c>
      <c r="N1203" s="5">
        <f t="shared" si="168"/>
        <v>2.8469151643853303E-7</v>
      </c>
      <c r="O1203" s="5">
        <f t="shared" si="169"/>
        <v>1.1574313341292325E-6</v>
      </c>
      <c r="P1203" s="5">
        <f t="shared" si="170"/>
        <v>3.5787714943223557E-7</v>
      </c>
      <c r="Q1203" s="1">
        <f t="shared" si="166"/>
        <v>1.8000000000000012E-6</v>
      </c>
    </row>
    <row r="1204" spans="1:17" x14ac:dyDescent="0.25">
      <c r="A1204" s="1">
        <v>60.1</v>
      </c>
      <c r="B1204" s="1">
        <v>8.6236000000000004E-3</v>
      </c>
      <c r="C1204" s="1">
        <v>1.2497000000000001E-3</v>
      </c>
      <c r="D1204" s="1">
        <v>3.0082999999999999E-2</v>
      </c>
      <c r="E1204" s="1">
        <v>8.0437000000000008E-3</v>
      </c>
      <c r="F1204" s="1">
        <v>7.0551000000000002E-7</v>
      </c>
      <c r="G1204" s="1">
        <v>6.7343000000000002</v>
      </c>
      <c r="H1204" s="1">
        <v>1.8839999999999999E-7</v>
      </c>
      <c r="I1204" s="1">
        <f t="shared" si="162"/>
        <v>1.8839999999999999E-7</v>
      </c>
      <c r="J1204" s="4">
        <f t="shared" si="163"/>
        <v>-1.4273785997306485E-8</v>
      </c>
      <c r="K1204" s="4">
        <f t="shared" si="164"/>
        <v>-2.2569911015521959E-8</v>
      </c>
      <c r="L1204" s="4">
        <f t="shared" si="165"/>
        <v>-6.7474803780714321E-9</v>
      </c>
      <c r="M1204" s="4">
        <f t="shared" si="167"/>
        <v>-7.0783984570483756E-9</v>
      </c>
      <c r="N1204" s="5">
        <f t="shared" si="168"/>
        <v>2.8624016107867703E-7</v>
      </c>
      <c r="O1204" s="5">
        <f t="shared" si="169"/>
        <v>1.1562136075680654E-6</v>
      </c>
      <c r="P1204" s="5">
        <f t="shared" si="170"/>
        <v>3.5754623135325865E-7</v>
      </c>
      <c r="Q1204" s="1">
        <f t="shared" si="166"/>
        <v>1.800000000000001E-6</v>
      </c>
    </row>
    <row r="1205" spans="1:17" x14ac:dyDescent="0.25">
      <c r="A1205" s="1">
        <v>60.15</v>
      </c>
      <c r="B1205" s="1">
        <v>8.6073E-3</v>
      </c>
      <c r="C1205" s="1">
        <v>1.2449E-3</v>
      </c>
      <c r="D1205" s="1">
        <v>3.0093000000000002E-2</v>
      </c>
      <c r="E1205" s="1">
        <v>8.0219999999999996E-3</v>
      </c>
      <c r="F1205" s="1">
        <v>7.0294999999999998E-7</v>
      </c>
      <c r="G1205" s="1">
        <v>6.7342000000000004</v>
      </c>
      <c r="H1205" s="1">
        <v>1.8844000000000001E-7</v>
      </c>
      <c r="I1205" s="1">
        <f t="shared" si="162"/>
        <v>1.8844000000000001E-7</v>
      </c>
      <c r="J1205" s="4">
        <f t="shared" si="163"/>
        <v>-1.4247442581101892E-8</v>
      </c>
      <c r="K1205" s="4">
        <f t="shared" si="164"/>
        <v>-2.2546165347575995E-8</v>
      </c>
      <c r="L1205" s="4">
        <f t="shared" si="165"/>
        <v>-6.7412076177783255E-9</v>
      </c>
      <c r="M1205" s="4">
        <f t="shared" si="167"/>
        <v>-7.0729795486297604E-9</v>
      </c>
      <c r="N1205" s="5">
        <f t="shared" si="168"/>
        <v>2.8779767622737282E-7</v>
      </c>
      <c r="O1205" s="5">
        <f t="shared" si="169"/>
        <v>1.154987864350221E-6</v>
      </c>
      <c r="P1205" s="5">
        <f t="shared" si="170"/>
        <v>3.5721445942240721E-7</v>
      </c>
      <c r="Q1205" s="1">
        <f t="shared" si="166"/>
        <v>1.8000000000000012E-6</v>
      </c>
    </row>
    <row r="1206" spans="1:17" x14ac:dyDescent="0.25">
      <c r="A1206" s="1">
        <v>60.2</v>
      </c>
      <c r="B1206" s="1">
        <v>8.5911000000000008E-3</v>
      </c>
      <c r="C1206" s="1">
        <v>1.2401000000000001E-3</v>
      </c>
      <c r="D1206" s="1">
        <v>3.0103999999999999E-2</v>
      </c>
      <c r="E1206" s="1">
        <v>8.0002000000000007E-3</v>
      </c>
      <c r="F1206" s="1">
        <v>7.0039000000000004E-7</v>
      </c>
      <c r="G1206" s="1">
        <v>6.7340999999999998</v>
      </c>
      <c r="H1206" s="1">
        <v>1.8848E-7</v>
      </c>
      <c r="I1206" s="1">
        <f t="shared" si="162"/>
        <v>1.8848E-7</v>
      </c>
      <c r="J1206" s="4">
        <f t="shared" si="163"/>
        <v>-1.4221197031352121E-8</v>
      </c>
      <c r="K1206" s="4">
        <f t="shared" si="164"/>
        <v>-2.252226335483123E-8</v>
      </c>
      <c r="L1206" s="4">
        <f t="shared" si="165"/>
        <v>-6.7350755634092451E-9</v>
      </c>
      <c r="M1206" s="4">
        <f t="shared" si="167"/>
        <v>-7.067916737024236E-9</v>
      </c>
      <c r="N1206" s="5">
        <f t="shared" si="168"/>
        <v>2.8936366698744269E-7</v>
      </c>
      <c r="O1206" s="5">
        <f t="shared" si="169"/>
        <v>1.1537547147637663E-6</v>
      </c>
      <c r="P1206" s="5">
        <f t="shared" si="170"/>
        <v>3.5688161824879221E-7</v>
      </c>
      <c r="Q1206" s="1">
        <f t="shared" si="166"/>
        <v>1.8000000000000012E-6</v>
      </c>
    </row>
    <row r="1207" spans="1:17" x14ac:dyDescent="0.25">
      <c r="A1207" s="1">
        <v>60.25</v>
      </c>
      <c r="B1207" s="1">
        <v>8.5748999999999999E-3</v>
      </c>
      <c r="C1207" s="1">
        <v>1.2352999999999999E-3</v>
      </c>
      <c r="D1207" s="1">
        <v>3.0113999999999998E-2</v>
      </c>
      <c r="E1207" s="1">
        <v>7.9786000000000006E-3</v>
      </c>
      <c r="F1207" s="1">
        <v>6.9783999999999995E-7</v>
      </c>
      <c r="G1207" s="1">
        <v>6.734</v>
      </c>
      <c r="H1207" s="1">
        <v>1.8852E-7</v>
      </c>
      <c r="I1207" s="1">
        <f t="shared" si="162"/>
        <v>1.8852E-7</v>
      </c>
      <c r="J1207" s="4">
        <f t="shared" si="163"/>
        <v>-1.4194623339822777E-8</v>
      </c>
      <c r="K1207" s="4">
        <f t="shared" si="164"/>
        <v>-2.2498216937892166E-8</v>
      </c>
      <c r="L1207" s="4">
        <f t="shared" si="165"/>
        <v>-6.7287265155054782E-9</v>
      </c>
      <c r="M1207" s="4">
        <f t="shared" si="167"/>
        <v>-7.0628299777904955E-9</v>
      </c>
      <c r="N1207" s="5">
        <f t="shared" si="168"/>
        <v>2.909385340700066E-7</v>
      </c>
      <c r="O1207" s="5">
        <f t="shared" si="169"/>
        <v>1.1525139511434875E-6</v>
      </c>
      <c r="P1207" s="5">
        <f t="shared" si="170"/>
        <v>3.5654751478650718E-7</v>
      </c>
      <c r="Q1207" s="1">
        <f t="shared" si="166"/>
        <v>1.8000000000000012E-6</v>
      </c>
    </row>
    <row r="1208" spans="1:17" x14ac:dyDescent="0.25">
      <c r="A1208" s="1">
        <v>60.3</v>
      </c>
      <c r="B1208" s="1">
        <v>8.5588000000000001E-3</v>
      </c>
      <c r="C1208" s="1">
        <v>1.2306000000000001E-3</v>
      </c>
      <c r="D1208" s="1">
        <v>3.0124999999999999E-2</v>
      </c>
      <c r="E1208" s="1">
        <v>7.9570000000000005E-3</v>
      </c>
      <c r="F1208" s="1">
        <v>6.9528999999999997E-7</v>
      </c>
      <c r="G1208" s="1">
        <v>6.7339000000000002</v>
      </c>
      <c r="H1208" s="1">
        <v>1.8855999999999999E-7</v>
      </c>
      <c r="I1208" s="1">
        <f t="shared" si="162"/>
        <v>1.8855999999999999E-7</v>
      </c>
      <c r="J1208" s="4">
        <f t="shared" si="163"/>
        <v>-1.4168144097009202E-8</v>
      </c>
      <c r="K1208" s="4">
        <f t="shared" si="164"/>
        <v>-2.2474022047296729E-8</v>
      </c>
      <c r="L1208" s="4">
        <f t="shared" si="165"/>
        <v>-6.7225167824064282E-9</v>
      </c>
      <c r="M1208" s="4">
        <f t="shared" si="167"/>
        <v>-7.0577154361925942E-9</v>
      </c>
      <c r="N1208" s="5">
        <f t="shared" si="168"/>
        <v>2.9252189523788769E-7</v>
      </c>
      <c r="O1208" s="5">
        <f t="shared" si="169"/>
        <v>1.1512657886293926E-6</v>
      </c>
      <c r="P1208" s="5">
        <f t="shared" si="170"/>
        <v>3.5621231613272103E-7</v>
      </c>
      <c r="Q1208" s="1">
        <f t="shared" si="166"/>
        <v>1.8000000000000014E-6</v>
      </c>
    </row>
    <row r="1209" spans="1:17" x14ac:dyDescent="0.25">
      <c r="A1209" s="1">
        <v>60.35</v>
      </c>
      <c r="B1209" s="1">
        <v>8.5427000000000003E-3</v>
      </c>
      <c r="C1209" s="1">
        <v>1.2258E-3</v>
      </c>
      <c r="D1209" s="1">
        <v>3.0134999999999999E-2</v>
      </c>
      <c r="E1209" s="1">
        <v>7.9354000000000004E-3</v>
      </c>
      <c r="F1209" s="1">
        <v>6.9274999999999995E-7</v>
      </c>
      <c r="G1209" s="1">
        <v>6.7337999999999996</v>
      </c>
      <c r="H1209" s="1">
        <v>1.8859E-7</v>
      </c>
      <c r="I1209" s="1">
        <f t="shared" si="162"/>
        <v>1.8859E-7</v>
      </c>
      <c r="J1209" s="4">
        <f t="shared" si="163"/>
        <v>-1.4141332862435453E-8</v>
      </c>
      <c r="K1209" s="4">
        <f t="shared" si="164"/>
        <v>-2.244968287827507E-8</v>
      </c>
      <c r="L1209" s="4">
        <f t="shared" si="165"/>
        <v>-6.716172103489989E-9</v>
      </c>
      <c r="M1209" s="4">
        <f t="shared" si="167"/>
        <v>-7.0525764046491175E-9</v>
      </c>
      <c r="N1209" s="5">
        <f t="shared" si="168"/>
        <v>2.9411407315023732E-7</v>
      </c>
      <c r="O1209" s="5">
        <f t="shared" si="169"/>
        <v>1.1500100150182019E-6</v>
      </c>
      <c r="P1209" s="5">
        <f t="shared" si="170"/>
        <v>3.5587591183156191E-7</v>
      </c>
      <c r="Q1209" s="1">
        <f t="shared" si="166"/>
        <v>1.8000000000000012E-6</v>
      </c>
    </row>
    <row r="1210" spans="1:17" x14ac:dyDescent="0.25">
      <c r="A1210" s="1">
        <v>60.4</v>
      </c>
      <c r="B1210" s="1">
        <v>8.5266999999999999E-3</v>
      </c>
      <c r="C1210" s="1">
        <v>1.2210000000000001E-3</v>
      </c>
      <c r="D1210" s="1">
        <v>3.0145000000000002E-2</v>
      </c>
      <c r="E1210" s="1">
        <v>7.9138999999999998E-3</v>
      </c>
      <c r="F1210" s="1">
        <v>6.9021000000000004E-7</v>
      </c>
      <c r="G1210" s="1">
        <v>6.7336999999999998</v>
      </c>
      <c r="H1210" s="1">
        <v>1.8862999999999999E-7</v>
      </c>
      <c r="I1210" s="1">
        <f t="shared" si="162"/>
        <v>1.8862999999999999E-7</v>
      </c>
      <c r="J1210" s="4">
        <f t="shared" si="163"/>
        <v>-1.4114609737210332E-8</v>
      </c>
      <c r="K1210" s="4">
        <f t="shared" si="164"/>
        <v>-2.2425195292853664E-8</v>
      </c>
      <c r="L1210" s="4">
        <f t="shared" si="165"/>
        <v>-6.709795128847843E-9</v>
      </c>
      <c r="M1210" s="4">
        <f t="shared" si="167"/>
        <v>-7.0470370122925966E-9</v>
      </c>
      <c r="N1210" s="5">
        <f t="shared" si="168"/>
        <v>2.9571486357703283E-7</v>
      </c>
      <c r="O1210" s="5">
        <f t="shared" si="169"/>
        <v>1.1487464664748512E-6</v>
      </c>
      <c r="P1210" s="5">
        <f t="shared" si="170"/>
        <v>3.5553866994811713E-7</v>
      </c>
      <c r="Q1210" s="1">
        <f t="shared" si="166"/>
        <v>1.8000000000000014E-6</v>
      </c>
    </row>
    <row r="1211" spans="1:17" x14ac:dyDescent="0.25">
      <c r="A1211" s="1">
        <v>60.45</v>
      </c>
      <c r="B1211" s="1">
        <v>8.5106999999999995E-3</v>
      </c>
      <c r="C1211" s="1">
        <v>1.2163E-3</v>
      </c>
      <c r="D1211" s="1">
        <v>3.0155999999999999E-2</v>
      </c>
      <c r="E1211" s="1">
        <v>7.8924000000000008E-3</v>
      </c>
      <c r="F1211" s="1">
        <v>6.8767000000000002E-7</v>
      </c>
      <c r="G1211" s="1">
        <v>6.7336</v>
      </c>
      <c r="H1211" s="1">
        <v>1.8867000000000001E-7</v>
      </c>
      <c r="I1211" s="1">
        <f t="shared" si="162"/>
        <v>1.8867000000000001E-7</v>
      </c>
      <c r="J1211" s="4">
        <f t="shared" si="163"/>
        <v>-1.4087555775752748E-8</v>
      </c>
      <c r="K1211" s="4">
        <f t="shared" si="164"/>
        <v>-2.240055609626151E-8</v>
      </c>
      <c r="L1211" s="4">
        <f t="shared" si="165"/>
        <v>-6.7033679135767093E-9</v>
      </c>
      <c r="M1211" s="4">
        <f t="shared" si="167"/>
        <v>-7.0418522277934997E-9</v>
      </c>
      <c r="N1211" s="5">
        <f t="shared" si="168"/>
        <v>2.9732449598396489E-7</v>
      </c>
      <c r="O1211" s="5">
        <f t="shared" si="169"/>
        <v>1.1474753183821358E-6</v>
      </c>
      <c r="P1211" s="5">
        <f t="shared" si="170"/>
        <v>3.5520018563390033E-7</v>
      </c>
      <c r="Q1211" s="1">
        <f t="shared" si="166"/>
        <v>1.800000000000001E-6</v>
      </c>
    </row>
    <row r="1212" spans="1:17" x14ac:dyDescent="0.25">
      <c r="A1212" s="1">
        <v>60.5</v>
      </c>
      <c r="B1212" s="1">
        <v>8.4947000000000009E-3</v>
      </c>
      <c r="C1212" s="1">
        <v>1.2114999999999999E-3</v>
      </c>
      <c r="D1212" s="1">
        <v>3.0165999999999998E-2</v>
      </c>
      <c r="E1212" s="1">
        <v>7.8709999999999995E-3</v>
      </c>
      <c r="F1212" s="1">
        <v>6.8513999999999995E-7</v>
      </c>
      <c r="G1212" s="1">
        <v>6.7335000000000003</v>
      </c>
      <c r="H1212" s="1">
        <v>1.8871E-7</v>
      </c>
      <c r="I1212" s="1">
        <f t="shared" si="162"/>
        <v>1.8871E-7</v>
      </c>
      <c r="J1212" s="4">
        <f t="shared" si="163"/>
        <v>-1.406017894985271E-8</v>
      </c>
      <c r="K1212" s="4">
        <f t="shared" si="164"/>
        <v>-2.2375768708450377E-8</v>
      </c>
      <c r="L1212" s="4">
        <f t="shared" si="165"/>
        <v>-6.6968096445510619E-9</v>
      </c>
      <c r="M1212" s="4">
        <f t="shared" si="167"/>
        <v>-7.0366399974721375E-9</v>
      </c>
      <c r="N1212" s="5">
        <f t="shared" si="168"/>
        <v>2.9894327609801153E-7</v>
      </c>
      <c r="O1212" s="5">
        <f t="shared" si="169"/>
        <v>1.1461963686210103E-6</v>
      </c>
      <c r="P1212" s="5">
        <f t="shared" si="170"/>
        <v>3.5486035528097926E-7</v>
      </c>
      <c r="Q1212" s="1">
        <f t="shared" si="166"/>
        <v>1.8000000000000012E-6</v>
      </c>
    </row>
    <row r="1213" spans="1:17" x14ac:dyDescent="0.25">
      <c r="A1213" s="1">
        <v>60.55</v>
      </c>
      <c r="B1213" s="1">
        <v>8.4787999999999999E-3</v>
      </c>
      <c r="C1213" s="1">
        <v>1.2068000000000001E-3</v>
      </c>
      <c r="D1213" s="1">
        <v>3.0176000000000001E-2</v>
      </c>
      <c r="E1213" s="1">
        <v>7.8496999999999994E-3</v>
      </c>
      <c r="F1213" s="1">
        <v>6.8261999999999995E-7</v>
      </c>
      <c r="G1213" s="1">
        <v>6.7333999999999996</v>
      </c>
      <c r="H1213" s="1">
        <v>1.8874000000000001E-7</v>
      </c>
      <c r="I1213" s="1">
        <f t="shared" si="162"/>
        <v>1.8874000000000001E-7</v>
      </c>
      <c r="J1213" s="4">
        <f t="shared" si="163"/>
        <v>-1.4032900190672525E-8</v>
      </c>
      <c r="K1213" s="4">
        <f t="shared" si="164"/>
        <v>-2.2350829188108433E-8</v>
      </c>
      <c r="L1213" s="4">
        <f t="shared" si="165"/>
        <v>-6.6903081591098373E-9</v>
      </c>
      <c r="M1213" s="4">
        <f t="shared" si="167"/>
        <v>-7.0313982527323279E-9</v>
      </c>
      <c r="N1213" s="5">
        <f t="shared" si="168"/>
        <v>3.0057089693633761E-7</v>
      </c>
      <c r="O1213" s="5">
        <f t="shared" si="169"/>
        <v>1.1449098378763067E-6</v>
      </c>
      <c r="P1213" s="5">
        <f t="shared" si="170"/>
        <v>3.5451926518735676E-7</v>
      </c>
      <c r="Q1213" s="1">
        <f t="shared" si="166"/>
        <v>1.800000000000001E-6</v>
      </c>
    </row>
    <row r="1214" spans="1:17" x14ac:dyDescent="0.25">
      <c r="A1214" s="1">
        <v>60.6</v>
      </c>
      <c r="B1214" s="1">
        <v>8.4629000000000006E-3</v>
      </c>
      <c r="C1214" s="1">
        <v>1.2021E-3</v>
      </c>
      <c r="D1214" s="1">
        <v>3.0186999999999999E-2</v>
      </c>
      <c r="E1214" s="1">
        <v>7.8283999999999992E-3</v>
      </c>
      <c r="F1214" s="1">
        <v>6.8009999999999996E-7</v>
      </c>
      <c r="G1214" s="1">
        <v>6.7332999999999998</v>
      </c>
      <c r="H1214" s="1">
        <v>1.8878E-7</v>
      </c>
      <c r="I1214" s="1">
        <f t="shared" si="162"/>
        <v>1.8878E-7</v>
      </c>
      <c r="J1214" s="4">
        <f t="shared" si="163"/>
        <v>-1.4005704020220293E-8</v>
      </c>
      <c r="K1214" s="4">
        <f t="shared" si="164"/>
        <v>-2.2325741838589886E-8</v>
      </c>
      <c r="L1214" s="4">
        <f t="shared" si="165"/>
        <v>-6.6838561076033715E-9</v>
      </c>
      <c r="M1214" s="4">
        <f t="shared" si="167"/>
        <v>-7.0257564417040795E-9</v>
      </c>
      <c r="N1214" s="5">
        <f t="shared" si="168"/>
        <v>3.0220707864710384E-7</v>
      </c>
      <c r="O1214" s="5">
        <f t="shared" si="169"/>
        <v>1.1436155564996413E-6</v>
      </c>
      <c r="P1214" s="5">
        <f t="shared" si="170"/>
        <v>3.5417736485325608E-7</v>
      </c>
      <c r="Q1214" s="1">
        <f t="shared" si="166"/>
        <v>1.8000000000000012E-6</v>
      </c>
    </row>
    <row r="1215" spans="1:17" x14ac:dyDescent="0.25">
      <c r="A1215" s="1">
        <v>60.65</v>
      </c>
      <c r="B1215" s="1">
        <v>8.4469999999999996E-3</v>
      </c>
      <c r="C1215" s="1">
        <v>1.1973999999999999E-3</v>
      </c>
      <c r="D1215" s="1">
        <v>3.0197000000000002E-2</v>
      </c>
      <c r="E1215" s="1">
        <v>7.8071E-3</v>
      </c>
      <c r="F1215" s="1">
        <v>6.7757999999999996E-7</v>
      </c>
      <c r="G1215" s="1">
        <v>6.7332999999999998</v>
      </c>
      <c r="H1215" s="1">
        <v>1.8881999999999999E-7</v>
      </c>
      <c r="I1215" s="1">
        <f t="shared" si="162"/>
        <v>1.8881999999999999E-7</v>
      </c>
      <c r="J1215" s="4">
        <f t="shared" si="163"/>
        <v>-1.3978165635117964E-8</v>
      </c>
      <c r="K1215" s="4">
        <f t="shared" si="164"/>
        <v>-2.2300503351741737E-8</v>
      </c>
      <c r="L1215" s="4">
        <f t="shared" si="165"/>
        <v>-6.6772634643511771E-9</v>
      </c>
      <c r="M1215" s="4">
        <f t="shared" si="167"/>
        <v>-7.0204683083843578E-9</v>
      </c>
      <c r="N1215" s="5">
        <f t="shared" si="168"/>
        <v>3.0385215289937644E-7</v>
      </c>
      <c r="O1215" s="5">
        <f t="shared" si="169"/>
        <v>1.1423136870914019E-6</v>
      </c>
      <c r="P1215" s="5">
        <f t="shared" si="170"/>
        <v>3.5383416000922291E-7</v>
      </c>
      <c r="Q1215" s="1">
        <f t="shared" si="166"/>
        <v>1.8000000000000012E-6</v>
      </c>
    </row>
    <row r="1216" spans="1:17" x14ac:dyDescent="0.25">
      <c r="A1216" s="1">
        <v>60.7</v>
      </c>
      <c r="B1216" s="1">
        <v>8.4311999999999998E-3</v>
      </c>
      <c r="C1216" s="1">
        <v>1.1927000000000001E-3</v>
      </c>
      <c r="D1216" s="1">
        <v>3.0207000000000001E-2</v>
      </c>
      <c r="E1216" s="1">
        <v>7.7859000000000001E-3</v>
      </c>
      <c r="F1216" s="1">
        <v>6.7507000000000002E-7</v>
      </c>
      <c r="G1216" s="1">
        <v>6.7332000000000001</v>
      </c>
      <c r="H1216" s="1">
        <v>1.8886000000000001E-7</v>
      </c>
      <c r="I1216" s="1">
        <f t="shared" si="162"/>
        <v>1.8886000000000001E-7</v>
      </c>
      <c r="J1216" s="4">
        <f t="shared" si="163"/>
        <v>-1.3950297677480936E-8</v>
      </c>
      <c r="K1216" s="4">
        <f t="shared" si="164"/>
        <v>-2.2275116898284237E-8</v>
      </c>
      <c r="L1216" s="4">
        <f t="shared" si="165"/>
        <v>-6.6705360450592535E-9</v>
      </c>
      <c r="M1216" s="4">
        <f t="shared" si="167"/>
        <v>-7.0151514397594525E-9</v>
      </c>
      <c r="N1216" s="5">
        <f t="shared" si="168"/>
        <v>3.0550643607512047E-7</v>
      </c>
      <c r="O1216" s="5">
        <f t="shared" si="169"/>
        <v>1.141004019310358E-6</v>
      </c>
      <c r="P1216" s="5">
        <f t="shared" si="170"/>
        <v>3.5348954461452273E-7</v>
      </c>
      <c r="Q1216" s="1">
        <f t="shared" si="166"/>
        <v>1.8000000000000012E-6</v>
      </c>
    </row>
    <row r="1217" spans="1:17" x14ac:dyDescent="0.25">
      <c r="A1217" s="1">
        <v>60.75</v>
      </c>
      <c r="B1217" s="1">
        <v>8.4154999999999994E-3</v>
      </c>
      <c r="C1217" s="1">
        <v>1.188E-3</v>
      </c>
      <c r="D1217" s="1">
        <v>3.0217999999999998E-2</v>
      </c>
      <c r="E1217" s="1">
        <v>7.7647999999999997E-3</v>
      </c>
      <c r="F1217" s="1">
        <v>6.7255999999999998E-7</v>
      </c>
      <c r="G1217" s="1">
        <v>6.7331000000000003</v>
      </c>
      <c r="H1217" s="1">
        <v>1.8888999999999999E-7</v>
      </c>
      <c r="I1217" s="1">
        <f t="shared" si="162"/>
        <v>1.8888999999999999E-7</v>
      </c>
      <c r="J1217" s="4">
        <f t="shared" si="163"/>
        <v>-1.392252417919095E-8</v>
      </c>
      <c r="K1217" s="4">
        <f t="shared" si="164"/>
        <v>-2.2249578376550715E-8</v>
      </c>
      <c r="L1217" s="4">
        <f t="shared" si="165"/>
        <v>-6.6638634686486683E-9</v>
      </c>
      <c r="M1217" s="4">
        <f t="shared" si="167"/>
        <v>-7.0098037165689726E-9</v>
      </c>
      <c r="N1217" s="5">
        <f t="shared" si="168"/>
        <v>3.0716962680383155E-7</v>
      </c>
      <c r="O1217" s="5">
        <f t="shared" si="169"/>
        <v>1.1396867688295673E-6</v>
      </c>
      <c r="P1217" s="5">
        <f t="shared" si="170"/>
        <v>3.5314360436660242E-7</v>
      </c>
      <c r="Q1217" s="1">
        <f t="shared" si="166"/>
        <v>1.8000000000000014E-6</v>
      </c>
    </row>
    <row r="1218" spans="1:17" x14ac:dyDescent="0.25">
      <c r="A1218" s="1">
        <v>60.8</v>
      </c>
      <c r="B1218" s="1">
        <v>8.3998000000000007E-3</v>
      </c>
      <c r="C1218" s="1">
        <v>1.1834E-3</v>
      </c>
      <c r="D1218" s="1">
        <v>3.0228000000000001E-2</v>
      </c>
      <c r="E1218" s="1">
        <v>7.7437000000000001E-3</v>
      </c>
      <c r="F1218" s="1">
        <v>6.7006000000000001E-7</v>
      </c>
      <c r="G1218" s="1">
        <v>6.7329999999999997</v>
      </c>
      <c r="H1218" s="1">
        <v>1.8893000000000001E-7</v>
      </c>
      <c r="I1218" s="1">
        <f t="shared" si="162"/>
        <v>1.8893000000000001E-7</v>
      </c>
      <c r="J1218" s="4">
        <f t="shared" si="163"/>
        <v>-1.3894417322688615E-8</v>
      </c>
      <c r="K1218" s="4">
        <f t="shared" si="164"/>
        <v>-2.2223891992175301E-8</v>
      </c>
      <c r="L1218" s="4">
        <f t="shared" si="165"/>
        <v>-6.6571397682427169E-9</v>
      </c>
      <c r="M1218" s="4">
        <f t="shared" si="167"/>
        <v>-7.0040560200243931E-9</v>
      </c>
      <c r="N1218" s="5">
        <f t="shared" si="168"/>
        <v>3.0884196170507554E-7</v>
      </c>
      <c r="O1218" s="5">
        <f t="shared" si="169"/>
        <v>1.138361350180105E-6</v>
      </c>
      <c r="P1218" s="5">
        <f t="shared" si="170"/>
        <v>3.5279668811482075E-7</v>
      </c>
      <c r="Q1218" s="1">
        <f t="shared" si="166"/>
        <v>1.8000000000000012E-6</v>
      </c>
    </row>
    <row r="1219" spans="1:17" x14ac:dyDescent="0.25">
      <c r="A1219" s="1">
        <v>60.85</v>
      </c>
      <c r="B1219" s="1">
        <v>8.3841000000000002E-3</v>
      </c>
      <c r="C1219" s="1">
        <v>1.1787E-3</v>
      </c>
      <c r="D1219" s="1">
        <v>3.0238000000000001E-2</v>
      </c>
      <c r="E1219" s="1">
        <v>7.7226999999999999E-3</v>
      </c>
      <c r="F1219" s="1">
        <v>6.6756000000000003E-7</v>
      </c>
      <c r="G1219" s="1">
        <v>6.7328999999999999</v>
      </c>
      <c r="H1219" s="1">
        <v>1.8897E-7</v>
      </c>
      <c r="I1219" s="1">
        <f t="shared" ref="I1219:I1282" si="171">H1219</f>
        <v>1.8897E-7</v>
      </c>
      <c r="J1219" s="4">
        <f t="shared" ref="J1219:J1282" si="172">(-$T$4*F1218^2*N1218)*(A1219-A1218)</f>
        <v>-1.3866398861497237E-8</v>
      </c>
      <c r="K1219" s="4">
        <f t="shared" ref="K1219:K1282" si="173">-O1218*$T$7*(A1219-A1218)</f>
        <v>-2.2198046328513943E-8</v>
      </c>
      <c r="L1219" s="4">
        <f t="shared" ref="L1219:L1282" si="174">-$T$5*F1218*E1218*(A1219-A1218)*N1218</f>
        <v>-6.6503822998637595E-9</v>
      </c>
      <c r="M1219" s="4">
        <f t="shared" si="167"/>
        <v>-6.998657219981572E-9</v>
      </c>
      <c r="N1219" s="5">
        <f t="shared" si="168"/>
        <v>3.1052322687222848E-7</v>
      </c>
      <c r="O1219" s="5">
        <f t="shared" si="169"/>
        <v>1.1370283599330698E-6</v>
      </c>
      <c r="P1219" s="5">
        <f t="shared" si="170"/>
        <v>3.5244841319470299E-7</v>
      </c>
      <c r="Q1219" s="1">
        <f t="shared" ref="Q1219:Q1282" si="175">N1219+O1219+P1219</f>
        <v>1.8000000000000012E-6</v>
      </c>
    </row>
    <row r="1220" spans="1:17" x14ac:dyDescent="0.25">
      <c r="A1220" s="1">
        <v>60.9</v>
      </c>
      <c r="B1220" s="1">
        <v>8.3683999999999998E-3</v>
      </c>
      <c r="C1220" s="1">
        <v>1.1741E-3</v>
      </c>
      <c r="D1220" s="1">
        <v>3.0248000000000001E-2</v>
      </c>
      <c r="E1220" s="1">
        <v>7.7016999999999997E-3</v>
      </c>
      <c r="F1220" s="1">
        <v>6.6507000000000001E-7</v>
      </c>
      <c r="G1220" s="1">
        <v>6.7328000000000001</v>
      </c>
      <c r="H1220" s="1">
        <v>1.8900000000000001E-7</v>
      </c>
      <c r="I1220" s="1">
        <f t="shared" si="171"/>
        <v>1.8900000000000001E-7</v>
      </c>
      <c r="J1220" s="4">
        <f t="shared" si="172"/>
        <v>-1.3838043853143757E-8</v>
      </c>
      <c r="K1220" s="4">
        <f t="shared" si="173"/>
        <v>-2.2172053018693602E-8</v>
      </c>
      <c r="L1220" s="4">
        <f t="shared" si="174"/>
        <v>-6.6435721770087199E-9</v>
      </c>
      <c r="M1220" s="4">
        <f t="shared" ref="M1220:M1283" si="176">-P1219*$T$8*I1219*(A1220-A1219)</f>
        <v>-6.9932285473469201E-9</v>
      </c>
      <c r="N1220" s="5">
        <f t="shared" ref="N1220:N1283" si="177">N1219+J1220-K1220+L1220</f>
        <v>3.1221366386076961E-7</v>
      </c>
      <c r="O1220" s="5">
        <f t="shared" ref="O1220:O1283" si="178">-J1220+O1219+K1220-M1220</f>
        <v>1.1356875793148668E-6</v>
      </c>
      <c r="P1220" s="5">
        <f t="shared" ref="P1220:P1283" si="179">P1219-L1220+M1220</f>
        <v>3.5209875682436478E-7</v>
      </c>
      <c r="Q1220" s="1">
        <f t="shared" si="175"/>
        <v>1.8000000000000012E-6</v>
      </c>
    </row>
    <row r="1221" spans="1:17" x14ac:dyDescent="0.25">
      <c r="A1221" s="1">
        <v>60.95</v>
      </c>
      <c r="B1221" s="1">
        <v>8.3528000000000005E-3</v>
      </c>
      <c r="C1221" s="1">
        <v>1.1693999999999999E-3</v>
      </c>
      <c r="D1221" s="1">
        <v>3.0258E-2</v>
      </c>
      <c r="E1221" s="1">
        <v>7.6807999999999998E-3</v>
      </c>
      <c r="F1221" s="1">
        <v>6.6257999999999999E-7</v>
      </c>
      <c r="G1221" s="1">
        <v>6.7327000000000004</v>
      </c>
      <c r="H1221" s="1">
        <v>1.8904E-7</v>
      </c>
      <c r="I1221" s="1">
        <f t="shared" si="171"/>
        <v>1.8904E-7</v>
      </c>
      <c r="J1221" s="4">
        <f t="shared" si="172"/>
        <v>-1.3809775612279303E-8</v>
      </c>
      <c r="K1221" s="4">
        <f t="shared" si="173"/>
        <v>-2.2145907796641791E-8</v>
      </c>
      <c r="L1221" s="4">
        <f t="shared" si="174"/>
        <v>-6.6367270762074624E-9</v>
      </c>
      <c r="M1221" s="4">
        <f t="shared" si="176"/>
        <v>-6.9873998291801147E-9</v>
      </c>
      <c r="N1221" s="5">
        <f t="shared" si="177"/>
        <v>3.1391306896892464E-7</v>
      </c>
      <c r="O1221" s="5">
        <f t="shared" si="178"/>
        <v>1.1343388469596843E-6</v>
      </c>
      <c r="P1221" s="5">
        <f t="shared" si="179"/>
        <v>3.5174808407139211E-7</v>
      </c>
      <c r="Q1221" s="1">
        <f t="shared" si="175"/>
        <v>1.800000000000001E-6</v>
      </c>
    </row>
    <row r="1222" spans="1:17" x14ac:dyDescent="0.25">
      <c r="A1222" s="1">
        <v>61</v>
      </c>
      <c r="B1222" s="1">
        <v>8.3373000000000006E-3</v>
      </c>
      <c r="C1222" s="1">
        <v>1.1647999999999999E-3</v>
      </c>
      <c r="D1222" s="1">
        <v>3.0268E-2</v>
      </c>
      <c r="E1222" s="1">
        <v>7.6598999999999999E-3</v>
      </c>
      <c r="F1222" s="1">
        <v>6.6008999999999998E-7</v>
      </c>
      <c r="G1222" s="1">
        <v>6.7325999999999997</v>
      </c>
      <c r="H1222" s="1">
        <v>1.8908E-7</v>
      </c>
      <c r="I1222" s="1">
        <f t="shared" si="171"/>
        <v>1.8908E-7</v>
      </c>
      <c r="J1222" s="4">
        <f t="shared" si="172"/>
        <v>-1.3781168472148859E-8</v>
      </c>
      <c r="K1222" s="4">
        <f t="shared" si="173"/>
        <v>-2.2119607515712588E-8</v>
      </c>
      <c r="L1222" s="4">
        <f t="shared" si="174"/>
        <v>-6.6298281720495029E-9</v>
      </c>
      <c r="M1222" s="4">
        <f t="shared" si="176"/>
        <v>-6.981918070349479E-9</v>
      </c>
      <c r="N1222" s="5">
        <f t="shared" si="177"/>
        <v>3.1562167984043887E-7</v>
      </c>
      <c r="O1222" s="5">
        <f t="shared" si="178"/>
        <v>1.13298232598647E-6</v>
      </c>
      <c r="P1222" s="5">
        <f t="shared" si="179"/>
        <v>3.5139599417309215E-7</v>
      </c>
      <c r="Q1222" s="1">
        <f t="shared" si="175"/>
        <v>1.800000000000001E-6</v>
      </c>
    </row>
    <row r="1223" spans="1:17" x14ac:dyDescent="0.25">
      <c r="A1223" s="1">
        <v>61.05</v>
      </c>
      <c r="B1223" s="1">
        <v>8.3216999999999996E-3</v>
      </c>
      <c r="C1223" s="1">
        <v>1.1601999999999999E-3</v>
      </c>
      <c r="D1223" s="1">
        <v>3.0277999999999999E-2</v>
      </c>
      <c r="E1223" s="1">
        <v>7.6391000000000002E-3</v>
      </c>
      <c r="F1223" s="1">
        <v>6.5761000000000002E-7</v>
      </c>
      <c r="G1223" s="1">
        <v>6.7324999999999999</v>
      </c>
      <c r="H1223" s="1">
        <v>1.8911E-7</v>
      </c>
      <c r="I1223" s="1">
        <f t="shared" si="171"/>
        <v>1.8911E-7</v>
      </c>
      <c r="J1223" s="4">
        <f t="shared" si="172"/>
        <v>-1.3752230215058802E-8</v>
      </c>
      <c r="K1223" s="4">
        <f t="shared" si="173"/>
        <v>-2.2093155356734908E-8</v>
      </c>
      <c r="L1223" s="4">
        <f t="shared" si="174"/>
        <v>-6.6227929393107752E-9</v>
      </c>
      <c r="M1223" s="4">
        <f t="shared" si="176"/>
        <v>-6.9764052307156712E-9</v>
      </c>
      <c r="N1223" s="5">
        <f t="shared" si="177"/>
        <v>3.1733981204280419E-7</v>
      </c>
      <c r="O1223" s="5">
        <f t="shared" si="178"/>
        <v>1.1316178060755095E-6</v>
      </c>
      <c r="P1223" s="5">
        <f t="shared" si="179"/>
        <v>3.5104238188168724E-7</v>
      </c>
      <c r="Q1223" s="1">
        <f t="shared" si="175"/>
        <v>1.800000000000001E-6</v>
      </c>
    </row>
    <row r="1224" spans="1:17" x14ac:dyDescent="0.25">
      <c r="A1224" s="1">
        <v>61.1</v>
      </c>
      <c r="B1224" s="1">
        <v>8.3061999999999997E-3</v>
      </c>
      <c r="C1224" s="1">
        <v>1.1555999999999999E-3</v>
      </c>
      <c r="D1224" s="1">
        <v>3.0287999999999999E-2</v>
      </c>
      <c r="E1224" s="1">
        <v>7.6182999999999997E-3</v>
      </c>
      <c r="F1224" s="1">
        <v>6.5514000000000003E-7</v>
      </c>
      <c r="G1224" s="1">
        <v>6.7324000000000002</v>
      </c>
      <c r="H1224" s="1">
        <v>1.8915E-7</v>
      </c>
      <c r="I1224" s="1">
        <f t="shared" si="171"/>
        <v>1.8915E-7</v>
      </c>
      <c r="J1224" s="4">
        <f t="shared" si="172"/>
        <v>-1.3723389116356494E-8</v>
      </c>
      <c r="K1224" s="4">
        <f t="shared" si="173"/>
        <v>-2.2066547218474318E-8</v>
      </c>
      <c r="L1224" s="4">
        <f t="shared" si="174"/>
        <v>-6.615813604793867E-9</v>
      </c>
      <c r="M1224" s="4">
        <f t="shared" si="176"/>
        <v>-6.9704906079534125E-9</v>
      </c>
      <c r="N1224" s="5">
        <f t="shared" si="177"/>
        <v>3.1906715654012815E-7</v>
      </c>
      <c r="O1224" s="5">
        <f t="shared" si="178"/>
        <v>1.130245138581345E-6</v>
      </c>
      <c r="P1224" s="5">
        <f t="shared" si="179"/>
        <v>3.5068770487852771E-7</v>
      </c>
      <c r="Q1224" s="1">
        <f t="shared" si="175"/>
        <v>1.8000000000000008E-6</v>
      </c>
    </row>
    <row r="1225" spans="1:17" x14ac:dyDescent="0.25">
      <c r="A1225" s="1">
        <v>61.15</v>
      </c>
      <c r="B1225" s="1">
        <v>8.2907999999999992E-3</v>
      </c>
      <c r="C1225" s="1">
        <v>1.1509999999999999E-3</v>
      </c>
      <c r="D1225" s="1">
        <v>3.0297999999999999E-2</v>
      </c>
      <c r="E1225" s="1">
        <v>7.5976000000000004E-3</v>
      </c>
      <c r="F1225" s="1">
        <v>6.5267000000000003E-7</v>
      </c>
      <c r="G1225" s="1">
        <v>6.7323000000000004</v>
      </c>
      <c r="H1225" s="1">
        <v>1.8918E-7</v>
      </c>
      <c r="I1225" s="1">
        <f t="shared" si="171"/>
        <v>1.8918E-7</v>
      </c>
      <c r="J1225" s="4">
        <f t="shared" si="172"/>
        <v>-1.3694631000484643E-8</v>
      </c>
      <c r="K1225" s="4">
        <f t="shared" si="173"/>
        <v>-2.2039780202334976E-8</v>
      </c>
      <c r="L1225" s="4">
        <f t="shared" si="174"/>
        <v>-6.6087966008275697E-9</v>
      </c>
      <c r="M1225" s="4">
        <f t="shared" si="176"/>
        <v>-6.9649208346658228E-9</v>
      </c>
      <c r="N1225" s="5">
        <f t="shared" si="177"/>
        <v>3.2080350914115093E-7</v>
      </c>
      <c r="O1225" s="5">
        <f t="shared" si="178"/>
        <v>1.1288649102141603E-6</v>
      </c>
      <c r="P1225" s="5">
        <f t="shared" si="179"/>
        <v>3.5033158064468948E-7</v>
      </c>
      <c r="Q1225" s="1">
        <f t="shared" si="175"/>
        <v>1.8000000000000008E-6</v>
      </c>
    </row>
    <row r="1226" spans="1:17" x14ac:dyDescent="0.25">
      <c r="A1226" s="1">
        <v>61.2</v>
      </c>
      <c r="B1226" s="1">
        <v>8.2754000000000005E-3</v>
      </c>
      <c r="C1226" s="1">
        <v>1.1463999999999999E-3</v>
      </c>
      <c r="D1226" s="1">
        <v>3.0308000000000002E-2</v>
      </c>
      <c r="E1226" s="1">
        <v>7.5769000000000001E-3</v>
      </c>
      <c r="F1226" s="1">
        <v>6.5021E-7</v>
      </c>
      <c r="G1226" s="1">
        <v>6.7323000000000004</v>
      </c>
      <c r="H1226" s="1">
        <v>1.8922E-7</v>
      </c>
      <c r="I1226" s="1">
        <f t="shared" si="171"/>
        <v>1.8922E-7</v>
      </c>
      <c r="J1226" s="4">
        <f t="shared" si="172"/>
        <v>-1.3665527856851318E-8</v>
      </c>
      <c r="K1226" s="4">
        <f t="shared" si="173"/>
        <v>-2.2012865749178004E-8</v>
      </c>
      <c r="L1226" s="4">
        <f t="shared" si="174"/>
        <v>-6.6017227687443323E-9</v>
      </c>
      <c r="M1226" s="4">
        <f t="shared" si="176"/>
        <v>-6.958951484768641E-9</v>
      </c>
      <c r="N1226" s="5">
        <f t="shared" si="177"/>
        <v>3.225491242647333E-7</v>
      </c>
      <c r="O1226" s="5">
        <f t="shared" si="178"/>
        <v>1.1274765238066022E-6</v>
      </c>
      <c r="P1226" s="5">
        <f t="shared" si="179"/>
        <v>3.4997435192866518E-7</v>
      </c>
      <c r="Q1226" s="1">
        <f t="shared" si="175"/>
        <v>1.8000000000000008E-6</v>
      </c>
    </row>
    <row r="1227" spans="1:17" x14ac:dyDescent="0.25">
      <c r="A1227" s="1">
        <v>61.25</v>
      </c>
      <c r="B1227" s="1">
        <v>8.26E-3</v>
      </c>
      <c r="C1227" s="1">
        <v>1.1418000000000001E-3</v>
      </c>
      <c r="D1227" s="1">
        <v>3.0318000000000001E-2</v>
      </c>
      <c r="E1227" s="1">
        <v>7.5563000000000002E-3</v>
      </c>
      <c r="F1227" s="1">
        <v>6.4774999999999996E-7</v>
      </c>
      <c r="G1227" s="1">
        <v>6.7321999999999997</v>
      </c>
      <c r="H1227" s="1">
        <v>1.8925999999999999E-7</v>
      </c>
      <c r="I1227" s="1">
        <f t="shared" si="171"/>
        <v>1.8925999999999999E-7</v>
      </c>
      <c r="J1227" s="4">
        <f t="shared" si="172"/>
        <v>-1.3636507513718273E-8</v>
      </c>
      <c r="K1227" s="4">
        <f t="shared" si="173"/>
        <v>-2.1985792214227496E-8</v>
      </c>
      <c r="L1227" s="4">
        <f t="shared" si="174"/>
        <v>-6.5946107133060344E-9</v>
      </c>
      <c r="M1227" s="4">
        <f t="shared" si="176"/>
        <v>-6.9533254215535174E-9</v>
      </c>
      <c r="N1227" s="5">
        <f t="shared" si="177"/>
        <v>3.2430379825193648E-7</v>
      </c>
      <c r="O1227" s="5">
        <f t="shared" si="178"/>
        <v>1.1260805645276466E-6</v>
      </c>
      <c r="P1227" s="5">
        <f t="shared" si="179"/>
        <v>3.496156372204177E-7</v>
      </c>
      <c r="Q1227" s="1">
        <f t="shared" si="175"/>
        <v>1.8000000000000008E-6</v>
      </c>
    </row>
    <row r="1228" spans="1:17" x14ac:dyDescent="0.25">
      <c r="A1228" s="1">
        <v>61.3</v>
      </c>
      <c r="B1228" s="1">
        <v>8.2447000000000006E-3</v>
      </c>
      <c r="C1228" s="1">
        <v>1.1372999999999999E-3</v>
      </c>
      <c r="D1228" s="1">
        <v>3.0328000000000001E-2</v>
      </c>
      <c r="E1228" s="1">
        <v>7.5357999999999996E-3</v>
      </c>
      <c r="F1228" s="1">
        <v>6.4529000000000003E-7</v>
      </c>
      <c r="G1228" s="1">
        <v>6.7321</v>
      </c>
      <c r="H1228" s="1">
        <v>1.8929E-7</v>
      </c>
      <c r="I1228" s="1">
        <f t="shared" si="171"/>
        <v>1.8929E-7</v>
      </c>
      <c r="J1228" s="4">
        <f t="shared" si="172"/>
        <v>-1.3607140793952717E-8</v>
      </c>
      <c r="K1228" s="4">
        <f t="shared" si="173"/>
        <v>-2.1958571008287861E-8</v>
      </c>
      <c r="L1228" s="4">
        <f t="shared" si="174"/>
        <v>-6.5874411057133362E-9</v>
      </c>
      <c r="M1228" s="4">
        <f t="shared" si="176"/>
        <v>-6.947666827534912E-9</v>
      </c>
      <c r="N1228" s="5">
        <f t="shared" si="177"/>
        <v>3.2606778736055829E-7</v>
      </c>
      <c r="O1228" s="5">
        <f t="shared" si="178"/>
        <v>1.1246768011408464E-6</v>
      </c>
      <c r="P1228" s="5">
        <f t="shared" si="179"/>
        <v>3.4925541149859612E-7</v>
      </c>
      <c r="Q1228" s="1">
        <f t="shared" si="175"/>
        <v>1.8000000000000008E-6</v>
      </c>
    </row>
    <row r="1229" spans="1:17" x14ac:dyDescent="0.25">
      <c r="A1229" s="1">
        <v>61.35</v>
      </c>
      <c r="B1229" s="1">
        <v>8.2293999999999996E-3</v>
      </c>
      <c r="C1229" s="1">
        <v>1.1326999999999999E-3</v>
      </c>
      <c r="D1229" s="1">
        <v>3.0338E-2</v>
      </c>
      <c r="E1229" s="1">
        <v>7.5152999999999999E-3</v>
      </c>
      <c r="F1229" s="1">
        <v>6.4283999999999995E-7</v>
      </c>
      <c r="G1229" s="1">
        <v>6.7320000000000002</v>
      </c>
      <c r="H1229" s="1">
        <v>1.8932999999999999E-7</v>
      </c>
      <c r="I1229" s="1">
        <f t="shared" si="171"/>
        <v>1.8932999999999999E-7</v>
      </c>
      <c r="J1229" s="4">
        <f t="shared" si="172"/>
        <v>-1.3577436061824035E-8</v>
      </c>
      <c r="K1229" s="4">
        <f t="shared" si="173"/>
        <v>-2.1931197622248376E-8</v>
      </c>
      <c r="L1229" s="4">
        <f t="shared" si="174"/>
        <v>-6.5802181515284338E-9</v>
      </c>
      <c r="M1229" s="4">
        <f t="shared" si="176"/>
        <v>-6.9416084684703644E-9</v>
      </c>
      <c r="N1229" s="5">
        <f t="shared" si="177"/>
        <v>3.2784133076945422E-7</v>
      </c>
      <c r="O1229" s="5">
        <f t="shared" si="178"/>
        <v>1.1232646480488924E-6</v>
      </c>
      <c r="P1229" s="5">
        <f t="shared" si="179"/>
        <v>3.4889402118165418E-7</v>
      </c>
      <c r="Q1229" s="1">
        <f t="shared" si="175"/>
        <v>1.800000000000001E-6</v>
      </c>
    </row>
    <row r="1230" spans="1:17" x14ac:dyDescent="0.25">
      <c r="A1230" s="1">
        <v>61.4</v>
      </c>
      <c r="B1230" s="1">
        <v>8.2141999999999996E-3</v>
      </c>
      <c r="C1230" s="1">
        <v>1.1282E-3</v>
      </c>
      <c r="D1230" s="1">
        <v>3.0348E-2</v>
      </c>
      <c r="E1230" s="1">
        <v>7.4948000000000002E-3</v>
      </c>
      <c r="F1230" s="1">
        <v>6.4038999999999998E-7</v>
      </c>
      <c r="G1230" s="1">
        <v>6.7319000000000004</v>
      </c>
      <c r="H1230" s="1">
        <v>1.8936E-7</v>
      </c>
      <c r="I1230" s="1">
        <f t="shared" si="171"/>
        <v>1.8936E-7</v>
      </c>
      <c r="J1230" s="4">
        <f t="shared" si="172"/>
        <v>-1.3547822212581129E-8</v>
      </c>
      <c r="K1230" s="4">
        <f t="shared" si="173"/>
        <v>-2.190366063695216E-8</v>
      </c>
      <c r="L1230" s="4">
        <f t="shared" si="174"/>
        <v>-6.5729603842009753E-9</v>
      </c>
      <c r="M1230" s="4">
        <f t="shared" si="176"/>
        <v>-6.935891028183477E-9</v>
      </c>
      <c r="N1230" s="5">
        <f t="shared" si="177"/>
        <v>3.2962420880962424E-7</v>
      </c>
      <c r="O1230" s="5">
        <f t="shared" si="178"/>
        <v>1.1218447006527049E-6</v>
      </c>
      <c r="P1230" s="5">
        <f t="shared" si="179"/>
        <v>3.4853109053767168E-7</v>
      </c>
      <c r="Q1230" s="1">
        <f t="shared" si="175"/>
        <v>1.800000000000001E-6</v>
      </c>
    </row>
    <row r="1231" spans="1:17" x14ac:dyDescent="0.25">
      <c r="A1231" s="1">
        <v>61.45</v>
      </c>
      <c r="B1231" s="1">
        <v>8.1989999999999997E-3</v>
      </c>
      <c r="C1231" s="1">
        <v>1.1237E-3</v>
      </c>
      <c r="D1231" s="1">
        <v>3.0358E-2</v>
      </c>
      <c r="E1231" s="1">
        <v>7.4744E-3</v>
      </c>
      <c r="F1231" s="1">
        <v>6.3794999999999997E-7</v>
      </c>
      <c r="G1231" s="1">
        <v>6.7317999999999998</v>
      </c>
      <c r="H1231" s="1">
        <v>1.8939999999999999E-7</v>
      </c>
      <c r="I1231" s="1">
        <f t="shared" si="171"/>
        <v>1.8939999999999999E-7</v>
      </c>
      <c r="J1231" s="4">
        <f t="shared" si="172"/>
        <v>-1.3517867446931352E-8</v>
      </c>
      <c r="K1231" s="4">
        <f t="shared" si="173"/>
        <v>-2.187597166272961E-8</v>
      </c>
      <c r="L1231" s="4">
        <f t="shared" si="174"/>
        <v>-6.5655601852969848E-9</v>
      </c>
      <c r="M1231" s="4">
        <f t="shared" si="176"/>
        <v>-6.9297739669430087E-9</v>
      </c>
      <c r="N1231" s="5">
        <f t="shared" si="177"/>
        <v>3.3141675284012551E-7</v>
      </c>
      <c r="O1231" s="5">
        <f t="shared" si="178"/>
        <v>1.1204163704038496E-6</v>
      </c>
      <c r="P1231" s="5">
        <f t="shared" si="179"/>
        <v>3.4816687675602569E-7</v>
      </c>
      <c r="Q1231" s="1">
        <f t="shared" si="175"/>
        <v>1.8000000000000008E-6</v>
      </c>
    </row>
    <row r="1232" spans="1:17" x14ac:dyDescent="0.25">
      <c r="A1232" s="1">
        <v>61.5</v>
      </c>
      <c r="B1232" s="1">
        <v>8.1837999999999998E-3</v>
      </c>
      <c r="C1232" s="1">
        <v>1.1191E-3</v>
      </c>
      <c r="D1232" s="1">
        <v>3.0367999999999999E-2</v>
      </c>
      <c r="E1232" s="1">
        <v>7.4541E-3</v>
      </c>
      <c r="F1232" s="1">
        <v>6.3552000000000002E-7</v>
      </c>
      <c r="G1232" s="1">
        <v>6.7317</v>
      </c>
      <c r="H1232" s="1">
        <v>1.8944000000000001E-7</v>
      </c>
      <c r="I1232" s="1">
        <f t="shared" si="171"/>
        <v>1.8944000000000001E-7</v>
      </c>
      <c r="J1232" s="4">
        <f t="shared" si="172"/>
        <v>-1.3488005718275904E-8</v>
      </c>
      <c r="K1232" s="4">
        <f t="shared" si="173"/>
        <v>-2.1848119222873827E-8</v>
      </c>
      <c r="L1232" s="4">
        <f t="shared" si="174"/>
        <v>-6.5582132181805456E-9</v>
      </c>
      <c r="M1232" s="4">
        <f t="shared" si="176"/>
        <v>-6.923994678046689E-9</v>
      </c>
      <c r="N1232" s="5">
        <f t="shared" si="177"/>
        <v>3.3321865312654286E-7</v>
      </c>
      <c r="O1232" s="5">
        <f t="shared" si="178"/>
        <v>1.1189802515772983E-6</v>
      </c>
      <c r="P1232" s="5">
        <f t="shared" si="179"/>
        <v>3.4780109529615954E-7</v>
      </c>
      <c r="Q1232" s="1">
        <f t="shared" si="175"/>
        <v>1.8000000000000008E-6</v>
      </c>
    </row>
    <row r="1233" spans="1:17" x14ac:dyDescent="0.25">
      <c r="A1233" s="1">
        <v>61.55</v>
      </c>
      <c r="B1233" s="1">
        <v>8.1685999999999998E-3</v>
      </c>
      <c r="C1233" s="1">
        <v>1.1146000000000001E-3</v>
      </c>
      <c r="D1233" s="1">
        <v>3.0377999999999999E-2</v>
      </c>
      <c r="E1233" s="1">
        <v>7.4338E-3</v>
      </c>
      <c r="F1233" s="1">
        <v>6.3308999999999996E-7</v>
      </c>
      <c r="G1233" s="1">
        <v>6.7316000000000003</v>
      </c>
      <c r="H1233" s="1">
        <v>1.8946999999999999E-7</v>
      </c>
      <c r="I1233" s="1">
        <f t="shared" si="171"/>
        <v>1.8946999999999999E-7</v>
      </c>
      <c r="J1233" s="4">
        <f t="shared" si="172"/>
        <v>-1.3458223910779117E-8</v>
      </c>
      <c r="K1233" s="4">
        <f t="shared" si="173"/>
        <v>-2.1820114905756077E-8</v>
      </c>
      <c r="L1233" s="4">
        <f t="shared" si="174"/>
        <v>-6.5509131017333088E-9</v>
      </c>
      <c r="M1233" s="4">
        <f t="shared" si="176"/>
        <v>-6.9181811467545752E-9</v>
      </c>
      <c r="N1233" s="5">
        <f t="shared" si="177"/>
        <v>3.3502963101978647E-7</v>
      </c>
      <c r="O1233" s="5">
        <f t="shared" si="178"/>
        <v>1.1175365417290758E-6</v>
      </c>
      <c r="P1233" s="5">
        <f t="shared" si="179"/>
        <v>3.4743382725113827E-7</v>
      </c>
      <c r="Q1233" s="1">
        <f t="shared" si="175"/>
        <v>1.8000000000000006E-6</v>
      </c>
    </row>
    <row r="1234" spans="1:17" x14ac:dyDescent="0.25">
      <c r="A1234" s="1">
        <v>61.6</v>
      </c>
      <c r="B1234" s="1">
        <v>8.1536000000000004E-3</v>
      </c>
      <c r="C1234" s="1">
        <v>1.1100999999999999E-3</v>
      </c>
      <c r="D1234" s="1">
        <v>3.0387999999999998E-2</v>
      </c>
      <c r="E1234" s="1">
        <v>7.4135E-3</v>
      </c>
      <c r="F1234" s="1">
        <v>6.3066000000000001E-7</v>
      </c>
      <c r="G1234" s="1">
        <v>6.7314999999999996</v>
      </c>
      <c r="H1234" s="1">
        <v>1.8951000000000001E-7</v>
      </c>
      <c r="I1234" s="1">
        <f t="shared" si="171"/>
        <v>1.8951000000000001E-7</v>
      </c>
      <c r="J1234" s="4">
        <f t="shared" si="172"/>
        <v>-1.3428086381359707E-8</v>
      </c>
      <c r="K1234" s="4">
        <f t="shared" si="173"/>
        <v>-2.1791962563718838E-8</v>
      </c>
      <c r="L1234" s="4">
        <f t="shared" si="174"/>
        <v>-6.543462863862483E-9</v>
      </c>
      <c r="M1234" s="4">
        <f t="shared" si="176"/>
        <v>-6.9119701611742726E-9</v>
      </c>
      <c r="N1234" s="5">
        <f t="shared" si="177"/>
        <v>3.368500443382831E-7</v>
      </c>
      <c r="O1234" s="5">
        <f t="shared" si="178"/>
        <v>1.1160846357078907E-6</v>
      </c>
      <c r="P1234" s="5">
        <f t="shared" si="179"/>
        <v>3.470653199538265E-7</v>
      </c>
      <c r="Q1234" s="1">
        <f t="shared" si="175"/>
        <v>1.8000000000000003E-6</v>
      </c>
    </row>
    <row r="1235" spans="1:17" x14ac:dyDescent="0.25">
      <c r="A1235" s="1">
        <v>61.65</v>
      </c>
      <c r="B1235" s="1">
        <v>8.1384999999999999E-3</v>
      </c>
      <c r="C1235" s="1">
        <v>1.1056E-3</v>
      </c>
      <c r="D1235" s="1">
        <v>3.0397E-2</v>
      </c>
      <c r="E1235" s="1">
        <v>7.3933000000000002E-3</v>
      </c>
      <c r="F1235" s="1">
        <v>6.2824000000000002E-7</v>
      </c>
      <c r="G1235" s="1">
        <v>6.7314999999999996</v>
      </c>
      <c r="H1235" s="1">
        <v>1.8953999999999999E-7</v>
      </c>
      <c r="I1235" s="1">
        <f t="shared" si="171"/>
        <v>1.8953999999999999E-7</v>
      </c>
      <c r="J1235" s="4">
        <f t="shared" si="172"/>
        <v>-1.3397605382660799E-8</v>
      </c>
      <c r="K1235" s="4">
        <f t="shared" si="173"/>
        <v>-2.1763650396302632E-8</v>
      </c>
      <c r="L1235" s="4">
        <f t="shared" si="174"/>
        <v>-6.5358681721224855E-9</v>
      </c>
      <c r="M1235" s="4">
        <f t="shared" si="176"/>
        <v>-6.9060966223668224E-9</v>
      </c>
      <c r="N1235" s="5">
        <f t="shared" si="177"/>
        <v>3.3868022117980246E-7</v>
      </c>
      <c r="O1235" s="5">
        <f t="shared" si="178"/>
        <v>1.1146246873166156E-6</v>
      </c>
      <c r="P1235" s="5">
        <f t="shared" si="179"/>
        <v>3.4669509150358219E-7</v>
      </c>
      <c r="Q1235" s="1">
        <f t="shared" si="175"/>
        <v>1.8000000000000001E-6</v>
      </c>
    </row>
    <row r="1236" spans="1:17" x14ac:dyDescent="0.25">
      <c r="A1236" s="1">
        <v>61.7</v>
      </c>
      <c r="B1236" s="1">
        <v>8.1235000000000005E-3</v>
      </c>
      <c r="C1236" s="1">
        <v>1.1012000000000001E-3</v>
      </c>
      <c r="D1236" s="1">
        <v>3.0407E-2</v>
      </c>
      <c r="E1236" s="1">
        <v>7.3731999999999999E-3</v>
      </c>
      <c r="F1236" s="1">
        <v>6.2582999999999999E-7</v>
      </c>
      <c r="G1236" s="1">
        <v>6.7313999999999998</v>
      </c>
      <c r="H1236" s="1">
        <v>1.8958000000000001E-7</v>
      </c>
      <c r="I1236" s="1">
        <f t="shared" si="171"/>
        <v>1.8958000000000001E-7</v>
      </c>
      <c r="J1236" s="4">
        <f t="shared" si="172"/>
        <v>-1.336721716236398E-8</v>
      </c>
      <c r="K1236" s="4">
        <f t="shared" si="173"/>
        <v>-2.1735181402675857E-8</v>
      </c>
      <c r="L1236" s="4">
        <f t="shared" si="174"/>
        <v>-6.5283261744396777E-9</v>
      </c>
      <c r="M1236" s="4">
        <f t="shared" si="176"/>
        <v>-6.8998217025774303E-9</v>
      </c>
      <c r="N1236" s="5">
        <f t="shared" si="177"/>
        <v>3.4051985924567465E-7</v>
      </c>
      <c r="O1236" s="5">
        <f t="shared" si="178"/>
        <v>1.1131565447788812E-6</v>
      </c>
      <c r="P1236" s="5">
        <f t="shared" si="179"/>
        <v>3.4632359597544442E-7</v>
      </c>
      <c r="Q1236" s="1">
        <f t="shared" si="175"/>
        <v>1.8000000000000001E-6</v>
      </c>
    </row>
    <row r="1237" spans="1:17" x14ac:dyDescent="0.25">
      <c r="A1237" s="1">
        <v>61.75</v>
      </c>
      <c r="B1237" s="1">
        <v>8.1084999999999994E-3</v>
      </c>
      <c r="C1237" s="1">
        <v>1.0966999999999999E-3</v>
      </c>
      <c r="D1237" s="1">
        <v>3.0417E-2</v>
      </c>
      <c r="E1237" s="1">
        <v>7.3530999999999996E-3</v>
      </c>
      <c r="F1237" s="1">
        <v>6.2341E-7</v>
      </c>
      <c r="G1237" s="1">
        <v>6.7313000000000001</v>
      </c>
      <c r="H1237" s="1">
        <v>1.8960999999999999E-7</v>
      </c>
      <c r="I1237" s="1">
        <f t="shared" si="171"/>
        <v>1.8960999999999999E-7</v>
      </c>
      <c r="J1237" s="4">
        <f t="shared" si="172"/>
        <v>-1.333690939559325E-8</v>
      </c>
      <c r="K1237" s="4">
        <f t="shared" si="173"/>
        <v>-2.1706552623186951E-8</v>
      </c>
      <c r="L1237" s="4">
        <f t="shared" si="174"/>
        <v>-6.5208308402551945E-9</v>
      </c>
      <c r="M1237" s="4">
        <f t="shared" si="176"/>
        <v>-6.8938828691272078E-9</v>
      </c>
      <c r="N1237" s="5">
        <f t="shared" si="177"/>
        <v>3.423686716330132E-7</v>
      </c>
      <c r="O1237" s="5">
        <f t="shared" si="178"/>
        <v>1.1116807844204149E-6</v>
      </c>
      <c r="P1237" s="5">
        <f t="shared" si="179"/>
        <v>3.459505439465724E-7</v>
      </c>
      <c r="Q1237" s="1">
        <f t="shared" si="175"/>
        <v>1.8000000000000006E-6</v>
      </c>
    </row>
    <row r="1238" spans="1:17" x14ac:dyDescent="0.25">
      <c r="A1238" s="1">
        <v>61.8</v>
      </c>
      <c r="B1238" s="1">
        <v>8.0935999999999994E-3</v>
      </c>
      <c r="C1238" s="1">
        <v>1.0923E-3</v>
      </c>
      <c r="D1238" s="1">
        <v>3.0426000000000002E-2</v>
      </c>
      <c r="E1238" s="1">
        <v>7.3330000000000001E-3</v>
      </c>
      <c r="F1238" s="1">
        <v>6.2101000000000003E-7</v>
      </c>
      <c r="G1238" s="1">
        <v>6.7312000000000003</v>
      </c>
      <c r="H1238" s="1">
        <v>1.8965000000000001E-7</v>
      </c>
      <c r="I1238" s="1">
        <f t="shared" si="171"/>
        <v>1.8965000000000001E-7</v>
      </c>
      <c r="J1238" s="4">
        <f t="shared" si="172"/>
        <v>-1.3305817016400637E-8</v>
      </c>
      <c r="K1238" s="4">
        <f t="shared" si="173"/>
        <v>-2.1677775296196859E-8</v>
      </c>
      <c r="L1238" s="4">
        <f t="shared" si="174"/>
        <v>-6.5130790792363998E-9</v>
      </c>
      <c r="M1238" s="4">
        <f t="shared" si="176"/>
        <v>-6.8875466769591145E-9</v>
      </c>
      <c r="N1238" s="5">
        <f t="shared" si="177"/>
        <v>3.4422755083357302E-7</v>
      </c>
      <c r="O1238" s="5">
        <f t="shared" si="178"/>
        <v>1.1101963728175777E-6</v>
      </c>
      <c r="P1238" s="5">
        <f t="shared" si="179"/>
        <v>3.4557607634884968E-7</v>
      </c>
      <c r="Q1238" s="1">
        <f t="shared" si="175"/>
        <v>1.8000000000000003E-6</v>
      </c>
    </row>
    <row r="1239" spans="1:17" x14ac:dyDescent="0.25">
      <c r="A1239" s="1">
        <v>61.85</v>
      </c>
      <c r="B1239" s="1">
        <v>8.0786999999999994E-3</v>
      </c>
      <c r="C1239" s="1">
        <v>1.0878000000000001E-3</v>
      </c>
      <c r="D1239" s="1">
        <v>3.0436000000000001E-2</v>
      </c>
      <c r="E1239" s="1">
        <v>7.3130000000000001E-3</v>
      </c>
      <c r="F1239" s="1">
        <v>6.1860999999999995E-7</v>
      </c>
      <c r="G1239" s="1">
        <v>6.7310999999999996</v>
      </c>
      <c r="H1239" s="1">
        <v>1.8967999999999999E-7</v>
      </c>
      <c r="I1239" s="1">
        <f t="shared" si="171"/>
        <v>1.8967999999999999E-7</v>
      </c>
      <c r="J1239" s="4">
        <f t="shared" si="172"/>
        <v>-1.3275253227162538E-8</v>
      </c>
      <c r="K1239" s="4">
        <f t="shared" si="173"/>
        <v>-2.1648829269944612E-8</v>
      </c>
      <c r="L1239" s="4">
        <f t="shared" si="174"/>
        <v>-6.5053999524379472E-9</v>
      </c>
      <c r="M1239" s="4">
        <f t="shared" si="176"/>
        <v>-6.8815428023543172E-9</v>
      </c>
      <c r="N1239" s="5">
        <f t="shared" si="177"/>
        <v>3.4609572692391714E-7</v>
      </c>
      <c r="O1239" s="5">
        <f t="shared" si="178"/>
        <v>1.1087043395771499E-6</v>
      </c>
      <c r="P1239" s="5">
        <f t="shared" si="179"/>
        <v>3.4519993349893329E-7</v>
      </c>
      <c r="Q1239" s="1">
        <f t="shared" si="175"/>
        <v>1.8000000000000003E-6</v>
      </c>
    </row>
    <row r="1240" spans="1:17" x14ac:dyDescent="0.25">
      <c r="A1240" s="1">
        <v>61.9</v>
      </c>
      <c r="B1240" s="1">
        <v>8.0637999999999994E-3</v>
      </c>
      <c r="C1240" s="1">
        <v>1.0834E-3</v>
      </c>
      <c r="D1240" s="1">
        <v>3.0446000000000001E-2</v>
      </c>
      <c r="E1240" s="1">
        <v>7.2931000000000003E-3</v>
      </c>
      <c r="F1240" s="1">
        <v>6.1620999999999998E-7</v>
      </c>
      <c r="G1240" s="1">
        <v>6.7309999999999999</v>
      </c>
      <c r="H1240" s="1">
        <v>1.8972000000000001E-7</v>
      </c>
      <c r="I1240" s="1">
        <f t="shared" si="171"/>
        <v>1.8972000000000001E-7</v>
      </c>
      <c r="J1240" s="4">
        <f t="shared" si="172"/>
        <v>-1.3244333552617415E-8</v>
      </c>
      <c r="K1240" s="4">
        <f t="shared" si="173"/>
        <v>-2.1619734621753195E-8</v>
      </c>
      <c r="L1240" s="4">
        <f t="shared" si="174"/>
        <v>-6.4976579229515892E-9</v>
      </c>
      <c r="M1240" s="4">
        <f t="shared" si="176"/>
        <v>-6.8751399555377636E-9</v>
      </c>
      <c r="N1240" s="5">
        <f t="shared" si="177"/>
        <v>3.4797347007010135E-7</v>
      </c>
      <c r="O1240" s="5">
        <f t="shared" si="178"/>
        <v>1.1072040784635516E-6</v>
      </c>
      <c r="P1240" s="5">
        <f t="shared" si="179"/>
        <v>3.448224514663471E-7</v>
      </c>
      <c r="Q1240" s="1">
        <f t="shared" si="175"/>
        <v>1.8000000000000001E-6</v>
      </c>
    </row>
    <row r="1241" spans="1:17" x14ac:dyDescent="0.25">
      <c r="A1241" s="1">
        <v>61.95</v>
      </c>
      <c r="B1241" s="1">
        <v>8.0490000000000006E-3</v>
      </c>
      <c r="C1241" s="1">
        <v>1.0790000000000001E-3</v>
      </c>
      <c r="D1241" s="1">
        <v>3.0454999999999999E-2</v>
      </c>
      <c r="E1241" s="1">
        <v>7.2731999999999996E-3</v>
      </c>
      <c r="F1241" s="1">
        <v>6.1381999999999997E-7</v>
      </c>
      <c r="G1241" s="1">
        <v>6.7309000000000001</v>
      </c>
      <c r="H1241" s="1">
        <v>1.8974999999999999E-7</v>
      </c>
      <c r="I1241" s="1">
        <f t="shared" si="171"/>
        <v>1.8974999999999999E-7</v>
      </c>
      <c r="J1241" s="4">
        <f t="shared" si="172"/>
        <v>-1.3213066410073821E-8</v>
      </c>
      <c r="K1241" s="4">
        <f t="shared" si="173"/>
        <v>-2.1590479530041098E-8</v>
      </c>
      <c r="L1241" s="4">
        <f t="shared" si="174"/>
        <v>-6.4898572034944895E-9</v>
      </c>
      <c r="M1241" s="4">
        <f t="shared" si="176"/>
        <v>-6.8690701266810996E-9</v>
      </c>
      <c r="N1241" s="5">
        <f t="shared" si="177"/>
        <v>3.4986102598657416E-7</v>
      </c>
      <c r="O1241" s="5">
        <f t="shared" si="178"/>
        <v>1.1056957354702654E-6</v>
      </c>
      <c r="P1241" s="5">
        <f t="shared" si="179"/>
        <v>3.4444323854316049E-7</v>
      </c>
      <c r="Q1241" s="1">
        <f t="shared" si="175"/>
        <v>1.8000000000000001E-6</v>
      </c>
    </row>
    <row r="1242" spans="1:17" x14ac:dyDescent="0.25">
      <c r="A1242" s="1">
        <v>62</v>
      </c>
      <c r="B1242" s="1">
        <v>8.0342E-3</v>
      </c>
      <c r="C1242" s="1">
        <v>1.0746E-3</v>
      </c>
      <c r="D1242" s="1">
        <v>3.0464999999999999E-2</v>
      </c>
      <c r="E1242" s="1">
        <v>7.2534000000000001E-3</v>
      </c>
      <c r="F1242" s="1">
        <v>6.1142999999999996E-7</v>
      </c>
      <c r="G1242" s="1">
        <v>6.7309000000000001</v>
      </c>
      <c r="H1242" s="1">
        <v>1.8979000000000001E-7</v>
      </c>
      <c r="I1242" s="1">
        <f t="shared" si="171"/>
        <v>1.8979000000000001E-7</v>
      </c>
      <c r="J1242" s="4">
        <f t="shared" si="172"/>
        <v>-1.3181888540714018E-8</v>
      </c>
      <c r="K1242" s="4">
        <f t="shared" si="173"/>
        <v>-2.156106684166895E-8</v>
      </c>
      <c r="L1242" s="4">
        <f t="shared" si="174"/>
        <v>-6.4820179156337844E-9</v>
      </c>
      <c r="M1242" s="4">
        <f t="shared" si="176"/>
        <v>-6.862600973923904E-9</v>
      </c>
      <c r="N1242" s="5">
        <f t="shared" si="177"/>
        <v>3.5175818637189533E-7</v>
      </c>
      <c r="O1242" s="5">
        <f t="shared" si="178"/>
        <v>1.1041791581432343E-6</v>
      </c>
      <c r="P1242" s="5">
        <f t="shared" si="179"/>
        <v>3.4406265548487037E-7</v>
      </c>
      <c r="Q1242" s="1">
        <f t="shared" si="175"/>
        <v>1.8000000000000001E-6</v>
      </c>
    </row>
    <row r="1243" spans="1:17" x14ac:dyDescent="0.25">
      <c r="A1243" s="1">
        <v>62.05</v>
      </c>
      <c r="B1243" s="1">
        <v>8.0193999999999994E-3</v>
      </c>
      <c r="C1243" s="1">
        <v>1.0702000000000001E-3</v>
      </c>
      <c r="D1243" s="1">
        <v>3.0474999999999999E-2</v>
      </c>
      <c r="E1243" s="1">
        <v>7.2335999999999998E-3</v>
      </c>
      <c r="F1243" s="1">
        <v>6.0905000000000002E-7</v>
      </c>
      <c r="G1243" s="1">
        <v>6.7308000000000003</v>
      </c>
      <c r="H1243" s="1">
        <v>1.8981999999999999E-7</v>
      </c>
      <c r="I1243" s="1">
        <f t="shared" si="171"/>
        <v>1.8981999999999999E-7</v>
      </c>
      <c r="J1243" s="4">
        <f t="shared" si="172"/>
        <v>-1.3150361779123448E-8</v>
      </c>
      <c r="K1243" s="4">
        <f t="shared" si="173"/>
        <v>-2.1531493583791847E-8</v>
      </c>
      <c r="L1243" s="4">
        <f t="shared" si="174"/>
        <v>-6.4741190591577154E-9</v>
      </c>
      <c r="M1243" s="4">
        <f t="shared" si="176"/>
        <v>-6.8564633953693329E-9</v>
      </c>
      <c r="N1243" s="5">
        <f t="shared" si="177"/>
        <v>3.5366519911740604E-7</v>
      </c>
      <c r="O1243" s="5">
        <f t="shared" si="178"/>
        <v>1.1026544897339354E-6</v>
      </c>
      <c r="P1243" s="5">
        <f t="shared" si="179"/>
        <v>3.4368031114865876E-7</v>
      </c>
      <c r="Q1243" s="1">
        <f t="shared" si="175"/>
        <v>1.8000000000000003E-6</v>
      </c>
    </row>
    <row r="1244" spans="1:17" x14ac:dyDescent="0.25">
      <c r="A1244" s="1">
        <v>62.1</v>
      </c>
      <c r="B1244" s="1">
        <v>8.0047E-3</v>
      </c>
      <c r="C1244" s="1">
        <v>1.0658E-3</v>
      </c>
      <c r="D1244" s="1">
        <v>3.0484000000000001E-2</v>
      </c>
      <c r="E1244" s="1">
        <v>7.2138999999999997E-3</v>
      </c>
      <c r="F1244" s="1">
        <v>6.0668000000000003E-7</v>
      </c>
      <c r="G1244" s="1">
        <v>6.7306999999999997</v>
      </c>
      <c r="H1244" s="1">
        <v>1.8986000000000001E-7</v>
      </c>
      <c r="I1244" s="1">
        <f t="shared" si="171"/>
        <v>1.8986000000000001E-7</v>
      </c>
      <c r="J1244" s="4">
        <f t="shared" si="172"/>
        <v>-1.311892418086631E-8</v>
      </c>
      <c r="K1244" s="4">
        <f t="shared" si="173"/>
        <v>-2.1501762549813572E-8</v>
      </c>
      <c r="L1244" s="4">
        <f t="shared" si="174"/>
        <v>-6.4661810575825517E-9</v>
      </c>
      <c r="M1244" s="4">
        <f t="shared" si="176"/>
        <v>-6.8499266495356157E-9</v>
      </c>
      <c r="N1244" s="5">
        <f t="shared" si="177"/>
        <v>3.5558185642877069E-7</v>
      </c>
      <c r="O1244" s="5">
        <f t="shared" si="178"/>
        <v>1.1011215780145239E-6</v>
      </c>
      <c r="P1244" s="5">
        <f t="shared" si="179"/>
        <v>3.4329656555670572E-7</v>
      </c>
      <c r="Q1244" s="1">
        <f t="shared" si="175"/>
        <v>1.8000000000000003E-6</v>
      </c>
    </row>
    <row r="1245" spans="1:17" x14ac:dyDescent="0.25">
      <c r="A1245" s="1">
        <v>62.15</v>
      </c>
      <c r="B1245" s="1">
        <v>7.9900000000000006E-3</v>
      </c>
      <c r="C1245" s="1">
        <v>1.0614000000000001E-3</v>
      </c>
      <c r="D1245" s="1">
        <v>3.0494E-2</v>
      </c>
      <c r="E1245" s="1">
        <v>7.1942000000000004E-3</v>
      </c>
      <c r="F1245" s="1">
        <v>6.0431000000000004E-7</v>
      </c>
      <c r="G1245" s="1">
        <v>6.7305999999999999</v>
      </c>
      <c r="H1245" s="1">
        <v>1.8988999999999999E-7</v>
      </c>
      <c r="I1245" s="1">
        <f t="shared" si="171"/>
        <v>1.8988999999999999E-7</v>
      </c>
      <c r="J1245" s="4">
        <f t="shared" si="172"/>
        <v>-1.3087567939131335E-8</v>
      </c>
      <c r="K1245" s="4">
        <f t="shared" si="173"/>
        <v>-2.1471870771281997E-8</v>
      </c>
      <c r="L1245" s="4">
        <f t="shared" si="174"/>
        <v>-6.4582891537188148E-9</v>
      </c>
      <c r="M1245" s="4">
        <f t="shared" si="176"/>
        <v>-6.8437200233422072E-9</v>
      </c>
      <c r="N1245" s="5">
        <f t="shared" si="177"/>
        <v>3.5750787010720253E-7</v>
      </c>
      <c r="O1245" s="5">
        <f t="shared" si="178"/>
        <v>1.0995809952057155E-6</v>
      </c>
      <c r="P1245" s="5">
        <f t="shared" si="179"/>
        <v>3.4291113468708234E-7</v>
      </c>
      <c r="Q1245" s="1">
        <f t="shared" si="175"/>
        <v>1.8000000000000003E-6</v>
      </c>
    </row>
    <row r="1246" spans="1:17" x14ac:dyDescent="0.25">
      <c r="A1246" s="1">
        <v>62.2</v>
      </c>
      <c r="B1246" s="1">
        <v>7.9754000000000005E-3</v>
      </c>
      <c r="C1246" s="1">
        <v>1.0571000000000001E-3</v>
      </c>
      <c r="D1246" s="1">
        <v>3.0502999999999999E-2</v>
      </c>
      <c r="E1246" s="1">
        <v>7.1745000000000003E-3</v>
      </c>
      <c r="F1246" s="1">
        <v>6.0193999999999995E-7</v>
      </c>
      <c r="G1246" s="1">
        <v>6.7305000000000001</v>
      </c>
      <c r="H1246" s="1">
        <v>1.8993000000000001E-7</v>
      </c>
      <c r="I1246" s="1">
        <f t="shared" si="171"/>
        <v>1.8993000000000001E-7</v>
      </c>
      <c r="J1246" s="4">
        <f t="shared" si="172"/>
        <v>-1.305585050447444E-8</v>
      </c>
      <c r="K1246" s="4">
        <f t="shared" si="173"/>
        <v>-2.1441829406513283E-8</v>
      </c>
      <c r="L1246" s="4">
        <f t="shared" si="174"/>
        <v>-6.450241742682623E-9</v>
      </c>
      <c r="M1246" s="4">
        <f t="shared" si="176"/>
        <v>-6.8371165134022402E-9</v>
      </c>
      <c r="N1246" s="5">
        <f t="shared" si="177"/>
        <v>3.5944360726655878E-7</v>
      </c>
      <c r="O1246" s="5">
        <f t="shared" si="178"/>
        <v>1.0980321328170789E-6</v>
      </c>
      <c r="P1246" s="5">
        <f t="shared" si="179"/>
        <v>3.4252425991636272E-7</v>
      </c>
      <c r="Q1246" s="1">
        <f t="shared" si="175"/>
        <v>1.8000000000000003E-6</v>
      </c>
    </row>
    <row r="1247" spans="1:17" x14ac:dyDescent="0.25">
      <c r="A1247" s="1">
        <v>62.25</v>
      </c>
      <c r="B1247" s="1">
        <v>7.9608000000000005E-3</v>
      </c>
      <c r="C1247" s="1">
        <v>1.0526999999999999E-3</v>
      </c>
      <c r="D1247" s="1">
        <v>3.0512999999999998E-2</v>
      </c>
      <c r="E1247" s="1">
        <v>7.1549999999999999E-3</v>
      </c>
      <c r="F1247" s="1">
        <v>5.9958000000000003E-7</v>
      </c>
      <c r="G1247" s="1">
        <v>6.7304000000000004</v>
      </c>
      <c r="H1247" s="1">
        <v>1.8995999999999999E-7</v>
      </c>
      <c r="I1247" s="1">
        <f t="shared" si="171"/>
        <v>1.8995999999999999E-7</v>
      </c>
      <c r="J1247" s="4">
        <f t="shared" si="172"/>
        <v>-1.3023783613563059E-8</v>
      </c>
      <c r="K1247" s="4">
        <f t="shared" si="173"/>
        <v>-2.1411626589931822E-8</v>
      </c>
      <c r="L1247" s="4">
        <f t="shared" si="174"/>
        <v>-6.4420442647499579E-9</v>
      </c>
      <c r="M1247" s="4">
        <f t="shared" si="176"/>
        <v>-6.8308414320206628E-9</v>
      </c>
      <c r="N1247" s="5">
        <f t="shared" si="177"/>
        <v>3.6138940597817762E-7</v>
      </c>
      <c r="O1247" s="5">
        <f t="shared" si="178"/>
        <v>1.0964751312727307E-6</v>
      </c>
      <c r="P1247" s="5">
        <f t="shared" si="179"/>
        <v>3.4213546274909198E-7</v>
      </c>
      <c r="Q1247" s="1">
        <f t="shared" si="175"/>
        <v>1.8000000000000003E-6</v>
      </c>
    </row>
    <row r="1248" spans="1:17" x14ac:dyDescent="0.25">
      <c r="A1248" s="1">
        <v>62.3</v>
      </c>
      <c r="B1248" s="1">
        <v>7.9462000000000005E-3</v>
      </c>
      <c r="C1248" s="1">
        <v>1.0483999999999999E-3</v>
      </c>
      <c r="D1248" s="1">
        <v>3.0522000000000001E-2</v>
      </c>
      <c r="E1248" s="1">
        <v>7.1354000000000001E-3</v>
      </c>
      <c r="F1248" s="1">
        <v>5.9722999999999996E-7</v>
      </c>
      <c r="G1248" s="1">
        <v>6.7304000000000004</v>
      </c>
      <c r="H1248" s="1">
        <v>1.8999E-7</v>
      </c>
      <c r="I1248" s="1">
        <f t="shared" si="171"/>
        <v>1.8999E-7</v>
      </c>
      <c r="J1248" s="4">
        <f t="shared" si="172"/>
        <v>-1.2991810964061478E-8</v>
      </c>
      <c r="K1248" s="4">
        <f t="shared" si="173"/>
        <v>-2.1381265059817036E-8</v>
      </c>
      <c r="L1248" s="4">
        <f t="shared" si="174"/>
        <v>-6.4339886405253422E-9</v>
      </c>
      <c r="M1248" s="4">
        <f t="shared" si="176"/>
        <v>-6.824165512900451E-9</v>
      </c>
      <c r="N1248" s="5">
        <f t="shared" si="177"/>
        <v>3.6334487143340782E-7</v>
      </c>
      <c r="O1248" s="5">
        <f t="shared" si="178"/>
        <v>1.0949098426898755E-6</v>
      </c>
      <c r="P1248" s="5">
        <f t="shared" si="179"/>
        <v>3.4174528587671689E-7</v>
      </c>
      <c r="Q1248" s="1">
        <f t="shared" si="175"/>
        <v>1.8000000000000003E-6</v>
      </c>
    </row>
    <row r="1249" spans="1:17" x14ac:dyDescent="0.25">
      <c r="A1249" s="1">
        <v>62.35</v>
      </c>
      <c r="B1249" s="1">
        <v>7.9316999999999999E-3</v>
      </c>
      <c r="C1249" s="1">
        <v>1.0441000000000001E-3</v>
      </c>
      <c r="D1249" s="1">
        <v>3.0532E-2</v>
      </c>
      <c r="E1249" s="1">
        <v>7.1158999999999997E-3</v>
      </c>
      <c r="F1249" s="1">
        <v>5.9487999999999999E-7</v>
      </c>
      <c r="G1249" s="1">
        <v>6.7302999999999997</v>
      </c>
      <c r="H1249" s="1">
        <v>1.9002999999999999E-7</v>
      </c>
      <c r="I1249" s="1">
        <f t="shared" si="171"/>
        <v>1.9002999999999999E-7</v>
      </c>
      <c r="J1249" s="4">
        <f t="shared" si="172"/>
        <v>-1.2959918327225724E-8</v>
      </c>
      <c r="K1249" s="4">
        <f t="shared" si="173"/>
        <v>-2.1350741932454394E-8</v>
      </c>
      <c r="L1249" s="4">
        <f t="shared" si="174"/>
        <v>-6.4257980194089147E-9</v>
      </c>
      <c r="M1249" s="4">
        <f t="shared" si="176"/>
        <v>-6.8174596206909122E-9</v>
      </c>
      <c r="N1249" s="5">
        <f t="shared" si="177"/>
        <v>3.6530989701922757E-7</v>
      </c>
      <c r="O1249" s="5">
        <f t="shared" si="178"/>
        <v>1.0933364787053378E-6</v>
      </c>
      <c r="P1249" s="5">
        <f t="shared" si="179"/>
        <v>3.4135362427543488E-7</v>
      </c>
      <c r="Q1249" s="1">
        <f t="shared" si="175"/>
        <v>1.8000000000000003E-6</v>
      </c>
    </row>
    <row r="1250" spans="1:17" x14ac:dyDescent="0.25">
      <c r="A1250" s="1">
        <v>62.4</v>
      </c>
      <c r="B1250" s="1">
        <v>7.9171999999999992E-3</v>
      </c>
      <c r="C1250" s="1">
        <v>1.0397E-3</v>
      </c>
      <c r="D1250" s="1">
        <v>3.0540999999999999E-2</v>
      </c>
      <c r="E1250" s="1">
        <v>7.0965000000000004E-3</v>
      </c>
      <c r="F1250" s="1">
        <v>5.9253000000000003E-7</v>
      </c>
      <c r="G1250" s="1">
        <v>6.7302</v>
      </c>
      <c r="H1250" s="1">
        <v>1.9006E-7</v>
      </c>
      <c r="I1250" s="1">
        <f t="shared" si="171"/>
        <v>1.9006E-7</v>
      </c>
      <c r="J1250" s="4">
        <f t="shared" si="172"/>
        <v>-1.2927667529939288E-8</v>
      </c>
      <c r="K1250" s="4">
        <f t="shared" si="173"/>
        <v>-2.1320061334752875E-8</v>
      </c>
      <c r="L1250" s="4">
        <f t="shared" si="174"/>
        <v>-6.4175422927586083E-9</v>
      </c>
      <c r="M1250" s="4">
        <f t="shared" si="176"/>
        <v>-6.8110800682110062E-9</v>
      </c>
      <c r="N1250" s="5">
        <f t="shared" si="177"/>
        <v>3.6728474853128253E-7</v>
      </c>
      <c r="O1250" s="5">
        <f t="shared" si="178"/>
        <v>1.0917551649687353E-6</v>
      </c>
      <c r="P1250" s="5">
        <f t="shared" si="179"/>
        <v>3.4096008649998248E-7</v>
      </c>
      <c r="Q1250" s="1">
        <f t="shared" si="175"/>
        <v>1.8000000000000003E-6</v>
      </c>
    </row>
    <row r="1251" spans="1:17" x14ac:dyDescent="0.25">
      <c r="A1251" s="1">
        <v>62.45</v>
      </c>
      <c r="B1251" s="1">
        <v>7.9027999999999998E-3</v>
      </c>
      <c r="C1251" s="1">
        <v>1.0353999999999999E-3</v>
      </c>
      <c r="D1251" s="1">
        <v>3.0550000000000001E-2</v>
      </c>
      <c r="E1251" s="1">
        <v>7.0771000000000002E-3</v>
      </c>
      <c r="F1251" s="1">
        <v>5.9019000000000002E-7</v>
      </c>
      <c r="G1251" s="1">
        <v>6.7301000000000002</v>
      </c>
      <c r="H1251" s="1">
        <v>1.9009999999999999E-7</v>
      </c>
      <c r="I1251" s="1">
        <f t="shared" si="171"/>
        <v>1.9009999999999999E-7</v>
      </c>
      <c r="J1251" s="4">
        <f t="shared" si="172"/>
        <v>-1.2895066380496263E-8</v>
      </c>
      <c r="K1251" s="4">
        <f t="shared" si="173"/>
        <v>-2.1289225716892157E-8</v>
      </c>
      <c r="L1251" s="4">
        <f t="shared" si="174"/>
        <v>-6.4092253567270128E-9</v>
      </c>
      <c r="M1251" s="4">
        <f t="shared" si="176"/>
        <v>-6.8043017742201804E-9</v>
      </c>
      <c r="N1251" s="5">
        <f t="shared" si="177"/>
        <v>3.6926968251095138E-7</v>
      </c>
      <c r="O1251" s="5">
        <f t="shared" si="178"/>
        <v>1.0901653074065597E-6</v>
      </c>
      <c r="P1251" s="5">
        <f t="shared" si="179"/>
        <v>3.4056501008248935E-7</v>
      </c>
      <c r="Q1251" s="1">
        <f t="shared" si="175"/>
        <v>1.8000000000000006E-6</v>
      </c>
    </row>
    <row r="1252" spans="1:17" x14ac:dyDescent="0.25">
      <c r="A1252" s="1">
        <v>62.5</v>
      </c>
      <c r="B1252" s="1">
        <v>7.8884000000000003E-3</v>
      </c>
      <c r="C1252" s="1">
        <v>1.0311000000000001E-3</v>
      </c>
      <c r="D1252" s="1">
        <v>3.056E-2</v>
      </c>
      <c r="E1252" s="1">
        <v>7.0578000000000004E-3</v>
      </c>
      <c r="F1252" s="1">
        <v>5.8785000000000001E-7</v>
      </c>
      <c r="G1252" s="1">
        <v>6.73</v>
      </c>
      <c r="H1252" s="1">
        <v>1.9013E-7</v>
      </c>
      <c r="I1252" s="1">
        <f t="shared" si="171"/>
        <v>1.9013E-7</v>
      </c>
      <c r="J1252" s="4">
        <f t="shared" si="172"/>
        <v>-1.2862558007550937E-8</v>
      </c>
      <c r="K1252" s="4">
        <f t="shared" si="173"/>
        <v>-2.1258223494426706E-8</v>
      </c>
      <c r="L1252" s="4">
        <f t="shared" si="174"/>
        <v>-6.4008688471888839E-9</v>
      </c>
      <c r="M1252" s="4">
        <f t="shared" si="176"/>
        <v>-6.7978478837511422E-9</v>
      </c>
      <c r="N1252" s="5">
        <f t="shared" si="177"/>
        <v>3.712644791506383E-7</v>
      </c>
      <c r="O1252" s="5">
        <f t="shared" si="178"/>
        <v>1.0885674898034351E-6</v>
      </c>
      <c r="P1252" s="5">
        <f t="shared" si="179"/>
        <v>3.4016803104592709E-7</v>
      </c>
      <c r="Q1252" s="1">
        <f t="shared" si="175"/>
        <v>1.8000000000000003E-6</v>
      </c>
    </row>
    <row r="1253" spans="1:17" x14ac:dyDescent="0.25">
      <c r="A1253" s="1">
        <v>62.55</v>
      </c>
      <c r="B1253" s="1">
        <v>7.8740000000000008E-3</v>
      </c>
      <c r="C1253" s="1">
        <v>1.0268E-3</v>
      </c>
      <c r="D1253" s="1">
        <v>3.0568999999999999E-2</v>
      </c>
      <c r="E1253" s="1">
        <v>7.0384999999999996E-3</v>
      </c>
      <c r="F1253" s="1">
        <v>5.8551999999999996E-7</v>
      </c>
      <c r="G1253" s="1">
        <v>6.7298999999999998</v>
      </c>
      <c r="H1253" s="1">
        <v>1.9016E-7</v>
      </c>
      <c r="I1253" s="1">
        <f t="shared" si="171"/>
        <v>1.9016E-7</v>
      </c>
      <c r="J1253" s="4">
        <f t="shared" si="172"/>
        <v>-1.2829698337877961E-8</v>
      </c>
      <c r="K1253" s="4">
        <f t="shared" si="173"/>
        <v>-2.1227066051165776E-8</v>
      </c>
      <c r="L1253" s="4">
        <f t="shared" si="174"/>
        <v>-6.3924503947548112E-9</v>
      </c>
      <c r="M1253" s="4">
        <f t="shared" si="176"/>
        <v>-6.790995512989637E-9</v>
      </c>
      <c r="N1253" s="5">
        <f t="shared" si="177"/>
        <v>3.7326939646917127E-7</v>
      </c>
      <c r="O1253" s="5">
        <f t="shared" si="178"/>
        <v>1.0869611176031368E-6</v>
      </c>
      <c r="P1253" s="5">
        <f t="shared" si="179"/>
        <v>3.3976948592769226E-7</v>
      </c>
      <c r="Q1253" s="1">
        <f t="shared" si="175"/>
        <v>1.8000000000000006E-6</v>
      </c>
    </row>
    <row r="1254" spans="1:17" x14ac:dyDescent="0.25">
      <c r="A1254" s="1">
        <v>62.6</v>
      </c>
      <c r="B1254" s="1">
        <v>7.8595999999999996E-3</v>
      </c>
      <c r="C1254" s="1">
        <v>1.0226E-3</v>
      </c>
      <c r="D1254" s="1">
        <v>3.0578000000000001E-2</v>
      </c>
      <c r="E1254" s="1">
        <v>7.0191999999999997E-3</v>
      </c>
      <c r="F1254" s="1">
        <v>5.8319999999999998E-7</v>
      </c>
      <c r="G1254" s="1">
        <v>6.7298</v>
      </c>
      <c r="H1254" s="1">
        <v>1.902E-7</v>
      </c>
      <c r="I1254" s="1">
        <f t="shared" si="171"/>
        <v>1.902E-7</v>
      </c>
      <c r="J1254" s="4">
        <f t="shared" si="172"/>
        <v>-1.2796931723952969E-8</v>
      </c>
      <c r="K1254" s="4">
        <f t="shared" si="173"/>
        <v>-2.1195741793262975E-8</v>
      </c>
      <c r="L1254" s="4">
        <f t="shared" si="174"/>
        <v>-6.3839919447162922E-9</v>
      </c>
      <c r="M1254" s="4">
        <f t="shared" si="176"/>
        <v>-6.7841093716216243E-9</v>
      </c>
      <c r="N1254" s="5">
        <f t="shared" si="177"/>
        <v>3.7528421459376501E-7</v>
      </c>
      <c r="O1254" s="5">
        <f t="shared" si="178"/>
        <v>1.0853464169054486E-6</v>
      </c>
      <c r="P1254" s="5">
        <f t="shared" si="179"/>
        <v>3.3936936850078693E-7</v>
      </c>
      <c r="Q1254" s="1">
        <f t="shared" si="175"/>
        <v>1.8000000000000006E-6</v>
      </c>
    </row>
    <row r="1255" spans="1:17" x14ac:dyDescent="0.25">
      <c r="A1255" s="1">
        <v>62.65</v>
      </c>
      <c r="B1255" s="1">
        <v>7.8452999999999995E-3</v>
      </c>
      <c r="C1255" s="1">
        <v>1.0183E-3</v>
      </c>
      <c r="D1255" s="1">
        <v>3.0588000000000001E-2</v>
      </c>
      <c r="E1255" s="1">
        <v>7.0000000000000001E-3</v>
      </c>
      <c r="F1255" s="1">
        <v>5.8088E-7</v>
      </c>
      <c r="G1255" s="1">
        <v>6.7298</v>
      </c>
      <c r="H1255" s="1">
        <v>1.9023E-7</v>
      </c>
      <c r="I1255" s="1">
        <f t="shared" si="171"/>
        <v>1.9023E-7</v>
      </c>
      <c r="J1255" s="4">
        <f t="shared" si="172"/>
        <v>-1.2764250770426478E-8</v>
      </c>
      <c r="K1255" s="4">
        <f t="shared" si="173"/>
        <v>-2.1164255129655044E-8</v>
      </c>
      <c r="L1255" s="4">
        <f t="shared" si="174"/>
        <v>-6.3754893755534426E-9</v>
      </c>
      <c r="M1255" s="4">
        <f t="shared" si="176"/>
        <v>-6.7775456583288298E-9</v>
      </c>
      <c r="N1255" s="5">
        <f t="shared" si="177"/>
        <v>3.7730872957744018E-7</v>
      </c>
      <c r="O1255" s="5">
        <f t="shared" si="178"/>
        <v>1.0837239582045489E-6</v>
      </c>
      <c r="P1255" s="5">
        <f t="shared" si="179"/>
        <v>3.3896731221801152E-7</v>
      </c>
      <c r="Q1255" s="1">
        <f t="shared" si="175"/>
        <v>1.8000000000000006E-6</v>
      </c>
    </row>
    <row r="1256" spans="1:17" x14ac:dyDescent="0.25">
      <c r="A1256" s="1">
        <v>62.7</v>
      </c>
      <c r="B1256" s="1">
        <v>7.8309999999999994E-3</v>
      </c>
      <c r="C1256" s="1">
        <v>1.0141E-3</v>
      </c>
      <c r="D1256" s="1">
        <v>3.0596999999999999E-2</v>
      </c>
      <c r="E1256" s="1">
        <v>6.9809E-3</v>
      </c>
      <c r="F1256" s="1">
        <v>5.7856000000000001E-7</v>
      </c>
      <c r="G1256" s="1">
        <v>6.7297000000000002</v>
      </c>
      <c r="H1256" s="1">
        <v>1.9026000000000001E-7</v>
      </c>
      <c r="I1256" s="1">
        <f t="shared" si="171"/>
        <v>1.9026000000000001E-7</v>
      </c>
      <c r="J1256" s="4">
        <f t="shared" si="172"/>
        <v>-1.2731210556889457E-8</v>
      </c>
      <c r="K1256" s="4">
        <f t="shared" si="173"/>
        <v>-2.1132617184990505E-8</v>
      </c>
      <c r="L1256" s="4">
        <f t="shared" si="174"/>
        <v>-6.3669203050137496E-9</v>
      </c>
      <c r="M1256" s="4">
        <f t="shared" si="176"/>
        <v>-6.7705839393399725E-9</v>
      </c>
      <c r="N1256" s="5">
        <f t="shared" si="177"/>
        <v>3.7934321590052749E-7</v>
      </c>
      <c r="O1256" s="5">
        <f t="shared" si="178"/>
        <v>1.082093135515788E-6</v>
      </c>
      <c r="P1256" s="5">
        <f t="shared" si="179"/>
        <v>3.385636485836853E-7</v>
      </c>
      <c r="Q1256" s="1">
        <f t="shared" si="175"/>
        <v>1.8000000000000006E-6</v>
      </c>
    </row>
    <row r="1257" spans="1:17" x14ac:dyDescent="0.25">
      <c r="A1257" s="1">
        <v>62.75</v>
      </c>
      <c r="B1257" s="1">
        <v>7.8168000000000005E-3</v>
      </c>
      <c r="C1257" s="1">
        <v>1.0097999999999999E-3</v>
      </c>
      <c r="D1257" s="1">
        <v>3.0606000000000001E-2</v>
      </c>
      <c r="E1257" s="1">
        <v>6.9617999999999998E-3</v>
      </c>
      <c r="F1257" s="1">
        <v>5.7624999999999999E-7</v>
      </c>
      <c r="G1257" s="1">
        <v>6.7295999999999996</v>
      </c>
      <c r="H1257" s="1">
        <v>1.903E-7</v>
      </c>
      <c r="I1257" s="1">
        <f t="shared" si="171"/>
        <v>1.903E-7</v>
      </c>
      <c r="J1257" s="4">
        <f t="shared" si="172"/>
        <v>-1.2697818952718249E-8</v>
      </c>
      <c r="K1257" s="4">
        <f t="shared" si="173"/>
        <v>-2.1100816142556666E-8</v>
      </c>
      <c r="L1257" s="4">
        <f t="shared" si="174"/>
        <v>-6.3582886469368418E-9</v>
      </c>
      <c r="M1257" s="4">
        <f t="shared" si="176"/>
        <v>-6.7635875768504724E-9</v>
      </c>
      <c r="N1257" s="5">
        <f t="shared" si="177"/>
        <v>3.8138792444342904E-7</v>
      </c>
      <c r="O1257" s="5">
        <f t="shared" si="178"/>
        <v>1.0804537259028001E-6</v>
      </c>
      <c r="P1257" s="5">
        <f t="shared" si="179"/>
        <v>3.3815834965377168E-7</v>
      </c>
      <c r="Q1257" s="1">
        <f t="shared" si="175"/>
        <v>1.800000000000001E-6</v>
      </c>
    </row>
    <row r="1258" spans="1:17" x14ac:dyDescent="0.25">
      <c r="A1258" s="1">
        <v>62.8</v>
      </c>
      <c r="B1258" s="1">
        <v>7.8025999999999998E-3</v>
      </c>
      <c r="C1258" s="1">
        <v>1.0055999999999999E-3</v>
      </c>
      <c r="D1258" s="1">
        <v>3.0615E-2</v>
      </c>
      <c r="E1258" s="1">
        <v>6.9426999999999996E-3</v>
      </c>
      <c r="F1258" s="1">
        <v>5.7395000000000003E-7</v>
      </c>
      <c r="G1258" s="1">
        <v>6.7294999999999998</v>
      </c>
      <c r="H1258" s="1">
        <v>1.9033000000000001E-7</v>
      </c>
      <c r="I1258" s="1">
        <f t="shared" si="171"/>
        <v>1.9033000000000001E-7</v>
      </c>
      <c r="J1258" s="4">
        <f t="shared" si="172"/>
        <v>-1.2664522357912089E-8</v>
      </c>
      <c r="K1258" s="4">
        <f t="shared" si="173"/>
        <v>-2.1068847655103407E-8</v>
      </c>
      <c r="L1258" s="4">
        <f t="shared" si="174"/>
        <v>-6.3496167942376821E-9</v>
      </c>
      <c r="M1258" s="4">
        <f t="shared" si="176"/>
        <v>-6.7569110636064555E-9</v>
      </c>
      <c r="N1258" s="5">
        <f t="shared" si="177"/>
        <v>3.8344263294638268E-7</v>
      </c>
      <c r="O1258" s="5">
        <f t="shared" si="178"/>
        <v>1.0788063116692152E-6</v>
      </c>
      <c r="P1258" s="5">
        <f t="shared" si="179"/>
        <v>3.3775105538440291E-7</v>
      </c>
      <c r="Q1258" s="1">
        <f t="shared" si="175"/>
        <v>1.800000000000001E-6</v>
      </c>
    </row>
    <row r="1259" spans="1:17" x14ac:dyDescent="0.25">
      <c r="A1259" s="1">
        <v>62.85</v>
      </c>
      <c r="B1259" s="1">
        <v>7.7884E-3</v>
      </c>
      <c r="C1259" s="1">
        <v>1.0013999999999999E-3</v>
      </c>
      <c r="D1259" s="1">
        <v>3.0624999999999999E-2</v>
      </c>
      <c r="E1259" s="1">
        <v>6.9236999999999996E-3</v>
      </c>
      <c r="F1259" s="1">
        <v>5.7164999999999996E-7</v>
      </c>
      <c r="G1259" s="1">
        <v>6.7294</v>
      </c>
      <c r="H1259" s="1">
        <v>1.9035999999999999E-7</v>
      </c>
      <c r="I1259" s="1">
        <f t="shared" si="171"/>
        <v>1.9035999999999999E-7</v>
      </c>
      <c r="J1259" s="4">
        <f t="shared" si="172"/>
        <v>-1.2631313628412861E-8</v>
      </c>
      <c r="K1259" s="4">
        <f t="shared" si="173"/>
        <v>-2.1036723077551491E-8</v>
      </c>
      <c r="L1259" s="4">
        <f t="shared" si="174"/>
        <v>-6.3409007349268263E-9</v>
      </c>
      <c r="M1259" s="4">
        <f t="shared" si="176"/>
        <v>-6.7498366289884826E-9</v>
      </c>
      <c r="N1259" s="5">
        <f t="shared" si="177"/>
        <v>3.8550714166059445E-7</v>
      </c>
      <c r="O1259" s="5">
        <f t="shared" si="178"/>
        <v>1.0771507388490648E-6</v>
      </c>
      <c r="P1259" s="5">
        <f t="shared" si="179"/>
        <v>3.3734211949034127E-7</v>
      </c>
      <c r="Q1259" s="1">
        <f t="shared" si="175"/>
        <v>1.8000000000000006E-6</v>
      </c>
    </row>
    <row r="1260" spans="1:17" x14ac:dyDescent="0.25">
      <c r="A1260" s="1">
        <v>62.9</v>
      </c>
      <c r="B1260" s="1">
        <v>7.7742999999999996E-3</v>
      </c>
      <c r="C1260" s="1">
        <v>9.9716999999999991E-4</v>
      </c>
      <c r="D1260" s="1">
        <v>3.0634000000000002E-2</v>
      </c>
      <c r="E1260" s="1">
        <v>6.9048E-3</v>
      </c>
      <c r="F1260" s="1">
        <v>5.6935999999999996E-7</v>
      </c>
      <c r="G1260" s="1">
        <v>6.7294</v>
      </c>
      <c r="H1260" s="1">
        <v>1.9040000000000001E-7</v>
      </c>
      <c r="I1260" s="1">
        <f t="shared" si="171"/>
        <v>1.9040000000000001E-7</v>
      </c>
      <c r="J1260" s="4">
        <f t="shared" si="172"/>
        <v>-1.2597745880217669E-8</v>
      </c>
      <c r="K1260" s="4">
        <f t="shared" si="173"/>
        <v>-2.1004439407555572E-8</v>
      </c>
      <c r="L1260" s="4">
        <f t="shared" si="174"/>
        <v>-6.3321176344980632E-9</v>
      </c>
      <c r="M1260" s="4">
        <f t="shared" si="176"/>
        <v>-6.7427268159486603E-9</v>
      </c>
      <c r="N1260" s="5">
        <f t="shared" si="177"/>
        <v>3.875817175534343E-7</v>
      </c>
      <c r="O1260" s="5">
        <f t="shared" si="178"/>
        <v>1.0754867721376755E-6</v>
      </c>
      <c r="P1260" s="5">
        <f t="shared" si="179"/>
        <v>3.3693151030889069E-7</v>
      </c>
      <c r="Q1260" s="1">
        <f t="shared" si="175"/>
        <v>1.8000000000000006E-6</v>
      </c>
    </row>
    <row r="1261" spans="1:17" x14ac:dyDescent="0.25">
      <c r="A1261" s="1">
        <v>62.95</v>
      </c>
      <c r="B1261" s="1">
        <v>7.7602000000000001E-3</v>
      </c>
      <c r="C1261" s="1">
        <v>9.9298000000000008E-4</v>
      </c>
      <c r="D1261" s="1">
        <v>3.0643E-2</v>
      </c>
      <c r="E1261" s="1">
        <v>6.8859000000000004E-3</v>
      </c>
      <c r="F1261" s="1">
        <v>5.6706999999999996E-7</v>
      </c>
      <c r="G1261" s="1">
        <v>6.7293000000000003</v>
      </c>
      <c r="H1261" s="1">
        <v>1.9042999999999999E-7</v>
      </c>
      <c r="I1261" s="1">
        <f t="shared" si="171"/>
        <v>1.9042999999999999E-7</v>
      </c>
      <c r="J1261" s="4">
        <f t="shared" si="172"/>
        <v>-1.2564267916546604E-8</v>
      </c>
      <c r="K1261" s="4">
        <f t="shared" si="173"/>
        <v>-2.0971992056686461E-8</v>
      </c>
      <c r="L1261" s="4">
        <f t="shared" si="174"/>
        <v>-6.3233822538852326E-9</v>
      </c>
      <c r="M1261" s="4">
        <f t="shared" si="176"/>
        <v>-6.7359347540959169E-9</v>
      </c>
      <c r="N1261" s="5">
        <f t="shared" si="177"/>
        <v>3.8966605943968895E-7</v>
      </c>
      <c r="O1261" s="5">
        <f t="shared" si="178"/>
        <v>1.0738149827516313E-6</v>
      </c>
      <c r="P1261" s="5">
        <f t="shared" si="179"/>
        <v>3.3651895780868001E-7</v>
      </c>
      <c r="Q1261" s="1">
        <f t="shared" si="175"/>
        <v>1.8000000000000003E-6</v>
      </c>
    </row>
    <row r="1262" spans="1:17" x14ac:dyDescent="0.25">
      <c r="A1262" s="1">
        <v>63</v>
      </c>
      <c r="B1262" s="1">
        <v>7.7462E-3</v>
      </c>
      <c r="C1262" s="1">
        <v>9.8879999999999997E-4</v>
      </c>
      <c r="D1262" s="1">
        <v>3.0651999999999999E-2</v>
      </c>
      <c r="E1262" s="1">
        <v>6.8669999999999998E-3</v>
      </c>
      <c r="F1262" s="1">
        <v>5.6479000000000002E-7</v>
      </c>
      <c r="G1262" s="1">
        <v>6.7291999999999996</v>
      </c>
      <c r="H1262" s="1">
        <v>1.9046E-7</v>
      </c>
      <c r="I1262" s="1">
        <f t="shared" si="171"/>
        <v>1.9046E-7</v>
      </c>
      <c r="J1262" s="4">
        <f t="shared" si="172"/>
        <v>-1.2530428538436102E-8</v>
      </c>
      <c r="K1262" s="4">
        <f t="shared" si="173"/>
        <v>-2.0939392163655622E-8</v>
      </c>
      <c r="L1262" s="4">
        <f t="shared" si="174"/>
        <v>-6.3144868036078665E-9</v>
      </c>
      <c r="M1262" s="4">
        <f t="shared" si="176"/>
        <v>-6.7287470392278451E-9</v>
      </c>
      <c r="N1262" s="5">
        <f t="shared" si="177"/>
        <v>3.9176053626130055E-7</v>
      </c>
      <c r="O1262" s="5">
        <f t="shared" si="178"/>
        <v>1.0721347661656396E-6</v>
      </c>
      <c r="P1262" s="5">
        <f t="shared" si="179"/>
        <v>3.3610469757306003E-7</v>
      </c>
      <c r="Q1262" s="1">
        <f t="shared" si="175"/>
        <v>1.8000000000000001E-6</v>
      </c>
    </row>
    <row r="1263" spans="1:17" x14ac:dyDescent="0.25">
      <c r="A1263" s="1">
        <v>63.05</v>
      </c>
      <c r="B1263" s="1">
        <v>7.7321999999999998E-3</v>
      </c>
      <c r="C1263" s="1">
        <v>9.8463000000000001E-4</v>
      </c>
      <c r="D1263" s="1">
        <v>3.0661000000000001E-2</v>
      </c>
      <c r="E1263" s="1">
        <v>6.8482999999999999E-3</v>
      </c>
      <c r="F1263" s="1">
        <v>5.6250999999999997E-7</v>
      </c>
      <c r="G1263" s="1">
        <v>6.7290999999999999</v>
      </c>
      <c r="H1263" s="1">
        <v>1.9049999999999999E-7</v>
      </c>
      <c r="I1263" s="1">
        <f t="shared" si="171"/>
        <v>1.9049999999999999E-7</v>
      </c>
      <c r="J1263" s="4">
        <f t="shared" si="172"/>
        <v>-1.2496680968939143E-8</v>
      </c>
      <c r="K1263" s="4">
        <f t="shared" si="173"/>
        <v>-2.0906627940228786E-8</v>
      </c>
      <c r="L1263" s="4">
        <f t="shared" si="174"/>
        <v>-6.3055478865928227E-9</v>
      </c>
      <c r="M1263" s="4">
        <f t="shared" si="176"/>
        <v>-6.7215225734749446E-9</v>
      </c>
      <c r="N1263" s="5">
        <f t="shared" si="177"/>
        <v>3.9386493534599736E-7</v>
      </c>
      <c r="O1263" s="5">
        <f t="shared" si="178"/>
        <v>1.070446341767825E-6</v>
      </c>
      <c r="P1263" s="5">
        <f t="shared" si="179"/>
        <v>3.3568872288617792E-7</v>
      </c>
      <c r="Q1263" s="1">
        <f t="shared" si="175"/>
        <v>1.8000000000000003E-6</v>
      </c>
    </row>
    <row r="1264" spans="1:17" x14ac:dyDescent="0.25">
      <c r="A1264" s="1">
        <v>63.1</v>
      </c>
      <c r="B1264" s="1">
        <v>7.7181999999999997E-3</v>
      </c>
      <c r="C1264" s="1">
        <v>9.8047E-4</v>
      </c>
      <c r="D1264" s="1">
        <v>3.0669999999999999E-2</v>
      </c>
      <c r="E1264" s="1">
        <v>6.8294999999999996E-3</v>
      </c>
      <c r="F1264" s="1">
        <v>5.6023999999999999E-7</v>
      </c>
      <c r="G1264" s="1">
        <v>6.7290000000000001</v>
      </c>
      <c r="H1264" s="1">
        <v>1.9053E-7</v>
      </c>
      <c r="I1264" s="1">
        <f t="shared" si="171"/>
        <v>1.9053E-7</v>
      </c>
      <c r="J1264" s="4">
        <f t="shared" si="172"/>
        <v>-1.2462575821923923E-8</v>
      </c>
      <c r="K1264" s="4">
        <f t="shared" si="173"/>
        <v>-2.0873703664474368E-8</v>
      </c>
      <c r="L1264" s="4">
        <f t="shared" si="174"/>
        <v>-6.2966338501594407E-9</v>
      </c>
      <c r="M1264" s="4">
        <f t="shared" si="176"/>
        <v>-6.7146136795313456E-9</v>
      </c>
      <c r="N1264" s="5">
        <f t="shared" si="177"/>
        <v>3.9597942933838831E-7</v>
      </c>
      <c r="O1264" s="5">
        <f t="shared" si="178"/>
        <v>1.0687498276048059E-6</v>
      </c>
      <c r="P1264" s="5">
        <f t="shared" si="179"/>
        <v>3.3527074305680606E-7</v>
      </c>
      <c r="Q1264" s="1">
        <f t="shared" si="175"/>
        <v>1.8000000000000003E-6</v>
      </c>
    </row>
    <row r="1265" spans="1:17" x14ac:dyDescent="0.25">
      <c r="A1265" s="1">
        <v>63.15</v>
      </c>
      <c r="B1265" s="1">
        <v>7.7041999999999996E-3</v>
      </c>
      <c r="C1265" s="1">
        <v>9.7632000000000003E-4</v>
      </c>
      <c r="D1265" s="1">
        <v>3.0679000000000001E-2</v>
      </c>
      <c r="E1265" s="1">
        <v>6.8107999999999997E-3</v>
      </c>
      <c r="F1265" s="1">
        <v>5.5797000000000001E-7</v>
      </c>
      <c r="G1265" s="1">
        <v>6.7290000000000001</v>
      </c>
      <c r="H1265" s="1">
        <v>1.9056000000000001E-7</v>
      </c>
      <c r="I1265" s="1">
        <f t="shared" si="171"/>
        <v>1.9056000000000001E-7</v>
      </c>
      <c r="J1265" s="4">
        <f t="shared" si="172"/>
        <v>-1.2428561111953278E-8</v>
      </c>
      <c r="K1265" s="4">
        <f t="shared" si="173"/>
        <v>-2.0840621638292533E-8</v>
      </c>
      <c r="L1265" s="4">
        <f t="shared" si="174"/>
        <v>-6.2875831995832574E-9</v>
      </c>
      <c r="M1265" s="4">
        <f t="shared" si="176"/>
        <v>-6.707309140834011E-9</v>
      </c>
      <c r="N1265" s="5">
        <f t="shared" si="177"/>
        <v>3.981039066651443E-7</v>
      </c>
      <c r="O1265" s="5">
        <f t="shared" si="178"/>
        <v>1.0670450762193006E-6</v>
      </c>
      <c r="P1265" s="5">
        <f t="shared" si="179"/>
        <v>3.348510171155553E-7</v>
      </c>
      <c r="Q1265" s="1">
        <f t="shared" si="175"/>
        <v>1.8000000000000001E-6</v>
      </c>
    </row>
    <row r="1266" spans="1:17" x14ac:dyDescent="0.25">
      <c r="A1266" s="1">
        <v>63.2</v>
      </c>
      <c r="B1266" s="1">
        <v>7.6902999999999997E-3</v>
      </c>
      <c r="C1266" s="1">
        <v>9.7218999999999995E-4</v>
      </c>
      <c r="D1266" s="1">
        <v>3.0688E-2</v>
      </c>
      <c r="E1266" s="1">
        <v>6.7920999999999997E-3</v>
      </c>
      <c r="F1266" s="1">
        <v>5.5570999999999999E-7</v>
      </c>
      <c r="G1266" s="1">
        <v>6.7289000000000003</v>
      </c>
      <c r="H1266" s="1">
        <v>1.9058999999999999E-7</v>
      </c>
      <c r="I1266" s="1">
        <f t="shared" si="171"/>
        <v>1.9058999999999999E-7</v>
      </c>
      <c r="J1266" s="4">
        <f t="shared" si="172"/>
        <v>-1.2394189663439491E-8</v>
      </c>
      <c r="K1266" s="4">
        <f t="shared" si="173"/>
        <v>-2.0807378986278136E-8</v>
      </c>
      <c r="L1266" s="4">
        <f t="shared" si="174"/>
        <v>-6.2784655068010438E-9</v>
      </c>
      <c r="M1266" s="4">
        <f t="shared" si="176"/>
        <v>-6.6999670312622943E-9</v>
      </c>
      <c r="N1266" s="5">
        <f t="shared" si="177"/>
        <v>4.0023863048118189E-7</v>
      </c>
      <c r="O1266" s="5">
        <f t="shared" si="178"/>
        <v>1.0653318539277243E-6</v>
      </c>
      <c r="P1266" s="5">
        <f t="shared" si="179"/>
        <v>3.3442951559109405E-7</v>
      </c>
      <c r="Q1266" s="1">
        <f t="shared" si="175"/>
        <v>1.8000000000000001E-6</v>
      </c>
    </row>
    <row r="1267" spans="1:17" x14ac:dyDescent="0.25">
      <c r="A1267" s="1">
        <v>63.25</v>
      </c>
      <c r="B1267" s="1">
        <v>7.6765000000000002E-3</v>
      </c>
      <c r="C1267" s="1">
        <v>9.6805999999999997E-4</v>
      </c>
      <c r="D1267" s="1">
        <v>3.0696999999999999E-2</v>
      </c>
      <c r="E1267" s="1">
        <v>6.7735E-3</v>
      </c>
      <c r="F1267" s="1">
        <v>5.5344999999999997E-7</v>
      </c>
      <c r="G1267" s="1">
        <v>6.7287999999999997</v>
      </c>
      <c r="H1267" s="1">
        <v>1.9063000000000001E-7</v>
      </c>
      <c r="I1267" s="1">
        <f t="shared" si="171"/>
        <v>1.9063000000000001E-7</v>
      </c>
      <c r="J1267" s="4">
        <f t="shared" si="172"/>
        <v>-1.2359913397893489E-8</v>
      </c>
      <c r="K1267" s="4">
        <f t="shared" si="173"/>
        <v>-2.0773971151589442E-8</v>
      </c>
      <c r="L1267" s="4">
        <f t="shared" si="174"/>
        <v>-6.269304787169643E-9</v>
      </c>
      <c r="M1267" s="4">
        <f t="shared" si="176"/>
        <v>-6.692586744532814E-9</v>
      </c>
      <c r="N1267" s="5">
        <f t="shared" si="177"/>
        <v>4.0238338344770818E-7</v>
      </c>
      <c r="O1267" s="5">
        <f t="shared" si="178"/>
        <v>1.0636103829185611E-6</v>
      </c>
      <c r="P1267" s="5">
        <f t="shared" si="179"/>
        <v>3.3400623363373089E-7</v>
      </c>
      <c r="Q1267" s="1">
        <f t="shared" si="175"/>
        <v>1.8000000000000003E-6</v>
      </c>
    </row>
    <row r="1268" spans="1:17" x14ac:dyDescent="0.25">
      <c r="A1268" s="1">
        <v>63.3</v>
      </c>
      <c r="B1268" s="1">
        <v>7.6626000000000003E-3</v>
      </c>
      <c r="C1268" s="1">
        <v>9.6394999999999998E-4</v>
      </c>
      <c r="D1268" s="1">
        <v>3.0706000000000001E-2</v>
      </c>
      <c r="E1268" s="1">
        <v>6.7549999999999997E-3</v>
      </c>
      <c r="F1268" s="1">
        <v>5.5120000000000001E-7</v>
      </c>
      <c r="G1268" s="1">
        <v>6.7286999999999999</v>
      </c>
      <c r="H1268" s="1">
        <v>1.9065999999999999E-7</v>
      </c>
      <c r="I1268" s="1">
        <f t="shared" si="171"/>
        <v>1.9065999999999999E-7</v>
      </c>
      <c r="J1268" s="4">
        <f t="shared" si="172"/>
        <v>-1.2325280780133026E-8</v>
      </c>
      <c r="K1268" s="4">
        <f t="shared" si="173"/>
        <v>-2.0740402466910764E-8</v>
      </c>
      <c r="L1268" s="4">
        <f t="shared" si="174"/>
        <v>-6.2600768066050926E-9</v>
      </c>
      <c r="M1268" s="4">
        <f t="shared" si="176"/>
        <v>-6.6855188733474234E-9</v>
      </c>
      <c r="N1268" s="5">
        <f t="shared" si="177"/>
        <v>4.045384283278808E-7</v>
      </c>
      <c r="O1268" s="5">
        <f t="shared" si="178"/>
        <v>1.0618807801051309E-6</v>
      </c>
      <c r="P1268" s="5">
        <f t="shared" si="179"/>
        <v>3.3358079156698857E-7</v>
      </c>
      <c r="Q1268" s="1">
        <f t="shared" si="175"/>
        <v>1.8000000000000001E-6</v>
      </c>
    </row>
    <row r="1269" spans="1:17" x14ac:dyDescent="0.25">
      <c r="A1269" s="1">
        <v>63.35</v>
      </c>
      <c r="B1269" s="1">
        <v>7.6487999999999999E-3</v>
      </c>
      <c r="C1269" s="1">
        <v>9.5985000000000005E-4</v>
      </c>
      <c r="D1269" s="1">
        <v>3.0714999999999999E-2</v>
      </c>
      <c r="E1269" s="1">
        <v>6.7365000000000003E-3</v>
      </c>
      <c r="F1269" s="1">
        <v>5.4896000000000001E-7</v>
      </c>
      <c r="G1269" s="1">
        <v>6.7286000000000001</v>
      </c>
      <c r="H1269" s="1">
        <v>1.9069E-7</v>
      </c>
      <c r="I1269" s="1">
        <f t="shared" si="171"/>
        <v>1.9069E-7</v>
      </c>
      <c r="J1269" s="4">
        <f t="shared" si="172"/>
        <v>-1.2290744782992403E-8</v>
      </c>
      <c r="K1269" s="4">
        <f t="shared" si="173"/>
        <v>-2.070667521205182E-8</v>
      </c>
      <c r="L1269" s="4">
        <f t="shared" si="174"/>
        <v>-6.2508984250330495E-9</v>
      </c>
      <c r="M1269" s="4">
        <f t="shared" si="176"/>
        <v>-6.6780539406175833E-9</v>
      </c>
      <c r="N1269" s="5">
        <f t="shared" si="177"/>
        <v>4.0670346033190717E-7</v>
      </c>
      <c r="O1269" s="5">
        <f t="shared" si="178"/>
        <v>1.060142903616689E-6</v>
      </c>
      <c r="P1269" s="5">
        <f t="shared" si="179"/>
        <v>3.3315363605140404E-7</v>
      </c>
      <c r="Q1269" s="1">
        <f t="shared" si="175"/>
        <v>1.8000000000000003E-6</v>
      </c>
    </row>
    <row r="1270" spans="1:17" x14ac:dyDescent="0.25">
      <c r="A1270" s="1">
        <v>63.4</v>
      </c>
      <c r="B1270" s="1">
        <v>7.6350999999999997E-3</v>
      </c>
      <c r="C1270" s="1">
        <v>9.5576000000000005E-4</v>
      </c>
      <c r="D1270" s="1">
        <v>3.0724000000000001E-2</v>
      </c>
      <c r="E1270" s="1">
        <v>6.718E-3</v>
      </c>
      <c r="F1270" s="1">
        <v>5.4672000000000001E-7</v>
      </c>
      <c r="G1270" s="1">
        <v>6.7286000000000001</v>
      </c>
      <c r="H1270" s="1">
        <v>1.9072E-7</v>
      </c>
      <c r="I1270" s="1">
        <f t="shared" si="171"/>
        <v>1.9072E-7</v>
      </c>
      <c r="J1270" s="4">
        <f t="shared" si="172"/>
        <v>-1.2256296788223796E-8</v>
      </c>
      <c r="K1270" s="4">
        <f t="shared" si="173"/>
        <v>-2.0672786620524261E-8</v>
      </c>
      <c r="L1270" s="4">
        <f t="shared" si="174"/>
        <v>-6.2416725217239652E-9</v>
      </c>
      <c r="M1270" s="4">
        <f t="shared" si="176"/>
        <v>-6.6705520201570549E-9</v>
      </c>
      <c r="N1270" s="5">
        <f t="shared" si="177"/>
        <v>4.0887827764248364E-7</v>
      </c>
      <c r="O1270" s="5">
        <f t="shared" si="178"/>
        <v>1.0583969658045456E-6</v>
      </c>
      <c r="P1270" s="5">
        <f t="shared" si="179"/>
        <v>3.3272475655297098E-7</v>
      </c>
      <c r="Q1270" s="1">
        <f t="shared" si="175"/>
        <v>1.8000000000000001E-6</v>
      </c>
    </row>
    <row r="1271" spans="1:17" x14ac:dyDescent="0.25">
      <c r="A1271" s="1">
        <v>63.45</v>
      </c>
      <c r="B1271" s="1">
        <v>7.6213000000000001E-3</v>
      </c>
      <c r="C1271" s="1">
        <v>9.5168E-4</v>
      </c>
      <c r="D1271" s="1">
        <v>3.0733E-2</v>
      </c>
      <c r="E1271" s="1">
        <v>6.6996E-3</v>
      </c>
      <c r="F1271" s="1">
        <v>5.4448000000000002E-7</v>
      </c>
      <c r="G1271" s="1">
        <v>6.7285000000000004</v>
      </c>
      <c r="H1271" s="1">
        <v>1.9076E-7</v>
      </c>
      <c r="I1271" s="1">
        <f t="shared" si="171"/>
        <v>1.9076E-7</v>
      </c>
      <c r="J1271" s="4">
        <f t="shared" si="172"/>
        <v>-1.2221484503718982E-8</v>
      </c>
      <c r="K1271" s="4">
        <f t="shared" si="173"/>
        <v>-2.0638740833190398E-8</v>
      </c>
      <c r="L1271" s="4">
        <f t="shared" si="174"/>
        <v>-6.2322820002621845E-9</v>
      </c>
      <c r="M1271" s="4">
        <f t="shared" si="176"/>
        <v>-6.6630128848277438E-9</v>
      </c>
      <c r="N1271" s="5">
        <f t="shared" si="177"/>
        <v>4.1106325197169287E-7</v>
      </c>
      <c r="O1271" s="5">
        <f t="shared" si="178"/>
        <v>1.0566427223599019E-6</v>
      </c>
      <c r="P1271" s="5">
        <f t="shared" si="179"/>
        <v>3.3229402566840546E-7</v>
      </c>
      <c r="Q1271" s="1">
        <f t="shared" si="175"/>
        <v>1.8000000000000001E-6</v>
      </c>
    </row>
    <row r="1272" spans="1:17" x14ac:dyDescent="0.25">
      <c r="A1272" s="1">
        <v>63.5</v>
      </c>
      <c r="B1272" s="1">
        <v>7.6076E-3</v>
      </c>
      <c r="C1272" s="1">
        <v>9.4760999999999999E-4</v>
      </c>
      <c r="D1272" s="1">
        <v>3.0741999999999998E-2</v>
      </c>
      <c r="E1272" s="1">
        <v>6.6813000000000003E-3</v>
      </c>
      <c r="F1272" s="1">
        <v>5.4224999999999998E-7</v>
      </c>
      <c r="G1272" s="1">
        <v>6.7283999999999997</v>
      </c>
      <c r="H1272" s="1">
        <v>1.9079E-7</v>
      </c>
      <c r="I1272" s="1">
        <f t="shared" si="171"/>
        <v>1.9079E-7</v>
      </c>
      <c r="J1272" s="4">
        <f t="shared" si="172"/>
        <v>-1.2186318291717091E-8</v>
      </c>
      <c r="K1272" s="4">
        <f t="shared" si="173"/>
        <v>-2.0604533086016915E-8</v>
      </c>
      <c r="L1272" s="4">
        <f t="shared" si="174"/>
        <v>-6.2228245447551704E-9</v>
      </c>
      <c r="M1272" s="4">
        <f t="shared" si="176"/>
        <v>-6.6557828753326491E-9</v>
      </c>
      <c r="N1272" s="5">
        <f t="shared" si="177"/>
        <v>4.1325864222123752E-7</v>
      </c>
      <c r="O1272" s="5">
        <f t="shared" si="178"/>
        <v>1.0548802904409348E-6</v>
      </c>
      <c r="P1272" s="5">
        <f t="shared" si="179"/>
        <v>3.3186106733782799E-7</v>
      </c>
      <c r="Q1272" s="1">
        <f t="shared" si="175"/>
        <v>1.8000000000000003E-6</v>
      </c>
    </row>
    <row r="1273" spans="1:17" x14ac:dyDescent="0.25">
      <c r="A1273" s="1">
        <v>63.55</v>
      </c>
      <c r="B1273" s="1">
        <v>7.5940000000000001E-3</v>
      </c>
      <c r="C1273" s="1">
        <v>9.4355000000000003E-4</v>
      </c>
      <c r="D1273" s="1">
        <v>3.0751000000000001E-2</v>
      </c>
      <c r="E1273" s="1">
        <v>6.6629000000000002E-3</v>
      </c>
      <c r="F1273" s="1">
        <v>5.4003E-7</v>
      </c>
      <c r="G1273" s="1">
        <v>6.7282999999999999</v>
      </c>
      <c r="H1273" s="1">
        <v>1.9082000000000001E-7</v>
      </c>
      <c r="I1273" s="1">
        <f t="shared" si="171"/>
        <v>1.9082000000000001E-7</v>
      </c>
      <c r="J1273" s="4">
        <f t="shared" si="172"/>
        <v>-1.2151253069417978E-8</v>
      </c>
      <c r="K1273" s="4">
        <f t="shared" si="173"/>
        <v>-2.0570165663597061E-8</v>
      </c>
      <c r="L1273" s="4">
        <f t="shared" si="174"/>
        <v>-6.2134180470394602E-9</v>
      </c>
      <c r="M1273" s="4">
        <f t="shared" si="176"/>
        <v>-6.6481561689249638E-9</v>
      </c>
      <c r="N1273" s="5">
        <f t="shared" si="177"/>
        <v>4.1546413676837716E-7</v>
      </c>
      <c r="O1273" s="5">
        <f t="shared" si="178"/>
        <v>1.0531095340156805E-6</v>
      </c>
      <c r="P1273" s="5">
        <f t="shared" si="179"/>
        <v>3.314263292159425E-7</v>
      </c>
      <c r="Q1273" s="1">
        <f t="shared" si="175"/>
        <v>1.8000000000000001E-6</v>
      </c>
    </row>
    <row r="1274" spans="1:17" x14ac:dyDescent="0.25">
      <c r="A1274" s="1">
        <v>63.6</v>
      </c>
      <c r="B1274" s="1">
        <v>7.5804000000000002E-3</v>
      </c>
      <c r="C1274" s="1">
        <v>9.3950999999999995E-4</v>
      </c>
      <c r="D1274" s="1">
        <v>3.0759999999999999E-2</v>
      </c>
      <c r="E1274" s="1">
        <v>6.6446999999999999E-3</v>
      </c>
      <c r="F1274" s="1">
        <v>5.3781000000000002E-7</v>
      </c>
      <c r="G1274" s="1">
        <v>6.7282000000000002</v>
      </c>
      <c r="H1274" s="1">
        <v>1.9084999999999999E-7</v>
      </c>
      <c r="I1274" s="1">
        <f t="shared" si="171"/>
        <v>1.9084999999999999E-7</v>
      </c>
      <c r="J1274" s="4">
        <f t="shared" si="172"/>
        <v>-1.2116280369361812E-8</v>
      </c>
      <c r="K1274" s="4">
        <f t="shared" si="173"/>
        <v>-2.053563591330752E-8</v>
      </c>
      <c r="L1274" s="4">
        <f t="shared" si="174"/>
        <v>-6.2038718693968198E-9</v>
      </c>
      <c r="M1274" s="4">
        <f t="shared" si="176"/>
        <v>-6.6404910748041129E-9</v>
      </c>
      <c r="N1274" s="5">
        <f t="shared" si="177"/>
        <v>4.1767962044292599E-7</v>
      </c>
      <c r="O1274" s="5">
        <f t="shared" si="178"/>
        <v>1.0513306695465389E-6</v>
      </c>
      <c r="P1274" s="5">
        <f t="shared" si="179"/>
        <v>3.3098971001053522E-7</v>
      </c>
      <c r="Q1274" s="1">
        <f t="shared" si="175"/>
        <v>1.8000000000000001E-6</v>
      </c>
    </row>
    <row r="1275" spans="1:17" x14ac:dyDescent="0.25">
      <c r="A1275" s="1">
        <v>63.65</v>
      </c>
      <c r="B1275" s="1">
        <v>7.5668000000000003E-3</v>
      </c>
      <c r="C1275" s="1">
        <v>9.3548000000000004E-4</v>
      </c>
      <c r="D1275" s="1">
        <v>3.0768E-2</v>
      </c>
      <c r="E1275" s="1">
        <v>6.6264999999999996E-3</v>
      </c>
      <c r="F1275" s="1">
        <v>5.356E-7</v>
      </c>
      <c r="G1275" s="1">
        <v>6.7282000000000002</v>
      </c>
      <c r="H1275" s="1">
        <v>1.9088E-7</v>
      </c>
      <c r="I1275" s="1">
        <f t="shared" si="171"/>
        <v>1.9088E-7</v>
      </c>
      <c r="J1275" s="4">
        <f t="shared" si="172"/>
        <v>-1.2080948471610638E-8</v>
      </c>
      <c r="K1275" s="4">
        <f t="shared" si="173"/>
        <v>-2.0500948056156345E-8</v>
      </c>
      <c r="L1275" s="4">
        <f t="shared" si="174"/>
        <v>-6.1943484684859226E-9</v>
      </c>
      <c r="M1275" s="4">
        <f t="shared" si="176"/>
        <v>-6.6327855463282412E-9</v>
      </c>
      <c r="N1275" s="5">
        <f t="shared" si="177"/>
        <v>4.1990527155898579E-7</v>
      </c>
      <c r="O1275" s="5">
        <f t="shared" si="178"/>
        <v>1.0495434555083215E-6</v>
      </c>
      <c r="P1275" s="5">
        <f t="shared" si="179"/>
        <v>3.3055127293269287E-7</v>
      </c>
      <c r="Q1275" s="1">
        <f t="shared" si="175"/>
        <v>1.8000000000000001E-6</v>
      </c>
    </row>
    <row r="1276" spans="1:17" x14ac:dyDescent="0.25">
      <c r="A1276" s="1">
        <v>63.7</v>
      </c>
      <c r="B1276" s="1">
        <v>7.5532000000000004E-3</v>
      </c>
      <c r="C1276" s="1">
        <v>9.3145999999999995E-4</v>
      </c>
      <c r="D1276" s="1">
        <v>3.0776999999999999E-2</v>
      </c>
      <c r="E1276" s="1">
        <v>6.6083000000000001E-3</v>
      </c>
      <c r="F1276" s="1">
        <v>5.3340000000000005E-7</v>
      </c>
      <c r="G1276" s="1">
        <v>6.7281000000000004</v>
      </c>
      <c r="H1276" s="1">
        <v>1.9091999999999999E-7</v>
      </c>
      <c r="I1276" s="1">
        <f t="shared" si="171"/>
        <v>1.9091999999999999E-7</v>
      </c>
      <c r="J1276" s="4">
        <f t="shared" si="172"/>
        <v>-1.2045711670221961E-8</v>
      </c>
      <c r="K1276" s="4">
        <f t="shared" si="173"/>
        <v>-2.0466097382414012E-8</v>
      </c>
      <c r="L1276" s="4">
        <f t="shared" si="174"/>
        <v>-6.184779122261243E-9</v>
      </c>
      <c r="M1276" s="4">
        <f t="shared" si="176"/>
        <v>-6.625040832626769E-9</v>
      </c>
      <c r="N1276" s="5">
        <f t="shared" si="177"/>
        <v>4.2214087814891655E-7</v>
      </c>
      <c r="O1276" s="5">
        <f t="shared" si="178"/>
        <v>1.0477481106287561E-6</v>
      </c>
      <c r="P1276" s="5">
        <f t="shared" si="179"/>
        <v>3.3011101122232735E-7</v>
      </c>
      <c r="Q1276" s="1">
        <f t="shared" si="175"/>
        <v>1.8000000000000001E-6</v>
      </c>
    </row>
    <row r="1277" spans="1:17" x14ac:dyDescent="0.25">
      <c r="A1277" s="1">
        <v>63.75</v>
      </c>
      <c r="B1277" s="1">
        <v>7.5396999999999999E-3</v>
      </c>
      <c r="C1277" s="1">
        <v>9.2745000000000002E-4</v>
      </c>
      <c r="D1277" s="1">
        <v>3.0786000000000001E-2</v>
      </c>
      <c r="E1277" s="1">
        <v>6.5902000000000001E-3</v>
      </c>
      <c r="F1277" s="1">
        <v>5.3119000000000003E-7</v>
      </c>
      <c r="G1277" s="1">
        <v>6.7279999999999998</v>
      </c>
      <c r="H1277" s="1">
        <v>1.9095E-7</v>
      </c>
      <c r="I1277" s="1">
        <f t="shared" si="171"/>
        <v>1.9095E-7</v>
      </c>
      <c r="J1277" s="4">
        <f t="shared" si="172"/>
        <v>-1.2010564834542395E-8</v>
      </c>
      <c r="K1277" s="4">
        <f t="shared" si="173"/>
        <v>-2.0431088157259585E-8</v>
      </c>
      <c r="L1277" s="4">
        <f t="shared" si="174"/>
        <v>-6.1751607559775403E-9</v>
      </c>
      <c r="M1277" s="4">
        <f t="shared" si="176"/>
        <v>-6.6176033975691315E-9</v>
      </c>
      <c r="N1277" s="5">
        <f t="shared" si="177"/>
        <v>4.243862407156562E-7</v>
      </c>
      <c r="O1277" s="5">
        <f t="shared" si="178"/>
        <v>1.0459451907036081E-6</v>
      </c>
      <c r="P1277" s="5">
        <f t="shared" si="179"/>
        <v>3.2966856858073575E-7</v>
      </c>
      <c r="Q1277" s="1">
        <f t="shared" si="175"/>
        <v>1.8000000000000001E-6</v>
      </c>
    </row>
    <row r="1278" spans="1:17" x14ac:dyDescent="0.25">
      <c r="A1278" s="1">
        <v>63.8</v>
      </c>
      <c r="B1278" s="1">
        <v>7.5262000000000003E-3</v>
      </c>
      <c r="C1278" s="1">
        <v>9.2345000000000003E-4</v>
      </c>
      <c r="D1278" s="1">
        <v>3.0794999999999999E-2</v>
      </c>
      <c r="E1278" s="1">
        <v>6.5721E-3</v>
      </c>
      <c r="F1278" s="1">
        <v>5.2900000000000004E-7</v>
      </c>
      <c r="G1278" s="1">
        <v>6.7279</v>
      </c>
      <c r="H1278" s="1">
        <v>1.9098000000000001E-7</v>
      </c>
      <c r="I1278" s="1">
        <f t="shared" si="171"/>
        <v>1.9098000000000001E-7</v>
      </c>
      <c r="J1278" s="4">
        <f t="shared" si="172"/>
        <v>-1.1974601679441526E-8</v>
      </c>
      <c r="K1278" s="4">
        <f t="shared" si="173"/>
        <v>-2.0395931218719197E-8</v>
      </c>
      <c r="L1278" s="4">
        <f t="shared" si="174"/>
        <v>-6.165352001159669E-9</v>
      </c>
      <c r="M1278" s="4">
        <f t="shared" si="176"/>
        <v>-6.6097723829012308E-9</v>
      </c>
      <c r="N1278" s="5">
        <f t="shared" si="177"/>
        <v>4.2664221825377421E-7</v>
      </c>
      <c r="O1278" s="5">
        <f t="shared" si="178"/>
        <v>1.0441336335472316E-6</v>
      </c>
      <c r="P1278" s="5">
        <f t="shared" si="179"/>
        <v>3.2922414819899418E-7</v>
      </c>
      <c r="Q1278" s="1">
        <f t="shared" si="175"/>
        <v>1.7999999999999999E-6</v>
      </c>
    </row>
    <row r="1279" spans="1:17" x14ac:dyDescent="0.25">
      <c r="A1279" s="1">
        <v>63.85</v>
      </c>
      <c r="B1279" s="1">
        <v>7.5128E-3</v>
      </c>
      <c r="C1279" s="1">
        <v>9.1945999999999998E-4</v>
      </c>
      <c r="D1279" s="1">
        <v>3.0804000000000002E-2</v>
      </c>
      <c r="E1279" s="1">
        <v>6.5541000000000002E-3</v>
      </c>
      <c r="F1279" s="1">
        <v>5.2681000000000004E-7</v>
      </c>
      <c r="G1279" s="1">
        <v>6.7279</v>
      </c>
      <c r="H1279" s="1">
        <v>1.9100999999999999E-7</v>
      </c>
      <c r="I1279" s="1">
        <f t="shared" si="171"/>
        <v>1.9100999999999999E-7</v>
      </c>
      <c r="J1279" s="4">
        <f t="shared" si="172"/>
        <v>-1.1939198499836462E-8</v>
      </c>
      <c r="K1279" s="4">
        <f t="shared" si="173"/>
        <v>-2.0360605854172753E-8</v>
      </c>
      <c r="L1279" s="4">
        <f t="shared" si="174"/>
        <v>-6.1556194104388871E-9</v>
      </c>
      <c r="M1279" s="4">
        <f t="shared" si="176"/>
        <v>-6.6018989214201738E-9</v>
      </c>
      <c r="N1279" s="5">
        <f t="shared" si="177"/>
        <v>4.2890800619767162E-7</v>
      </c>
      <c r="O1279" s="5">
        <f t="shared" si="178"/>
        <v>1.0423141251143154E-6</v>
      </c>
      <c r="P1279" s="5">
        <f t="shared" si="179"/>
        <v>3.2877786868801289E-7</v>
      </c>
      <c r="Q1279" s="1">
        <f t="shared" si="175"/>
        <v>1.8000000000000001E-6</v>
      </c>
    </row>
    <row r="1280" spans="1:17" x14ac:dyDescent="0.25">
      <c r="A1280" s="1">
        <v>63.9</v>
      </c>
      <c r="B1280" s="1">
        <v>7.4993999999999998E-3</v>
      </c>
      <c r="C1280" s="1">
        <v>9.1549000000000003E-4</v>
      </c>
      <c r="D1280" s="1">
        <v>3.0811999999999999E-2</v>
      </c>
      <c r="E1280" s="1">
        <v>6.5361000000000004E-3</v>
      </c>
      <c r="F1280" s="1">
        <v>5.2462000000000005E-7</v>
      </c>
      <c r="G1280" s="1">
        <v>6.7278000000000002</v>
      </c>
      <c r="H1280" s="1">
        <v>1.9104E-7</v>
      </c>
      <c r="I1280" s="1">
        <f t="shared" si="171"/>
        <v>1.9104E-7</v>
      </c>
      <c r="J1280" s="4">
        <f t="shared" si="172"/>
        <v>-1.1903431401952427E-8</v>
      </c>
      <c r="K1280" s="4">
        <f t="shared" si="173"/>
        <v>-2.0325125439727995E-8</v>
      </c>
      <c r="L1280" s="4">
        <f t="shared" si="174"/>
        <v>-6.1458127402455545E-9</v>
      </c>
      <c r="M1280" s="4">
        <f t="shared" si="176"/>
        <v>-6.5939853732998453E-9</v>
      </c>
      <c r="N1280" s="5">
        <f t="shared" si="177"/>
        <v>4.3118388749520166E-7</v>
      </c>
      <c r="O1280" s="5">
        <f t="shared" si="178"/>
        <v>1.0404864164498396E-6</v>
      </c>
      <c r="P1280" s="5">
        <f t="shared" si="179"/>
        <v>3.2832969605495861E-7</v>
      </c>
      <c r="Q1280" s="1">
        <f t="shared" si="175"/>
        <v>1.7999999999999997E-6</v>
      </c>
    </row>
    <row r="1281" spans="1:17" x14ac:dyDescent="0.25">
      <c r="A1281" s="1">
        <v>63.95</v>
      </c>
      <c r="B1281" s="1">
        <v>7.4859999999999996E-3</v>
      </c>
      <c r="C1281" s="1">
        <v>9.1151999999999997E-4</v>
      </c>
      <c r="D1281" s="1">
        <v>3.0821000000000001E-2</v>
      </c>
      <c r="E1281" s="1">
        <v>6.5182E-3</v>
      </c>
      <c r="F1281" s="1">
        <v>5.2244999999999997E-7</v>
      </c>
      <c r="G1281" s="1">
        <v>6.7276999999999996</v>
      </c>
      <c r="H1281" s="1">
        <v>1.9107E-7</v>
      </c>
      <c r="I1281" s="1">
        <f t="shared" si="171"/>
        <v>1.9107E-7</v>
      </c>
      <c r="J1281" s="4">
        <f t="shared" si="172"/>
        <v>-1.1867307888271785E-8</v>
      </c>
      <c r="K1281" s="4">
        <f t="shared" si="173"/>
        <v>-2.02894851207736E-8</v>
      </c>
      <c r="L1281" s="4">
        <f t="shared" si="174"/>
        <v>-6.1358417715186771E-9</v>
      </c>
      <c r="M1281" s="4">
        <f t="shared" si="176"/>
        <v>-6.5860310391061879E-9</v>
      </c>
      <c r="N1281" s="5">
        <f t="shared" si="177"/>
        <v>4.3347022295618478E-7</v>
      </c>
      <c r="O1281" s="5">
        <f t="shared" si="178"/>
        <v>1.0386502702564438E-6</v>
      </c>
      <c r="P1281" s="5">
        <f t="shared" si="179"/>
        <v>3.2787950678737107E-7</v>
      </c>
      <c r="Q1281" s="1">
        <f t="shared" si="175"/>
        <v>1.7999999999999997E-6</v>
      </c>
    </row>
    <row r="1282" spans="1:17" x14ac:dyDescent="0.25">
      <c r="A1282" s="1">
        <v>64</v>
      </c>
      <c r="B1282" s="1">
        <v>7.4726999999999997E-3</v>
      </c>
      <c r="C1282" s="1">
        <v>9.0757000000000001E-4</v>
      </c>
      <c r="D1282" s="1">
        <v>3.083E-2</v>
      </c>
      <c r="E1282" s="1">
        <v>6.5002999999999997E-3</v>
      </c>
      <c r="F1282" s="1">
        <v>5.2027000000000004E-7</v>
      </c>
      <c r="G1282" s="1">
        <v>6.7275999999999998</v>
      </c>
      <c r="H1282" s="1">
        <v>1.9111E-7</v>
      </c>
      <c r="I1282" s="1">
        <f t="shared" si="171"/>
        <v>1.9111E-7</v>
      </c>
      <c r="J1282" s="4">
        <f t="shared" si="172"/>
        <v>-1.1831743232045126E-8</v>
      </c>
      <c r="K1282" s="4">
        <f t="shared" si="173"/>
        <v>-2.0253680269999505E-8</v>
      </c>
      <c r="L1282" s="4">
        <f t="shared" si="174"/>
        <v>-6.126039338706742E-9</v>
      </c>
      <c r="M1282" s="4">
        <f t="shared" si="176"/>
        <v>-6.5780334229952407E-9</v>
      </c>
      <c r="N1282" s="5">
        <f t="shared" si="177"/>
        <v>4.357661206554324E-7</v>
      </c>
      <c r="O1282" s="5">
        <f t="shared" si="178"/>
        <v>1.0368063666414847E-6</v>
      </c>
      <c r="P1282" s="5">
        <f t="shared" si="179"/>
        <v>3.274275127030826E-7</v>
      </c>
      <c r="Q1282" s="1">
        <f t="shared" si="175"/>
        <v>1.7999999999999997E-6</v>
      </c>
    </row>
    <row r="1283" spans="1:17" x14ac:dyDescent="0.25">
      <c r="A1283" s="1">
        <v>64.05</v>
      </c>
      <c r="B1283" s="1">
        <v>7.4593999999999997E-3</v>
      </c>
      <c r="C1283" s="1">
        <v>9.0362999999999999E-4</v>
      </c>
      <c r="D1283" s="1">
        <v>3.0838000000000001E-2</v>
      </c>
      <c r="E1283" s="1">
        <v>6.4825000000000004E-3</v>
      </c>
      <c r="F1283" s="1">
        <v>5.1809999999999996E-7</v>
      </c>
      <c r="G1283" s="1">
        <v>6.7275</v>
      </c>
      <c r="H1283" s="1">
        <v>1.9114E-7</v>
      </c>
      <c r="I1283" s="1">
        <f t="shared" ref="I1283:I1346" si="180">H1283</f>
        <v>1.9114E-7</v>
      </c>
      <c r="J1283" s="4">
        <f t="shared" ref="J1283:J1346" si="181">(-$T$4*F1282^2*N1282)*(A1283-A1282)</f>
        <v>-1.1795355391925246E-8</v>
      </c>
      <c r="K1283" s="4">
        <f t="shared" ref="K1283:K1346" si="182">-O1282*$T$7*(A1283-A1282)</f>
        <v>-2.0217724149507804E-8</v>
      </c>
      <c r="L1283" s="4">
        <f t="shared" ref="L1283:L1346" si="183">-$T$5*F1282*E1282*(A1283-A1282)*N1282</f>
        <v>-6.1159474295009604E-9</v>
      </c>
      <c r="M1283" s="4">
        <f t="shared" si="176"/>
        <v>-6.5703405550316682E-9</v>
      </c>
      <c r="N1283" s="5">
        <f t="shared" si="177"/>
        <v>4.38072541983514E-7</v>
      </c>
      <c r="O1283" s="5">
        <f t="shared" si="178"/>
        <v>1.034954338438934E-6</v>
      </c>
      <c r="P1283" s="5">
        <f t="shared" si="179"/>
        <v>3.2697311957755186E-7</v>
      </c>
      <c r="Q1283" s="1">
        <f t="shared" ref="Q1283:Q1346" si="184">N1283+O1283+P1283</f>
        <v>1.7999999999999997E-6</v>
      </c>
    </row>
    <row r="1284" spans="1:17" x14ac:dyDescent="0.25">
      <c r="A1284" s="1">
        <v>64.099999999999994</v>
      </c>
      <c r="B1284" s="1">
        <v>7.4460999999999998E-3</v>
      </c>
      <c r="C1284" s="1">
        <v>8.9970000000000002E-4</v>
      </c>
      <c r="D1284" s="1">
        <v>3.0846999999999999E-2</v>
      </c>
      <c r="E1284" s="1">
        <v>6.4647000000000003E-3</v>
      </c>
      <c r="F1284" s="1">
        <v>5.1594000000000005E-7</v>
      </c>
      <c r="G1284" s="1">
        <v>6.7275</v>
      </c>
      <c r="H1284" s="1">
        <v>1.9117000000000001E-7</v>
      </c>
      <c r="I1284" s="1">
        <f t="shared" si="180"/>
        <v>1.9117000000000001E-7</v>
      </c>
      <c r="J1284" s="4">
        <f t="shared" si="181"/>
        <v>-1.1759076545125263E-8</v>
      </c>
      <c r="K1284" s="4">
        <f t="shared" si="182"/>
        <v>-2.0181609599558067E-8</v>
      </c>
      <c r="L1284" s="4">
        <f t="shared" si="183"/>
        <v>-6.1059078724312735E-9</v>
      </c>
      <c r="M1284" s="4">
        <f t="shared" ref="M1284:M1347" si="185">-P1283*$T$8*I1283*(A1284-A1283)</f>
        <v>-6.5622524179852198E-9</v>
      </c>
      <c r="N1284" s="5">
        <f t="shared" ref="N1284:N1347" si="186">N1283+J1284-K1284+L1284</f>
        <v>4.4038916716551557E-7</v>
      </c>
      <c r="O1284" s="5">
        <f t="shared" ref="O1284:O1347" si="187">-J1284+O1283+K1284-M1284</f>
        <v>1.0330940578024865E-6</v>
      </c>
      <c r="P1284" s="5">
        <f t="shared" ref="P1284:P1347" si="188">P1283-L1284+M1284</f>
        <v>3.2651677503199788E-7</v>
      </c>
      <c r="Q1284" s="1">
        <f t="shared" si="184"/>
        <v>1.7999999999999999E-6</v>
      </c>
    </row>
    <row r="1285" spans="1:17" x14ac:dyDescent="0.25">
      <c r="A1285" s="1">
        <v>64.150000000000006</v>
      </c>
      <c r="B1285" s="1">
        <v>7.4327999999999998E-3</v>
      </c>
      <c r="C1285" s="1">
        <v>8.9579000000000004E-4</v>
      </c>
      <c r="D1285" s="1">
        <v>3.0855E-2</v>
      </c>
      <c r="E1285" s="1">
        <v>6.4469000000000002E-3</v>
      </c>
      <c r="F1285" s="1">
        <v>5.1379E-7</v>
      </c>
      <c r="G1285" s="1">
        <v>6.7274000000000003</v>
      </c>
      <c r="H1285" s="1">
        <v>1.9119999999999999E-7</v>
      </c>
      <c r="I1285" s="1">
        <f t="shared" si="180"/>
        <v>1.9119999999999999E-7</v>
      </c>
      <c r="J1285" s="4">
        <f t="shared" si="181"/>
        <v>-1.172289907810183E-8</v>
      </c>
      <c r="K1285" s="4">
        <f t="shared" si="182"/>
        <v>-2.0145334127153069E-8</v>
      </c>
      <c r="L1285" s="4">
        <f t="shared" si="183"/>
        <v>-6.0958223152178618E-9</v>
      </c>
      <c r="M1285" s="4">
        <f t="shared" si="185"/>
        <v>-6.5541222477025294E-9</v>
      </c>
      <c r="N1285" s="5">
        <f t="shared" si="186"/>
        <v>4.4271577989934896E-7</v>
      </c>
      <c r="O1285" s="5">
        <f t="shared" si="187"/>
        <v>1.0312257450011379E-6</v>
      </c>
      <c r="P1285" s="5">
        <f t="shared" si="188"/>
        <v>3.2605847509951321E-7</v>
      </c>
      <c r="Q1285" s="1">
        <f t="shared" si="184"/>
        <v>1.8000000000000001E-6</v>
      </c>
    </row>
    <row r="1286" spans="1:17" x14ac:dyDescent="0.25">
      <c r="A1286" s="1">
        <v>64.2</v>
      </c>
      <c r="B1286" s="1">
        <v>7.4196000000000002E-3</v>
      </c>
      <c r="C1286" s="1">
        <v>8.9187999999999995E-4</v>
      </c>
      <c r="D1286" s="1">
        <v>3.0863999999999999E-2</v>
      </c>
      <c r="E1286" s="1">
        <v>6.4292000000000004E-3</v>
      </c>
      <c r="F1286" s="1">
        <v>5.1164000000000005E-7</v>
      </c>
      <c r="G1286" s="1">
        <v>6.7272999999999996</v>
      </c>
      <c r="H1286" s="1">
        <v>1.9123E-7</v>
      </c>
      <c r="I1286" s="1">
        <f t="shared" si="180"/>
        <v>1.9123E-7</v>
      </c>
      <c r="J1286" s="4">
        <f t="shared" si="181"/>
        <v>-1.1686818422748296E-8</v>
      </c>
      <c r="K1286" s="4">
        <f t="shared" si="182"/>
        <v>-2.0108902027521047E-8</v>
      </c>
      <c r="L1286" s="4">
        <f t="shared" si="183"/>
        <v>-6.0856879505616388E-9</v>
      </c>
      <c r="M1286" s="4">
        <f t="shared" si="185"/>
        <v>-6.5459499460974546E-9</v>
      </c>
      <c r="N1286" s="5">
        <f t="shared" si="186"/>
        <v>4.4505217555356005E-7</v>
      </c>
      <c r="O1286" s="5">
        <f t="shared" si="187"/>
        <v>1.0293496113424625E-6</v>
      </c>
      <c r="P1286" s="5">
        <f t="shared" si="188"/>
        <v>3.255982131039774E-7</v>
      </c>
      <c r="Q1286" s="1">
        <f t="shared" si="184"/>
        <v>1.7999999999999999E-6</v>
      </c>
    </row>
    <row r="1287" spans="1:17" x14ac:dyDescent="0.25">
      <c r="A1287" s="1">
        <v>64.25</v>
      </c>
      <c r="B1287" s="1">
        <v>7.4064999999999999E-3</v>
      </c>
      <c r="C1287" s="1">
        <v>8.8798999999999996E-4</v>
      </c>
      <c r="D1287" s="1">
        <v>3.0872E-2</v>
      </c>
      <c r="E1287" s="1">
        <v>6.4115999999999999E-3</v>
      </c>
      <c r="F1287" s="1">
        <v>5.0948999999999999E-7</v>
      </c>
      <c r="G1287" s="1">
        <v>6.7271999999999998</v>
      </c>
      <c r="H1287" s="1">
        <v>1.9126000000000001E-7</v>
      </c>
      <c r="I1287" s="1">
        <f t="shared" si="180"/>
        <v>1.9126000000000001E-7</v>
      </c>
      <c r="J1287" s="4">
        <f t="shared" si="181"/>
        <v>-1.1650375115307171E-8</v>
      </c>
      <c r="K1287" s="4">
        <f t="shared" si="182"/>
        <v>-2.0072317421176877E-8</v>
      </c>
      <c r="L1287" s="4">
        <f t="shared" si="183"/>
        <v>-6.0754779829378365E-9</v>
      </c>
      <c r="M1287" s="4">
        <f t="shared" si="185"/>
        <v>-6.5377353606463567E-9</v>
      </c>
      <c r="N1287" s="5">
        <f t="shared" si="186"/>
        <v>4.4739863987649194E-7</v>
      </c>
      <c r="O1287" s="5">
        <f t="shared" si="187"/>
        <v>1.0274654043972392E-6</v>
      </c>
      <c r="P1287" s="5">
        <f t="shared" si="188"/>
        <v>3.2513595572626887E-7</v>
      </c>
      <c r="Q1287" s="1">
        <f t="shared" si="184"/>
        <v>1.7999999999999999E-6</v>
      </c>
    </row>
    <row r="1288" spans="1:17" x14ac:dyDescent="0.25">
      <c r="A1288" s="1">
        <v>64.3</v>
      </c>
      <c r="B1288" s="1">
        <v>7.3933000000000002E-3</v>
      </c>
      <c r="C1288" s="1">
        <v>8.8411000000000002E-4</v>
      </c>
      <c r="D1288" s="1">
        <v>3.0880999999999999E-2</v>
      </c>
      <c r="E1288" s="1">
        <v>6.3940000000000004E-3</v>
      </c>
      <c r="F1288" s="1">
        <v>5.0735E-7</v>
      </c>
      <c r="G1288" s="1">
        <v>6.7271999999999998</v>
      </c>
      <c r="H1288" s="1">
        <v>1.9128999999999999E-7</v>
      </c>
      <c r="I1288" s="1">
        <f t="shared" si="180"/>
        <v>1.9128999999999999E-7</v>
      </c>
      <c r="J1288" s="4">
        <f t="shared" si="181"/>
        <v>-1.1613576582779145E-8</v>
      </c>
      <c r="K1288" s="4">
        <f t="shared" si="182"/>
        <v>-2.0035575385745026E-8</v>
      </c>
      <c r="L1288" s="4">
        <f t="shared" si="183"/>
        <v>-6.0651960119984505E-9</v>
      </c>
      <c r="M1288" s="4">
        <f t="shared" si="185"/>
        <v>-6.5294778036812782E-9</v>
      </c>
      <c r="N1288" s="5">
        <f t="shared" si="186"/>
        <v>4.4975544266745938E-7</v>
      </c>
      <c r="O1288" s="5">
        <f t="shared" si="187"/>
        <v>1.0255728833979547E-6</v>
      </c>
      <c r="P1288" s="5">
        <f t="shared" si="188"/>
        <v>3.2467167393458602E-7</v>
      </c>
      <c r="Q1288" s="1">
        <f t="shared" si="184"/>
        <v>1.7999999999999999E-6</v>
      </c>
    </row>
    <row r="1289" spans="1:17" x14ac:dyDescent="0.25">
      <c r="A1289" s="1">
        <v>64.349999999999994</v>
      </c>
      <c r="B1289" s="1">
        <v>7.3802E-3</v>
      </c>
      <c r="C1289" s="1">
        <v>8.8024000000000002E-4</v>
      </c>
      <c r="D1289" s="1">
        <v>3.0889E-2</v>
      </c>
      <c r="E1289" s="1">
        <v>6.3763999999999999E-3</v>
      </c>
      <c r="F1289" s="1">
        <v>5.0521999999999997E-7</v>
      </c>
      <c r="G1289" s="1">
        <v>6.7271000000000001</v>
      </c>
      <c r="H1289" s="1">
        <v>1.9132E-7</v>
      </c>
      <c r="I1289" s="1">
        <f t="shared" si="180"/>
        <v>1.9132E-7</v>
      </c>
      <c r="J1289" s="4">
        <f t="shared" si="181"/>
        <v>-1.1576886008386559E-8</v>
      </c>
      <c r="K1289" s="4">
        <f t="shared" si="182"/>
        <v>-1.9998671226258981E-8</v>
      </c>
      <c r="L1289" s="4">
        <f t="shared" si="183"/>
        <v>-6.0548699698657377E-9</v>
      </c>
      <c r="M1289" s="4">
        <f t="shared" si="185"/>
        <v>-6.521176673229059E-9</v>
      </c>
      <c r="N1289" s="5">
        <f t="shared" si="186"/>
        <v>4.5212235791546604E-7</v>
      </c>
      <c r="O1289" s="5">
        <f t="shared" si="187"/>
        <v>1.0236722748533112E-6</v>
      </c>
      <c r="P1289" s="5">
        <f t="shared" si="188"/>
        <v>3.2420536723122273E-7</v>
      </c>
      <c r="Q1289" s="1">
        <f t="shared" si="184"/>
        <v>1.7999999999999999E-6</v>
      </c>
    </row>
    <row r="1290" spans="1:17" x14ac:dyDescent="0.25">
      <c r="A1290" s="1">
        <v>64.400000000000006</v>
      </c>
      <c r="B1290" s="1">
        <v>7.3672E-3</v>
      </c>
      <c r="C1290" s="1">
        <v>8.7637999999999995E-4</v>
      </c>
      <c r="D1290" s="1">
        <v>3.0897999999999998E-2</v>
      </c>
      <c r="E1290" s="1">
        <v>6.3588999999999998E-3</v>
      </c>
      <c r="F1290" s="1">
        <v>5.0309000000000004E-7</v>
      </c>
      <c r="G1290" s="1">
        <v>6.7270000000000003</v>
      </c>
      <c r="H1290" s="1">
        <v>1.9135E-7</v>
      </c>
      <c r="I1290" s="1">
        <f t="shared" si="180"/>
        <v>1.9135E-7</v>
      </c>
      <c r="J1290" s="4">
        <f t="shared" si="181"/>
        <v>-1.1540298779806889E-8</v>
      </c>
      <c r="K1290" s="4">
        <f t="shared" si="182"/>
        <v>-1.9961609359644106E-8</v>
      </c>
      <c r="L1290" s="4">
        <f t="shared" si="183"/>
        <v>-6.0444970256358953E-9</v>
      </c>
      <c r="M1290" s="4">
        <f t="shared" si="185"/>
        <v>-6.5128319401626217E-9</v>
      </c>
      <c r="N1290" s="5">
        <f t="shared" si="186"/>
        <v>4.5449917146966734E-7</v>
      </c>
      <c r="O1290" s="5">
        <f t="shared" si="187"/>
        <v>1.0217637962136368E-6</v>
      </c>
      <c r="P1290" s="5">
        <f t="shared" si="188"/>
        <v>3.2373703231669603E-7</v>
      </c>
      <c r="Q1290" s="1">
        <f t="shared" si="184"/>
        <v>1.8000000000000001E-6</v>
      </c>
    </row>
    <row r="1291" spans="1:17" x14ac:dyDescent="0.25">
      <c r="A1291" s="1">
        <v>64.45</v>
      </c>
      <c r="B1291" s="1">
        <v>7.3540999999999997E-3</v>
      </c>
      <c r="C1291" s="1">
        <v>8.7253000000000005E-4</v>
      </c>
      <c r="D1291" s="1">
        <v>3.0905999999999999E-2</v>
      </c>
      <c r="E1291" s="1">
        <v>6.3414999999999999E-3</v>
      </c>
      <c r="F1291" s="1">
        <v>5.0096999999999997E-7</v>
      </c>
      <c r="G1291" s="1">
        <v>6.7268999999999997</v>
      </c>
      <c r="H1291" s="1">
        <v>1.9138000000000001E-7</v>
      </c>
      <c r="I1291" s="1">
        <f t="shared" si="180"/>
        <v>1.9138000000000001E-7</v>
      </c>
      <c r="J1291" s="4">
        <f t="shared" si="181"/>
        <v>-1.1503353491079071E-8</v>
      </c>
      <c r="K1291" s="4">
        <f t="shared" si="182"/>
        <v>-1.9924394026164785E-8</v>
      </c>
      <c r="L1291" s="4">
        <f t="shared" si="183"/>
        <v>-6.0340495584260097E-9</v>
      </c>
      <c r="M1291" s="4">
        <f t="shared" si="185"/>
        <v>-6.5044435190486069E-9</v>
      </c>
      <c r="N1291" s="5">
        <f t="shared" si="186"/>
        <v>4.5688616244632708E-7</v>
      </c>
      <c r="O1291" s="5">
        <f t="shared" si="187"/>
        <v>1.0198471991975996E-6</v>
      </c>
      <c r="P1291" s="5">
        <f t="shared" si="188"/>
        <v>3.2326663835607342E-7</v>
      </c>
      <c r="Q1291" s="1">
        <f t="shared" si="184"/>
        <v>1.8000000000000001E-6</v>
      </c>
    </row>
    <row r="1292" spans="1:17" x14ac:dyDescent="0.25">
      <c r="A1292" s="1">
        <v>64.5</v>
      </c>
      <c r="B1292" s="1">
        <v>7.3410999999999997E-3</v>
      </c>
      <c r="C1292" s="1">
        <v>8.6870000000000003E-4</v>
      </c>
      <c r="D1292" s="1">
        <v>3.0915000000000002E-2</v>
      </c>
      <c r="E1292" s="1">
        <v>6.3241E-3</v>
      </c>
      <c r="F1292" s="1">
        <v>4.9885E-7</v>
      </c>
      <c r="G1292" s="1">
        <v>6.7268999999999997</v>
      </c>
      <c r="H1292" s="1">
        <v>1.9140999999999999E-7</v>
      </c>
      <c r="I1292" s="1">
        <f t="shared" si="180"/>
        <v>1.9140999999999999E-7</v>
      </c>
      <c r="J1292" s="4">
        <f t="shared" si="181"/>
        <v>-1.1466515007333843E-8</v>
      </c>
      <c r="K1292" s="4">
        <f t="shared" si="182"/>
        <v>-1.9887020384352063E-8</v>
      </c>
      <c r="L1292" s="4">
        <f t="shared" si="183"/>
        <v>-6.023651224901319E-9</v>
      </c>
      <c r="M1292" s="4">
        <f t="shared" si="185"/>
        <v>-6.4960107711010912E-9</v>
      </c>
      <c r="N1292" s="5">
        <f t="shared" si="186"/>
        <v>4.5928301659844397E-7</v>
      </c>
      <c r="O1292" s="5">
        <f t="shared" si="187"/>
        <v>1.0179227045916824E-6</v>
      </c>
      <c r="P1292" s="5">
        <f t="shared" si="188"/>
        <v>3.2279427880987367E-7</v>
      </c>
      <c r="Q1292" s="1">
        <f t="shared" si="184"/>
        <v>1.8000000000000001E-6</v>
      </c>
    </row>
    <row r="1293" spans="1:17" x14ac:dyDescent="0.25">
      <c r="A1293" s="1">
        <v>64.55</v>
      </c>
      <c r="B1293" s="1">
        <v>7.3282E-3</v>
      </c>
      <c r="C1293" s="1">
        <v>8.6487000000000001E-4</v>
      </c>
      <c r="D1293" s="1">
        <v>3.0922999999999999E-2</v>
      </c>
      <c r="E1293" s="1">
        <v>6.3067000000000002E-3</v>
      </c>
      <c r="F1293" s="1">
        <v>4.9673999999999999E-7</v>
      </c>
      <c r="G1293" s="1">
        <v>6.7267999999999999</v>
      </c>
      <c r="H1293" s="1">
        <v>1.9144E-7</v>
      </c>
      <c r="I1293" s="1">
        <f t="shared" si="180"/>
        <v>1.9144E-7</v>
      </c>
      <c r="J1293" s="4">
        <f t="shared" si="181"/>
        <v>-1.1429318608230571E-8</v>
      </c>
      <c r="K1293" s="4">
        <f t="shared" si="182"/>
        <v>-1.984949273953668E-8</v>
      </c>
      <c r="L1293" s="4">
        <f t="shared" si="183"/>
        <v>-6.0130828568265121E-9</v>
      </c>
      <c r="M1293" s="4">
        <f t="shared" si="185"/>
        <v>-6.4875355552344121E-9</v>
      </c>
      <c r="N1293" s="5">
        <f t="shared" si="186"/>
        <v>4.6169010787292359E-7</v>
      </c>
      <c r="O1293" s="5">
        <f t="shared" si="187"/>
        <v>1.0159900660156107E-6</v>
      </c>
      <c r="P1293" s="5">
        <f t="shared" si="188"/>
        <v>3.2231982611146577E-7</v>
      </c>
      <c r="Q1293" s="1">
        <f t="shared" si="184"/>
        <v>1.7999999999999999E-6</v>
      </c>
    </row>
    <row r="1294" spans="1:17" x14ac:dyDescent="0.25">
      <c r="A1294" s="1">
        <v>64.599999999999994</v>
      </c>
      <c r="B1294" s="1">
        <v>7.3152E-3</v>
      </c>
      <c r="C1294" s="1">
        <v>8.6105999999999997E-4</v>
      </c>
      <c r="D1294" s="1">
        <v>3.0932000000000001E-2</v>
      </c>
      <c r="E1294" s="1">
        <v>6.2893999999999997E-3</v>
      </c>
      <c r="F1294" s="1">
        <v>4.9464000000000004E-7</v>
      </c>
      <c r="G1294" s="1">
        <v>6.7267000000000001</v>
      </c>
      <c r="H1294" s="1">
        <v>1.9147000000000001E-7</v>
      </c>
      <c r="I1294" s="1">
        <f t="shared" si="180"/>
        <v>1.9147000000000001E-7</v>
      </c>
      <c r="J1294" s="4">
        <f t="shared" si="181"/>
        <v>-1.1392232387434913E-8</v>
      </c>
      <c r="K1294" s="4">
        <f t="shared" si="182"/>
        <v>-1.9811806287303282E-8</v>
      </c>
      <c r="L1294" s="4">
        <f t="shared" si="183"/>
        <v>-6.0024696378592093E-9</v>
      </c>
      <c r="M1294" s="4">
        <f t="shared" si="185"/>
        <v>-6.4790152886314277E-9</v>
      </c>
      <c r="N1294" s="5">
        <f t="shared" si="186"/>
        <v>4.6410721213493271E-7</v>
      </c>
      <c r="O1294" s="5">
        <f t="shared" si="187"/>
        <v>1.0140495074043738E-6</v>
      </c>
      <c r="P1294" s="5">
        <f t="shared" si="188"/>
        <v>3.2184328046069356E-7</v>
      </c>
      <c r="Q1294" s="1">
        <f t="shared" si="184"/>
        <v>1.8000000000000001E-6</v>
      </c>
    </row>
    <row r="1295" spans="1:17" x14ac:dyDescent="0.25">
      <c r="A1295" s="1">
        <v>64.650000000000006</v>
      </c>
      <c r="B1295" s="1">
        <v>7.3023000000000003E-3</v>
      </c>
      <c r="C1295" s="1">
        <v>8.5725999999999999E-4</v>
      </c>
      <c r="D1295" s="1">
        <v>3.0939999999999999E-2</v>
      </c>
      <c r="E1295" s="1">
        <v>6.2721000000000001E-3</v>
      </c>
      <c r="F1295" s="1">
        <v>4.9253999999999999E-7</v>
      </c>
      <c r="G1295" s="1">
        <v>6.7266000000000004</v>
      </c>
      <c r="H1295" s="1">
        <v>1.9149999999999999E-7</v>
      </c>
      <c r="I1295" s="1">
        <f t="shared" si="180"/>
        <v>1.9149999999999999E-7</v>
      </c>
      <c r="J1295" s="4">
        <f t="shared" si="181"/>
        <v>-1.1355252199127752E-8</v>
      </c>
      <c r="K1295" s="4">
        <f t="shared" si="182"/>
        <v>-1.9773965394389784E-8</v>
      </c>
      <c r="L1295" s="4">
        <f t="shared" si="183"/>
        <v>-5.9919042374647297E-9</v>
      </c>
      <c r="M1295" s="4">
        <f t="shared" si="185"/>
        <v>-6.4704499555314168E-9</v>
      </c>
      <c r="N1295" s="5">
        <f t="shared" si="186"/>
        <v>4.6653402109273E-7</v>
      </c>
      <c r="O1295" s="5">
        <f t="shared" si="187"/>
        <v>1.0121012441646432E-6</v>
      </c>
      <c r="P1295" s="5">
        <f t="shared" si="188"/>
        <v>3.2136473474262685E-7</v>
      </c>
      <c r="Q1295" s="1">
        <f t="shared" si="184"/>
        <v>1.7999999999999999E-6</v>
      </c>
    </row>
    <row r="1296" spans="1:17" x14ac:dyDescent="0.25">
      <c r="A1296" s="1">
        <v>64.7</v>
      </c>
      <c r="B1296" s="1">
        <v>7.2895E-3</v>
      </c>
      <c r="C1296" s="1">
        <v>8.5347000000000005E-4</v>
      </c>
      <c r="D1296" s="1">
        <v>3.0948E-2</v>
      </c>
      <c r="E1296" s="1">
        <v>6.2548999999999999E-3</v>
      </c>
      <c r="F1296" s="1">
        <v>4.9044000000000004E-7</v>
      </c>
      <c r="G1296" s="1">
        <v>6.7266000000000004</v>
      </c>
      <c r="H1296" s="1">
        <v>1.9154000000000001E-7</v>
      </c>
      <c r="I1296" s="1">
        <f t="shared" si="180"/>
        <v>1.9154000000000001E-7</v>
      </c>
      <c r="J1296" s="4">
        <f t="shared" si="181"/>
        <v>-1.1317912484055256E-8</v>
      </c>
      <c r="K1296" s="4">
        <f t="shared" si="182"/>
        <v>-1.973597426120942E-8</v>
      </c>
      <c r="L1296" s="4">
        <f t="shared" si="183"/>
        <v>-5.9811665529430764E-9</v>
      </c>
      <c r="M1296" s="4">
        <f t="shared" si="185"/>
        <v>-6.4618414038370015E-9</v>
      </c>
      <c r="N1296" s="5">
        <f t="shared" si="186"/>
        <v>4.6897091631694108E-7</v>
      </c>
      <c r="O1296" s="5">
        <f t="shared" si="187"/>
        <v>1.0101450237913259E-6</v>
      </c>
      <c r="P1296" s="5">
        <f t="shared" si="188"/>
        <v>3.2088405989173289E-7</v>
      </c>
      <c r="Q1296" s="1">
        <f t="shared" si="184"/>
        <v>1.7999999999999999E-6</v>
      </c>
    </row>
    <row r="1297" spans="1:17" x14ac:dyDescent="0.25">
      <c r="A1297" s="1">
        <v>64.75</v>
      </c>
      <c r="B1297" s="1">
        <v>7.2766999999999997E-3</v>
      </c>
      <c r="C1297" s="1">
        <v>8.497E-4</v>
      </c>
      <c r="D1297" s="1">
        <v>3.0956999999999998E-2</v>
      </c>
      <c r="E1297" s="1">
        <v>6.2376999999999997E-3</v>
      </c>
      <c r="F1297" s="1">
        <v>4.8834999999999995E-7</v>
      </c>
      <c r="G1297" s="1">
        <v>6.7264999999999997</v>
      </c>
      <c r="H1297" s="1">
        <v>1.9156999999999999E-7</v>
      </c>
      <c r="I1297" s="1">
        <f t="shared" si="180"/>
        <v>1.9156999999999999E-7</v>
      </c>
      <c r="J1297" s="4">
        <f t="shared" si="181"/>
        <v>-1.1280222805957643E-8</v>
      </c>
      <c r="K1297" s="4">
        <f t="shared" si="182"/>
        <v>-1.9697827963929737E-8</v>
      </c>
      <c r="L1297" s="4">
        <f t="shared" si="183"/>
        <v>-5.9703564627739469E-9</v>
      </c>
      <c r="M1297" s="4">
        <f t="shared" si="185"/>
        <v>-6.4535239473241988E-9</v>
      </c>
      <c r="N1297" s="5">
        <f t="shared" si="186"/>
        <v>4.7141816501213918E-7</v>
      </c>
      <c r="O1297" s="5">
        <f t="shared" si="187"/>
        <v>1.008180942580678E-6</v>
      </c>
      <c r="P1297" s="5">
        <f t="shared" si="188"/>
        <v>3.204008924071826E-7</v>
      </c>
      <c r="Q1297" s="1">
        <f t="shared" si="184"/>
        <v>1.7999999999999997E-6</v>
      </c>
    </row>
    <row r="1298" spans="1:17" x14ac:dyDescent="0.25">
      <c r="A1298" s="1">
        <v>64.8</v>
      </c>
      <c r="B1298" s="1">
        <v>7.2639000000000002E-3</v>
      </c>
      <c r="C1298" s="1">
        <v>8.4592999999999995E-4</v>
      </c>
      <c r="D1298" s="1">
        <v>3.0964999999999999E-2</v>
      </c>
      <c r="E1298" s="1">
        <v>6.2205999999999997E-3</v>
      </c>
      <c r="F1298" s="1">
        <v>4.8627000000000003E-7</v>
      </c>
      <c r="G1298" s="1">
        <v>6.7263999999999999</v>
      </c>
      <c r="H1298" s="1">
        <v>1.916E-7</v>
      </c>
      <c r="I1298" s="1">
        <f t="shared" si="180"/>
        <v>1.916E-7</v>
      </c>
      <c r="J1298" s="4">
        <f t="shared" si="181"/>
        <v>-1.1242650168253784E-8</v>
      </c>
      <c r="K1298" s="4">
        <f t="shared" si="182"/>
        <v>-1.9659528380322102E-8</v>
      </c>
      <c r="L1298" s="4">
        <f t="shared" si="183"/>
        <v>-5.9595035867972559E-9</v>
      </c>
      <c r="M1298" s="4">
        <f t="shared" si="185"/>
        <v>-6.4448158906362501E-9</v>
      </c>
      <c r="N1298" s="5">
        <f t="shared" si="186"/>
        <v>4.7387553963741026E-7</v>
      </c>
      <c r="O1298" s="5">
        <f t="shared" si="187"/>
        <v>1.0062088802592457E-6</v>
      </c>
      <c r="P1298" s="5">
        <f t="shared" si="188"/>
        <v>3.1991558010334361E-7</v>
      </c>
      <c r="Q1298" s="1">
        <f t="shared" si="184"/>
        <v>1.7999999999999995E-6</v>
      </c>
    </row>
    <row r="1299" spans="1:17" x14ac:dyDescent="0.25">
      <c r="A1299" s="1">
        <v>64.849999999999994</v>
      </c>
      <c r="B1299" s="1">
        <v>7.2510999999999999E-3</v>
      </c>
      <c r="C1299" s="1">
        <v>8.4217999999999999E-4</v>
      </c>
      <c r="D1299" s="1">
        <v>3.0973000000000001E-2</v>
      </c>
      <c r="E1299" s="1">
        <v>6.2034999999999998E-3</v>
      </c>
      <c r="F1299" s="1">
        <v>4.8419999999999996E-7</v>
      </c>
      <c r="G1299" s="1">
        <v>6.7263999999999999</v>
      </c>
      <c r="H1299" s="1">
        <v>1.9161999999999999E-7</v>
      </c>
      <c r="I1299" s="1">
        <f t="shared" si="180"/>
        <v>1.9161999999999999E-7</v>
      </c>
      <c r="J1299" s="4">
        <f t="shared" si="181"/>
        <v>-1.1205190540234068E-8</v>
      </c>
      <c r="K1299" s="4">
        <f t="shared" si="182"/>
        <v>-1.9621073165054178E-8</v>
      </c>
      <c r="L1299" s="4">
        <f t="shared" si="183"/>
        <v>-5.9487010167089705E-9</v>
      </c>
      <c r="M1299" s="4">
        <f t="shared" si="185"/>
        <v>-6.4360616405187006E-9</v>
      </c>
      <c r="N1299" s="5">
        <f t="shared" si="186"/>
        <v>4.7634272124552146E-7</v>
      </c>
      <c r="O1299" s="5">
        <f t="shared" si="187"/>
        <v>1.0042290592749443E-6</v>
      </c>
      <c r="P1299" s="5">
        <f t="shared" si="188"/>
        <v>3.1942821947953388E-7</v>
      </c>
      <c r="Q1299" s="1">
        <f t="shared" si="184"/>
        <v>1.7999999999999997E-6</v>
      </c>
    </row>
    <row r="1300" spans="1:17" x14ac:dyDescent="0.25">
      <c r="A1300" s="1">
        <v>64.900000000000006</v>
      </c>
      <c r="B1300" s="1">
        <v>7.2383999999999999E-3</v>
      </c>
      <c r="C1300" s="1">
        <v>8.3843999999999998E-4</v>
      </c>
      <c r="D1300" s="1">
        <v>3.0981000000000002E-2</v>
      </c>
      <c r="E1300" s="1">
        <v>6.1863999999999999E-3</v>
      </c>
      <c r="F1300" s="1">
        <v>4.8212999999999999E-7</v>
      </c>
      <c r="G1300" s="1">
        <v>6.7263000000000002</v>
      </c>
      <c r="H1300" s="1">
        <v>1.9165E-7</v>
      </c>
      <c r="I1300" s="1">
        <f t="shared" si="180"/>
        <v>1.9165E-7</v>
      </c>
      <c r="J1300" s="4">
        <f t="shared" si="181"/>
        <v>-1.1167837951265821E-8</v>
      </c>
      <c r="K1300" s="4">
        <f t="shared" si="182"/>
        <v>-1.9582466655865866E-8</v>
      </c>
      <c r="L1300" s="4">
        <f t="shared" si="183"/>
        <v>-5.9378497177263896E-9</v>
      </c>
      <c r="M1300" s="4">
        <f t="shared" si="185"/>
        <v>-6.4269277187516306E-9</v>
      </c>
      <c r="N1300" s="5">
        <f t="shared" si="186"/>
        <v>4.7881950023239512E-7</v>
      </c>
      <c r="O1300" s="5">
        <f t="shared" si="187"/>
        <v>1.002241358289096E-6</v>
      </c>
      <c r="P1300" s="5">
        <f t="shared" si="188"/>
        <v>3.1893914147850864E-7</v>
      </c>
      <c r="Q1300" s="1">
        <f t="shared" si="184"/>
        <v>1.7999999999999997E-6</v>
      </c>
    </row>
    <row r="1301" spans="1:17" x14ac:dyDescent="0.25">
      <c r="A1301" s="1">
        <v>64.95</v>
      </c>
      <c r="B1301" s="1">
        <v>7.2256999999999998E-3</v>
      </c>
      <c r="C1301" s="1">
        <v>8.3471000000000001E-4</v>
      </c>
      <c r="D1301" s="1">
        <v>3.099E-2</v>
      </c>
      <c r="E1301" s="1">
        <v>6.1694000000000002E-3</v>
      </c>
      <c r="F1301" s="1">
        <v>4.8006000000000003E-7</v>
      </c>
      <c r="G1301" s="1">
        <v>6.7262000000000004</v>
      </c>
      <c r="H1301" s="1">
        <v>1.9168000000000001E-7</v>
      </c>
      <c r="I1301" s="1">
        <f t="shared" si="180"/>
        <v>1.9168000000000001E-7</v>
      </c>
      <c r="J1301" s="4">
        <f t="shared" si="181"/>
        <v>-1.113012753238033E-8</v>
      </c>
      <c r="K1301" s="4">
        <f t="shared" si="182"/>
        <v>-1.9543706486636262E-8</v>
      </c>
      <c r="L1301" s="4">
        <f t="shared" si="183"/>
        <v>-5.9268246533138024E-9</v>
      </c>
      <c r="M1301" s="4">
        <f t="shared" si="185"/>
        <v>-6.4180920787570336E-9</v>
      </c>
      <c r="N1301" s="5">
        <f t="shared" si="186"/>
        <v>4.8130625453333724E-7</v>
      </c>
      <c r="O1301" s="5">
        <f t="shared" si="187"/>
        <v>1.0002458714135971E-6</v>
      </c>
      <c r="P1301" s="5">
        <f t="shared" si="188"/>
        <v>3.1844787405306536E-7</v>
      </c>
      <c r="Q1301" s="1">
        <f t="shared" si="184"/>
        <v>1.7999999999999997E-6</v>
      </c>
    </row>
    <row r="1302" spans="1:17" x14ac:dyDescent="0.25">
      <c r="A1302" s="1">
        <v>65</v>
      </c>
      <c r="B1302" s="1">
        <v>7.2129999999999998E-3</v>
      </c>
      <c r="C1302" s="1">
        <v>8.3098999999999998E-4</v>
      </c>
      <c r="D1302" s="1">
        <v>3.0998000000000001E-2</v>
      </c>
      <c r="E1302" s="1">
        <v>6.1525E-3</v>
      </c>
      <c r="F1302" s="1">
        <v>4.7800000000000002E-7</v>
      </c>
      <c r="G1302" s="1">
        <v>6.7260999999999997</v>
      </c>
      <c r="H1302" s="1">
        <v>1.9170999999999999E-7</v>
      </c>
      <c r="I1302" s="1">
        <f t="shared" si="180"/>
        <v>1.9170999999999999E-7</v>
      </c>
      <c r="J1302" s="4">
        <f t="shared" si="181"/>
        <v>-1.1092068601743825E-8</v>
      </c>
      <c r="K1302" s="4">
        <f t="shared" si="182"/>
        <v>-1.9504794492564037E-8</v>
      </c>
      <c r="L1302" s="4">
        <f t="shared" si="183"/>
        <v>-5.9157260203127345E-9</v>
      </c>
      <c r="M1302" s="4">
        <f t="shared" si="185"/>
        <v>-6.4092092923412507E-9</v>
      </c>
      <c r="N1302" s="5">
        <f t="shared" si="186"/>
        <v>4.8380325440384474E-7</v>
      </c>
      <c r="O1302" s="5">
        <f t="shared" si="187"/>
        <v>9.9824235481511816E-7</v>
      </c>
      <c r="P1302" s="5">
        <f t="shared" si="188"/>
        <v>3.1795439078103685E-7</v>
      </c>
      <c r="Q1302" s="1">
        <f t="shared" si="184"/>
        <v>1.7999999999999997E-6</v>
      </c>
    </row>
    <row r="1303" spans="1:17" x14ac:dyDescent="0.25">
      <c r="A1303" s="1">
        <v>65.05</v>
      </c>
      <c r="B1303" s="1">
        <v>7.2004E-3</v>
      </c>
      <c r="C1303" s="1">
        <v>8.2728000000000001E-4</v>
      </c>
      <c r="D1303" s="1">
        <v>3.1005999999999999E-2</v>
      </c>
      <c r="E1303" s="1">
        <v>6.1355999999999997E-3</v>
      </c>
      <c r="F1303" s="1">
        <v>4.7595000000000002E-7</v>
      </c>
      <c r="G1303" s="1">
        <v>6.7260999999999997</v>
      </c>
      <c r="H1303" s="1">
        <v>1.9174E-7</v>
      </c>
      <c r="I1303" s="1">
        <f t="shared" si="180"/>
        <v>1.9174E-7</v>
      </c>
      <c r="J1303" s="4">
        <f t="shared" si="181"/>
        <v>-1.105413027792018E-8</v>
      </c>
      <c r="K1303" s="4">
        <f t="shared" si="182"/>
        <v>-1.9465725918893699E-8</v>
      </c>
      <c r="L1303" s="4">
        <f t="shared" si="183"/>
        <v>-5.9046804732186435E-9</v>
      </c>
      <c r="M1303" s="4">
        <f t="shared" si="185"/>
        <v>-6.4002788069460562E-9</v>
      </c>
      <c r="N1303" s="5">
        <f t="shared" si="186"/>
        <v>4.8631016957159969E-7</v>
      </c>
      <c r="O1303" s="5">
        <f t="shared" si="187"/>
        <v>9.9623103798109065E-7</v>
      </c>
      <c r="P1303" s="5">
        <f t="shared" si="188"/>
        <v>3.1745879244730941E-7</v>
      </c>
      <c r="Q1303" s="1">
        <f t="shared" si="184"/>
        <v>1.7999999999999997E-6</v>
      </c>
    </row>
    <row r="1304" spans="1:17" x14ac:dyDescent="0.25">
      <c r="A1304" s="1">
        <v>65.099999999999994</v>
      </c>
      <c r="B1304" s="1">
        <v>7.1878000000000003E-3</v>
      </c>
      <c r="C1304" s="1">
        <v>8.2359000000000002E-4</v>
      </c>
      <c r="D1304" s="1">
        <v>3.1014E-2</v>
      </c>
      <c r="E1304" s="1">
        <v>6.1187000000000004E-3</v>
      </c>
      <c r="F1304" s="1">
        <v>4.7389999999999998E-7</v>
      </c>
      <c r="G1304" s="1">
        <v>6.726</v>
      </c>
      <c r="H1304" s="1">
        <v>1.9177E-7</v>
      </c>
      <c r="I1304" s="1">
        <f t="shared" si="180"/>
        <v>1.9177E-7</v>
      </c>
      <c r="J1304" s="4">
        <f t="shared" si="181"/>
        <v>-1.1016306583255233E-8</v>
      </c>
      <c r="K1304" s="4">
        <f t="shared" si="182"/>
        <v>-1.9426505240630162E-8</v>
      </c>
      <c r="L1304" s="4">
        <f t="shared" si="183"/>
        <v>-5.893588618336303E-9</v>
      </c>
      <c r="M1304" s="4">
        <f t="shared" si="185"/>
        <v>-6.3913026307035833E-9</v>
      </c>
      <c r="N1304" s="5">
        <f t="shared" si="186"/>
        <v>4.8882677961063826E-7</v>
      </c>
      <c r="O1304" s="5">
        <f t="shared" si="187"/>
        <v>9.942121419544194E-7</v>
      </c>
      <c r="P1304" s="5">
        <f t="shared" si="188"/>
        <v>3.1696107843494215E-7</v>
      </c>
      <c r="Q1304" s="1">
        <f t="shared" si="184"/>
        <v>1.7999999999999997E-6</v>
      </c>
    </row>
    <row r="1305" spans="1:17" x14ac:dyDescent="0.25">
      <c r="A1305" s="1">
        <v>65.150000000000006</v>
      </c>
      <c r="B1305" s="1">
        <v>7.1751999999999996E-3</v>
      </c>
      <c r="C1305" s="1">
        <v>8.1990000000000003E-4</v>
      </c>
      <c r="D1305" s="1">
        <v>3.1022000000000001E-2</v>
      </c>
      <c r="E1305" s="1">
        <v>6.1019000000000004E-3</v>
      </c>
      <c r="F1305" s="1">
        <v>4.7185999999999999E-7</v>
      </c>
      <c r="G1305" s="1">
        <v>6.7259000000000002</v>
      </c>
      <c r="H1305" s="1">
        <v>1.9180000000000001E-7</v>
      </c>
      <c r="I1305" s="1">
        <f t="shared" si="180"/>
        <v>1.9180000000000001E-7</v>
      </c>
      <c r="J1305" s="4">
        <f t="shared" si="181"/>
        <v>-1.0978130964538542E-8</v>
      </c>
      <c r="K1305" s="4">
        <f t="shared" si="182"/>
        <v>-1.938713676811559E-8</v>
      </c>
      <c r="L1305" s="4">
        <f t="shared" si="183"/>
        <v>-5.8823241869760761E-9</v>
      </c>
      <c r="M1305" s="4">
        <f t="shared" si="185"/>
        <v>-6.3822807312056804E-9</v>
      </c>
      <c r="N1305" s="5">
        <f t="shared" si="186"/>
        <v>4.9135346122723927E-7</v>
      </c>
      <c r="O1305" s="5">
        <f t="shared" si="187"/>
        <v>9.9218541688204785E-7</v>
      </c>
      <c r="P1305" s="5">
        <f t="shared" si="188"/>
        <v>3.1646112189071254E-7</v>
      </c>
      <c r="Q1305" s="1">
        <f t="shared" si="184"/>
        <v>1.7999999999999997E-6</v>
      </c>
    </row>
    <row r="1306" spans="1:17" x14ac:dyDescent="0.25">
      <c r="A1306" s="1">
        <v>65.2</v>
      </c>
      <c r="B1306" s="1">
        <v>7.1627000000000001E-3</v>
      </c>
      <c r="C1306" s="1">
        <v>8.1623000000000004E-4</v>
      </c>
      <c r="D1306" s="1">
        <v>3.1029999999999999E-2</v>
      </c>
      <c r="E1306" s="1">
        <v>6.0851999999999998E-3</v>
      </c>
      <c r="F1306" s="1">
        <v>4.6983000000000002E-7</v>
      </c>
      <c r="G1306" s="1">
        <v>6.7257999999999996</v>
      </c>
      <c r="H1306" s="1">
        <v>1.9182999999999999E-7</v>
      </c>
      <c r="I1306" s="1">
        <f t="shared" si="180"/>
        <v>1.9182999999999999E-7</v>
      </c>
      <c r="J1306" s="4">
        <f t="shared" si="181"/>
        <v>-1.0940076186313511E-8</v>
      </c>
      <c r="K1306" s="4">
        <f t="shared" si="182"/>
        <v>-1.9347615629198833E-8</v>
      </c>
      <c r="L1306" s="4">
        <f t="shared" si="183"/>
        <v>-5.8711120068930534E-9</v>
      </c>
      <c r="M1306" s="4">
        <f t="shared" si="185"/>
        <v>-6.3732105337566985E-9</v>
      </c>
      <c r="N1306" s="5">
        <f t="shared" si="186"/>
        <v>4.9388988866323146E-7</v>
      </c>
      <c r="O1306" s="5">
        <f t="shared" si="187"/>
        <v>9.9015108797291918E-7</v>
      </c>
      <c r="P1306" s="5">
        <f t="shared" si="188"/>
        <v>3.1595902336384886E-7</v>
      </c>
      <c r="Q1306" s="1">
        <f t="shared" si="184"/>
        <v>1.7999999999999995E-6</v>
      </c>
    </row>
    <row r="1307" spans="1:17" x14ac:dyDescent="0.25">
      <c r="A1307" s="1">
        <v>65.25</v>
      </c>
      <c r="B1307" s="1">
        <v>7.1501999999999998E-3</v>
      </c>
      <c r="C1307" s="1">
        <v>8.1256999999999998E-4</v>
      </c>
      <c r="D1307" s="1">
        <v>3.1038E-2</v>
      </c>
      <c r="E1307" s="1">
        <v>6.0683999999999998E-3</v>
      </c>
      <c r="F1307" s="1">
        <v>4.6779999999999999E-7</v>
      </c>
      <c r="G1307" s="1">
        <v>6.7257999999999996</v>
      </c>
      <c r="H1307" s="1">
        <v>1.9186E-7</v>
      </c>
      <c r="I1307" s="1">
        <f t="shared" si="180"/>
        <v>1.9186E-7</v>
      </c>
      <c r="J1307" s="4">
        <f t="shared" si="181"/>
        <v>-1.0902136707491104E-8</v>
      </c>
      <c r="K1307" s="4">
        <f t="shared" si="182"/>
        <v>-1.9307946215470824E-8</v>
      </c>
      <c r="L1307" s="4">
        <f t="shared" si="183"/>
        <v>-5.8599489499087581E-9</v>
      </c>
      <c r="M1307" s="4">
        <f t="shared" si="185"/>
        <v>-6.3640940424477849E-9</v>
      </c>
      <c r="N1307" s="5">
        <f t="shared" si="186"/>
        <v>4.9643574922130229E-7</v>
      </c>
      <c r="O1307" s="5">
        <f t="shared" si="187"/>
        <v>9.8810937250738737E-7</v>
      </c>
      <c r="P1307" s="5">
        <f t="shared" si="188"/>
        <v>3.1545487827130984E-7</v>
      </c>
      <c r="Q1307" s="1">
        <f t="shared" si="184"/>
        <v>1.7999999999999997E-6</v>
      </c>
    </row>
    <row r="1308" spans="1:17" x14ac:dyDescent="0.25">
      <c r="A1308" s="1">
        <v>65.3</v>
      </c>
      <c r="B1308" s="1">
        <v>7.1377000000000003E-3</v>
      </c>
      <c r="C1308" s="1">
        <v>8.0893000000000002E-4</v>
      </c>
      <c r="D1308" s="1">
        <v>3.1046000000000001E-2</v>
      </c>
      <c r="E1308" s="1">
        <v>6.0518000000000004E-3</v>
      </c>
      <c r="F1308" s="1">
        <v>4.6577000000000002E-7</v>
      </c>
      <c r="G1308" s="1">
        <v>6.7256999999999998</v>
      </c>
      <c r="H1308" s="1">
        <v>1.9189000000000001E-7</v>
      </c>
      <c r="I1308" s="1">
        <f t="shared" si="180"/>
        <v>1.9189000000000001E-7</v>
      </c>
      <c r="J1308" s="4">
        <f t="shared" si="181"/>
        <v>-1.0863843062261609E-8</v>
      </c>
      <c r="K1308" s="4">
        <f t="shared" si="182"/>
        <v>-1.9268132763892958E-8</v>
      </c>
      <c r="L1308" s="4">
        <f t="shared" si="183"/>
        <v>-5.8485143809740831E-9</v>
      </c>
      <c r="M1308" s="4">
        <f t="shared" si="185"/>
        <v>-6.3549331592386569E-9</v>
      </c>
      <c r="N1308" s="5">
        <f t="shared" si="186"/>
        <v>4.989915245419596E-7</v>
      </c>
      <c r="O1308" s="5">
        <f t="shared" si="187"/>
        <v>9.8606001596499465E-7</v>
      </c>
      <c r="P1308" s="5">
        <f t="shared" si="188"/>
        <v>3.1494845949304525E-7</v>
      </c>
      <c r="Q1308" s="1">
        <f t="shared" si="184"/>
        <v>1.7999999999999995E-6</v>
      </c>
    </row>
    <row r="1309" spans="1:17" x14ac:dyDescent="0.25">
      <c r="A1309" s="1">
        <v>65.349999999999994</v>
      </c>
      <c r="B1309" s="1">
        <v>7.1253000000000002E-3</v>
      </c>
      <c r="C1309" s="1">
        <v>8.0528999999999996E-4</v>
      </c>
      <c r="D1309" s="1">
        <v>3.1054999999999999E-2</v>
      </c>
      <c r="E1309" s="1">
        <v>6.0350999999999998E-3</v>
      </c>
      <c r="F1309" s="1">
        <v>4.6376000000000002E-7</v>
      </c>
      <c r="G1309" s="1">
        <v>6.7256</v>
      </c>
      <c r="H1309" s="1">
        <v>1.9191999999999999E-7</v>
      </c>
      <c r="I1309" s="1">
        <f t="shared" si="180"/>
        <v>1.9191999999999999E-7</v>
      </c>
      <c r="J1309" s="4">
        <f t="shared" si="181"/>
        <v>-1.0825206607687849E-8</v>
      </c>
      <c r="K1309" s="4">
        <f t="shared" si="182"/>
        <v>-1.9228170311316302E-8</v>
      </c>
      <c r="L1309" s="4">
        <f t="shared" si="183"/>
        <v>-5.8371028446632897E-9</v>
      </c>
      <c r="M1309" s="4">
        <f t="shared" si="185"/>
        <v>-6.3457232886722873E-9</v>
      </c>
      <c r="N1309" s="5">
        <f t="shared" si="186"/>
        <v>5.0155738540092482E-7</v>
      </c>
      <c r="O1309" s="5">
        <f t="shared" si="187"/>
        <v>9.8400277555003845E-7</v>
      </c>
      <c r="P1309" s="5">
        <f t="shared" si="188"/>
        <v>3.1443983904903627E-7</v>
      </c>
      <c r="Q1309" s="1">
        <f t="shared" si="184"/>
        <v>1.7999999999999995E-6</v>
      </c>
    </row>
    <row r="1310" spans="1:17" x14ac:dyDescent="0.25">
      <c r="A1310" s="1">
        <v>65.400000000000006</v>
      </c>
      <c r="B1310" s="1">
        <v>7.1129000000000001E-3</v>
      </c>
      <c r="C1310" s="1">
        <v>8.0166999999999999E-4</v>
      </c>
      <c r="D1310" s="1">
        <v>3.1063E-2</v>
      </c>
      <c r="E1310" s="1">
        <v>6.0185000000000004E-3</v>
      </c>
      <c r="F1310" s="1">
        <v>4.6174E-7</v>
      </c>
      <c r="G1310" s="1">
        <v>6.7256</v>
      </c>
      <c r="H1310" s="1">
        <v>1.9194999999999999E-7</v>
      </c>
      <c r="I1310" s="1">
        <f t="shared" si="180"/>
        <v>1.9194999999999999E-7</v>
      </c>
      <c r="J1310" s="4">
        <f t="shared" si="181"/>
        <v>-1.0787162087613096E-8</v>
      </c>
      <c r="K1310" s="4">
        <f t="shared" si="182"/>
        <v>-1.9188054123230112E-8</v>
      </c>
      <c r="L1310" s="4">
        <f t="shared" si="183"/>
        <v>-5.8256781082253371E-9</v>
      </c>
      <c r="M1310" s="4">
        <f t="shared" si="185"/>
        <v>-6.336465860582E-9</v>
      </c>
      <c r="N1310" s="5">
        <f t="shared" si="186"/>
        <v>5.0413259932831649E-7</v>
      </c>
      <c r="O1310" s="5">
        <f t="shared" si="187"/>
        <v>9.8193834937500325E-7</v>
      </c>
      <c r="P1310" s="5">
        <f t="shared" si="188"/>
        <v>3.1392905129667959E-7</v>
      </c>
      <c r="Q1310" s="1">
        <f t="shared" si="184"/>
        <v>1.7999999999999993E-6</v>
      </c>
    </row>
    <row r="1311" spans="1:17" x14ac:dyDescent="0.25">
      <c r="A1311" s="1">
        <v>65.45</v>
      </c>
      <c r="B1311" s="1">
        <v>7.1005E-3</v>
      </c>
      <c r="C1311" s="1">
        <v>7.9805999999999996E-4</v>
      </c>
      <c r="D1311" s="1">
        <v>3.1071000000000001E-2</v>
      </c>
      <c r="E1311" s="1">
        <v>6.0020000000000004E-3</v>
      </c>
      <c r="F1311" s="1">
        <v>4.5974000000000001E-7</v>
      </c>
      <c r="G1311" s="1">
        <v>6.7255000000000003</v>
      </c>
      <c r="H1311" s="1">
        <v>1.9198E-7</v>
      </c>
      <c r="I1311" s="1">
        <f t="shared" si="180"/>
        <v>1.9198E-7</v>
      </c>
      <c r="J1311" s="4">
        <f t="shared" si="181"/>
        <v>-1.0748299979472816E-8</v>
      </c>
      <c r="K1311" s="4">
        <f t="shared" si="182"/>
        <v>-1.9147797812811475E-8</v>
      </c>
      <c r="L1311" s="4">
        <f t="shared" si="183"/>
        <v>-5.8140483869666301E-9</v>
      </c>
      <c r="M1311" s="4">
        <f t="shared" si="185"/>
        <v>-6.3271615466213928E-9</v>
      </c>
      <c r="N1311" s="5">
        <f t="shared" si="186"/>
        <v>5.0671804877468849E-7</v>
      </c>
      <c r="O1311" s="5">
        <f t="shared" si="187"/>
        <v>9.7986601308828602E-7</v>
      </c>
      <c r="P1311" s="5">
        <f t="shared" si="188"/>
        <v>3.1341593813702483E-7</v>
      </c>
      <c r="Q1311" s="1">
        <f t="shared" si="184"/>
        <v>1.7999999999999993E-6</v>
      </c>
    </row>
    <row r="1312" spans="1:17" x14ac:dyDescent="0.25">
      <c r="A1312" s="1">
        <v>65.5</v>
      </c>
      <c r="B1312" s="1">
        <v>7.0882000000000002E-3</v>
      </c>
      <c r="C1312" s="1">
        <v>7.9445999999999998E-4</v>
      </c>
      <c r="D1312" s="1">
        <v>3.1078000000000001E-2</v>
      </c>
      <c r="E1312" s="1">
        <v>5.9855000000000004E-3</v>
      </c>
      <c r="F1312" s="1">
        <v>4.5774000000000002E-7</v>
      </c>
      <c r="G1312" s="1">
        <v>6.7253999999999996</v>
      </c>
      <c r="H1312" s="1">
        <v>1.9201000000000001E-7</v>
      </c>
      <c r="I1312" s="1">
        <f t="shared" si="180"/>
        <v>1.9201000000000001E-7</v>
      </c>
      <c r="J1312" s="4">
        <f t="shared" si="181"/>
        <v>-1.0710036641759119E-8</v>
      </c>
      <c r="K1312" s="4">
        <f t="shared" si="182"/>
        <v>-1.9107387255220495E-8</v>
      </c>
      <c r="L1312" s="4">
        <f t="shared" si="183"/>
        <v>-5.8026015940298581E-9</v>
      </c>
      <c r="M1312" s="4">
        <f t="shared" si="185"/>
        <v>-6.3178071393719745E-9</v>
      </c>
      <c r="N1312" s="5">
        <f t="shared" si="186"/>
        <v>5.0931279779412005E-7</v>
      </c>
      <c r="O1312" s="5">
        <f t="shared" si="187"/>
        <v>9.7778646961419664E-7</v>
      </c>
      <c r="P1312" s="5">
        <f t="shared" si="188"/>
        <v>3.129007325916827E-7</v>
      </c>
      <c r="Q1312" s="1">
        <f t="shared" si="184"/>
        <v>1.7999999999999993E-6</v>
      </c>
    </row>
    <row r="1313" spans="1:17" x14ac:dyDescent="0.25">
      <c r="A1313" s="1">
        <v>65.55</v>
      </c>
      <c r="B1313" s="1">
        <v>7.0759000000000004E-3</v>
      </c>
      <c r="C1313" s="1">
        <v>7.9087000000000005E-4</v>
      </c>
      <c r="D1313" s="1">
        <v>3.1085999999999999E-2</v>
      </c>
      <c r="E1313" s="1">
        <v>5.9690000000000003E-3</v>
      </c>
      <c r="F1313" s="1">
        <v>4.5573999999999998E-7</v>
      </c>
      <c r="G1313" s="1">
        <v>6.7253999999999996</v>
      </c>
      <c r="H1313" s="1">
        <v>1.9203999999999999E-7</v>
      </c>
      <c r="I1313" s="1">
        <f t="shared" si="180"/>
        <v>1.9203999999999999E-7</v>
      </c>
      <c r="J1313" s="4">
        <f t="shared" si="181"/>
        <v>-1.0671422621010221E-8</v>
      </c>
      <c r="K1313" s="4">
        <f t="shared" si="182"/>
        <v>-1.9066836157475752E-8</v>
      </c>
      <c r="L1313" s="4">
        <f t="shared" si="183"/>
        <v>-5.7909789488997086E-9</v>
      </c>
      <c r="M1313" s="4">
        <f t="shared" si="185"/>
        <v>-6.3084073148171855E-9</v>
      </c>
      <c r="N1313" s="5">
        <f t="shared" si="186"/>
        <v>5.1191723238168592E-7</v>
      </c>
      <c r="O1313" s="5">
        <f t="shared" si="187"/>
        <v>9.756994633925482E-7</v>
      </c>
      <c r="P1313" s="5">
        <f t="shared" si="188"/>
        <v>3.1238330422576527E-7</v>
      </c>
      <c r="Q1313" s="1">
        <f t="shared" si="184"/>
        <v>1.7999999999999993E-6</v>
      </c>
    </row>
    <row r="1314" spans="1:17" x14ac:dyDescent="0.25">
      <c r="A1314" s="1">
        <v>65.599999999999994</v>
      </c>
      <c r="B1314" s="1">
        <v>7.0635999999999997E-3</v>
      </c>
      <c r="C1314" s="1">
        <v>7.8728999999999995E-4</v>
      </c>
      <c r="D1314" s="1">
        <v>3.1094E-2</v>
      </c>
      <c r="E1314" s="1">
        <v>5.9525999999999997E-3</v>
      </c>
      <c r="F1314" s="1">
        <v>4.5376000000000001E-7</v>
      </c>
      <c r="G1314" s="1">
        <v>6.7252999999999998</v>
      </c>
      <c r="H1314" s="1">
        <v>1.9205999999999999E-7</v>
      </c>
      <c r="I1314" s="1">
        <f t="shared" si="180"/>
        <v>1.9205999999999999E-7</v>
      </c>
      <c r="J1314" s="4">
        <f t="shared" si="181"/>
        <v>-1.0632467042397477E-8</v>
      </c>
      <c r="K1314" s="4">
        <f t="shared" si="182"/>
        <v>-1.9026139536153607E-8</v>
      </c>
      <c r="L1314" s="4">
        <f t="shared" si="183"/>
        <v>-5.7791846770240205E-9</v>
      </c>
      <c r="M1314" s="4">
        <f t="shared" si="185"/>
        <v>-6.2989594230688176E-9</v>
      </c>
      <c r="N1314" s="5">
        <f t="shared" si="186"/>
        <v>5.1453172019841808E-7</v>
      </c>
      <c r="O1314" s="5">
        <f t="shared" si="187"/>
        <v>9.7360475032186083E-7</v>
      </c>
      <c r="P1314" s="5">
        <f t="shared" si="188"/>
        <v>3.1186352947972048E-7</v>
      </c>
      <c r="Q1314" s="1">
        <f t="shared" si="184"/>
        <v>1.7999999999999993E-6</v>
      </c>
    </row>
    <row r="1315" spans="1:17" x14ac:dyDescent="0.25">
      <c r="A1315" s="1">
        <v>65.650000000000006</v>
      </c>
      <c r="B1315" s="1">
        <v>7.0514000000000002E-3</v>
      </c>
      <c r="C1315" s="1">
        <v>7.8372999999999995E-4</v>
      </c>
      <c r="D1315" s="1">
        <v>3.1102000000000001E-2</v>
      </c>
      <c r="E1315" s="1">
        <v>5.9363000000000003E-3</v>
      </c>
      <c r="F1315" s="1">
        <v>4.5176999999999997E-7</v>
      </c>
      <c r="G1315" s="1">
        <v>6.7252000000000001</v>
      </c>
      <c r="H1315" s="1">
        <v>1.9208999999999999E-7</v>
      </c>
      <c r="I1315" s="1">
        <f t="shared" si="180"/>
        <v>1.9208999999999999E-7</v>
      </c>
      <c r="J1315" s="4">
        <f t="shared" si="181"/>
        <v>-1.0594112292500269E-8</v>
      </c>
      <c r="K1315" s="4">
        <f t="shared" si="182"/>
        <v>-1.8985292631280604E-8</v>
      </c>
      <c r="L1315" s="4">
        <f t="shared" si="183"/>
        <v>-5.7675737890999405E-9</v>
      </c>
      <c r="M1315" s="4">
        <f t="shared" si="185"/>
        <v>-6.2891334945483169E-9</v>
      </c>
      <c r="N1315" s="5">
        <f t="shared" si="186"/>
        <v>5.1715532674809849E-7</v>
      </c>
      <c r="O1315" s="5">
        <f t="shared" si="187"/>
        <v>9.7150270347762885E-7</v>
      </c>
      <c r="P1315" s="5">
        <f t="shared" si="188"/>
        <v>3.1134196977427211E-7</v>
      </c>
      <c r="Q1315" s="1">
        <f t="shared" si="184"/>
        <v>1.7999999999999995E-6</v>
      </c>
    </row>
    <row r="1316" spans="1:17" x14ac:dyDescent="0.25">
      <c r="A1316" s="1">
        <v>65.7</v>
      </c>
      <c r="B1316" s="1">
        <v>7.0391999999999998E-3</v>
      </c>
      <c r="C1316" s="1">
        <v>7.8016999999999995E-4</v>
      </c>
      <c r="D1316" s="1">
        <v>3.1109999999999999E-2</v>
      </c>
      <c r="E1316" s="1">
        <v>5.9199999999999999E-3</v>
      </c>
      <c r="F1316" s="1">
        <v>4.4980000000000002E-7</v>
      </c>
      <c r="G1316" s="1">
        <v>6.7251000000000003</v>
      </c>
      <c r="H1316" s="1">
        <v>1.9212E-7</v>
      </c>
      <c r="I1316" s="1">
        <f t="shared" si="180"/>
        <v>1.9212E-7</v>
      </c>
      <c r="J1316" s="4">
        <f t="shared" si="181"/>
        <v>-1.0554940229791682E-8</v>
      </c>
      <c r="K1316" s="4">
        <f t="shared" si="182"/>
        <v>-1.8944302717812686E-8</v>
      </c>
      <c r="L1316" s="4">
        <f t="shared" si="183"/>
        <v>-5.7557553732511307E-9</v>
      </c>
      <c r="M1316" s="4">
        <f t="shared" si="185"/>
        <v>-6.2795962922633352E-9</v>
      </c>
      <c r="N1316" s="5">
        <f t="shared" si="186"/>
        <v>5.1978893386286841E-7</v>
      </c>
      <c r="O1316" s="5">
        <f t="shared" si="187"/>
        <v>9.6939293728187127E-7</v>
      </c>
      <c r="P1316" s="5">
        <f t="shared" si="188"/>
        <v>3.1081812885525993E-7</v>
      </c>
      <c r="Q1316" s="1">
        <f t="shared" si="184"/>
        <v>1.7999999999999997E-6</v>
      </c>
    </row>
    <row r="1317" spans="1:17" x14ac:dyDescent="0.25">
      <c r="A1317" s="1">
        <v>65.75</v>
      </c>
      <c r="B1317" s="1">
        <v>7.0270000000000003E-3</v>
      </c>
      <c r="C1317" s="1">
        <v>7.7663000000000005E-4</v>
      </c>
      <c r="D1317" s="1">
        <v>3.1118E-2</v>
      </c>
      <c r="E1317" s="1">
        <v>5.9036999999999996E-3</v>
      </c>
      <c r="F1317" s="1">
        <v>4.4783000000000001E-7</v>
      </c>
      <c r="G1317" s="1">
        <v>6.7251000000000003</v>
      </c>
      <c r="H1317" s="1">
        <v>1.9215000000000001E-7</v>
      </c>
      <c r="I1317" s="1">
        <f t="shared" si="180"/>
        <v>1.9215000000000001E-7</v>
      </c>
      <c r="J1317" s="4">
        <f t="shared" si="181"/>
        <v>-1.0516371789068691E-8</v>
      </c>
      <c r="K1317" s="4">
        <f t="shared" si="182"/>
        <v>-1.8903162276995417E-8</v>
      </c>
      <c r="L1317" s="4">
        <f t="shared" si="183"/>
        <v>-5.744024502308573E-9</v>
      </c>
      <c r="M1317" s="4">
        <f t="shared" si="185"/>
        <v>-6.2700097861452598E-9</v>
      </c>
      <c r="N1317" s="5">
        <f t="shared" si="186"/>
        <v>5.2243169984848653E-7</v>
      </c>
      <c r="O1317" s="5">
        <f t="shared" si="187"/>
        <v>9.6727615658008982E-7</v>
      </c>
      <c r="P1317" s="5">
        <f t="shared" si="188"/>
        <v>3.1029214357142325E-7</v>
      </c>
      <c r="Q1317" s="1">
        <f t="shared" si="184"/>
        <v>1.7999999999999995E-6</v>
      </c>
    </row>
    <row r="1318" spans="1:17" x14ac:dyDescent="0.25">
      <c r="A1318" s="1">
        <v>65.8</v>
      </c>
      <c r="B1318" s="1">
        <v>7.0147999999999999E-3</v>
      </c>
      <c r="C1318" s="1">
        <v>7.7309999999999998E-4</v>
      </c>
      <c r="D1318" s="1">
        <v>3.1126000000000001E-2</v>
      </c>
      <c r="E1318" s="1">
        <v>5.8875000000000004E-3</v>
      </c>
      <c r="F1318" s="1">
        <v>4.4586E-7</v>
      </c>
      <c r="G1318" s="1">
        <v>6.7249999999999996</v>
      </c>
      <c r="H1318" s="1">
        <v>1.9217999999999999E-7</v>
      </c>
      <c r="I1318" s="1">
        <f t="shared" si="180"/>
        <v>1.9217999999999999E-7</v>
      </c>
      <c r="J1318" s="4">
        <f t="shared" si="181"/>
        <v>-1.047745701881399E-8</v>
      </c>
      <c r="K1318" s="4">
        <f t="shared" si="182"/>
        <v>-1.8861885053310679E-8</v>
      </c>
      <c r="L1318" s="4">
        <f t="shared" si="183"/>
        <v>-5.7321174655155838E-9</v>
      </c>
      <c r="M1318" s="4">
        <f t="shared" si="185"/>
        <v>-6.2603767156607885E-9</v>
      </c>
      <c r="N1318" s="5">
        <f t="shared" si="186"/>
        <v>5.2508401041746768E-7</v>
      </c>
      <c r="O1318" s="5">
        <f t="shared" si="187"/>
        <v>9.6515210526125407E-7</v>
      </c>
      <c r="P1318" s="5">
        <f t="shared" si="188"/>
        <v>3.0976388432127806E-7</v>
      </c>
      <c r="Q1318" s="1">
        <f t="shared" si="184"/>
        <v>1.7999999999999997E-6</v>
      </c>
    </row>
    <row r="1319" spans="1:17" x14ac:dyDescent="0.25">
      <c r="A1319" s="1">
        <v>65.849999999999994</v>
      </c>
      <c r="B1319" s="1">
        <v>7.0026999999999997E-3</v>
      </c>
      <c r="C1319" s="1">
        <v>7.6959000000000001E-4</v>
      </c>
      <c r="D1319" s="1">
        <v>3.1133999999999998E-2</v>
      </c>
      <c r="E1319" s="1">
        <v>5.8713000000000003E-3</v>
      </c>
      <c r="F1319" s="1">
        <v>4.4391000000000001E-7</v>
      </c>
      <c r="G1319" s="1">
        <v>6.7248999999999999</v>
      </c>
      <c r="H1319" s="1">
        <v>1.9221E-7</v>
      </c>
      <c r="I1319" s="1">
        <f t="shared" si="180"/>
        <v>1.9221E-7</v>
      </c>
      <c r="J1319" s="4">
        <f t="shared" si="181"/>
        <v>-1.0438204881662074E-8</v>
      </c>
      <c r="K1319" s="4">
        <f t="shared" si="182"/>
        <v>-1.8820466052593386E-8</v>
      </c>
      <c r="L1319" s="4">
        <f t="shared" si="183"/>
        <v>-5.7201355728089457E-9</v>
      </c>
      <c r="M1319" s="4">
        <f t="shared" si="185"/>
        <v>-6.2506944453302819E-9</v>
      </c>
      <c r="N1319" s="5">
        <f t="shared" si="186"/>
        <v>5.2774613601558997E-7</v>
      </c>
      <c r="O1319" s="5">
        <f t="shared" si="187"/>
        <v>9.6302053853565294E-7</v>
      </c>
      <c r="P1319" s="5">
        <f t="shared" si="188"/>
        <v>3.0923332544875669E-7</v>
      </c>
      <c r="Q1319" s="1">
        <f t="shared" si="184"/>
        <v>1.7999999999999997E-6</v>
      </c>
    </row>
    <row r="1320" spans="1:17" x14ac:dyDescent="0.25">
      <c r="A1320" s="1">
        <v>65.900000000000006</v>
      </c>
      <c r="B1320" s="1">
        <v>6.9906999999999999E-3</v>
      </c>
      <c r="C1320" s="1">
        <v>7.6608000000000004E-4</v>
      </c>
      <c r="D1320" s="1">
        <v>3.1140999999999999E-2</v>
      </c>
      <c r="E1320" s="1">
        <v>5.8551000000000002E-3</v>
      </c>
      <c r="F1320" s="1">
        <v>4.4195000000000001E-7</v>
      </c>
      <c r="G1320" s="1">
        <v>6.7248999999999999</v>
      </c>
      <c r="H1320" s="1">
        <v>1.9222999999999999E-7</v>
      </c>
      <c r="I1320" s="1">
        <f t="shared" si="180"/>
        <v>1.9222999999999999E-7</v>
      </c>
      <c r="J1320" s="4">
        <f t="shared" si="181"/>
        <v>-1.0399558907314635E-8</v>
      </c>
      <c r="K1320" s="4">
        <f t="shared" si="182"/>
        <v>-1.87789005014495E-8</v>
      </c>
      <c r="L1320" s="4">
        <f t="shared" si="183"/>
        <v>-5.7082417693213276E-9</v>
      </c>
      <c r="M1320" s="4">
        <f t="shared" si="185"/>
        <v>-6.2409624358744996E-9</v>
      </c>
      <c r="N1320" s="5">
        <f t="shared" si="186"/>
        <v>5.3041723584040352E-7</v>
      </c>
      <c r="O1320" s="5">
        <f t="shared" si="187"/>
        <v>9.6088215937739252E-7</v>
      </c>
      <c r="P1320" s="5">
        <f t="shared" si="188"/>
        <v>3.0870060478220351E-7</v>
      </c>
      <c r="Q1320" s="1">
        <f t="shared" si="184"/>
        <v>1.7999999999999995E-6</v>
      </c>
    </row>
    <row r="1321" spans="1:17" x14ac:dyDescent="0.25">
      <c r="A1321" s="1">
        <v>65.95</v>
      </c>
      <c r="B1321" s="1">
        <v>6.9785999999999997E-3</v>
      </c>
      <c r="C1321" s="1">
        <v>7.6258999999999995E-4</v>
      </c>
      <c r="D1321" s="1">
        <v>3.1149E-2</v>
      </c>
      <c r="E1321" s="1">
        <v>5.8389999999999996E-3</v>
      </c>
      <c r="F1321" s="1">
        <v>4.4000999999999998E-7</v>
      </c>
      <c r="G1321" s="1">
        <v>6.7248000000000001</v>
      </c>
      <c r="H1321" s="1">
        <v>1.9226E-7</v>
      </c>
      <c r="I1321" s="1">
        <f t="shared" si="180"/>
        <v>1.9226E-7</v>
      </c>
      <c r="J1321" s="4">
        <f t="shared" si="181"/>
        <v>-1.0360098974693766E-8</v>
      </c>
      <c r="K1321" s="4">
        <f t="shared" si="182"/>
        <v>-1.8737202107858088E-8</v>
      </c>
      <c r="L1321" s="4">
        <f t="shared" si="183"/>
        <v>-5.6960419584325682E-9</v>
      </c>
      <c r="M1321" s="4">
        <f t="shared" si="185"/>
        <v>-6.2308593120143595E-9</v>
      </c>
      <c r="N1321" s="5">
        <f t="shared" si="186"/>
        <v>5.3309829701513531E-7</v>
      </c>
      <c r="O1321" s="5">
        <f t="shared" si="187"/>
        <v>9.5873591555624249E-7</v>
      </c>
      <c r="P1321" s="5">
        <f t="shared" si="188"/>
        <v>3.0816578742862176E-7</v>
      </c>
      <c r="Q1321" s="1">
        <f t="shared" si="184"/>
        <v>1.7999999999999995E-6</v>
      </c>
    </row>
    <row r="1322" spans="1:17" x14ac:dyDescent="0.25">
      <c r="A1322" s="1">
        <v>66</v>
      </c>
      <c r="B1322" s="1">
        <v>6.9665999999999999E-3</v>
      </c>
      <c r="C1322" s="1">
        <v>7.5909999999999997E-4</v>
      </c>
      <c r="D1322" s="1">
        <v>3.1157000000000001E-2</v>
      </c>
      <c r="E1322" s="1">
        <v>5.8230000000000001E-3</v>
      </c>
      <c r="F1322" s="1">
        <v>4.3807E-7</v>
      </c>
      <c r="G1322" s="1">
        <v>6.7247000000000003</v>
      </c>
      <c r="H1322" s="1">
        <v>1.9229000000000001E-7</v>
      </c>
      <c r="I1322" s="1">
        <f t="shared" si="180"/>
        <v>1.9229000000000001E-7</v>
      </c>
      <c r="J1322" s="4">
        <f t="shared" si="181"/>
        <v>-1.0321252162044787E-8</v>
      </c>
      <c r="K1322" s="4">
        <f t="shared" si="182"/>
        <v>-1.8695350353345666E-8</v>
      </c>
      <c r="L1322" s="4">
        <f t="shared" si="183"/>
        <v>-5.6840306857308917E-9</v>
      </c>
      <c r="M1322" s="4">
        <f t="shared" si="185"/>
        <v>-6.2210352005574614E-9</v>
      </c>
      <c r="N1322" s="5">
        <f t="shared" si="186"/>
        <v>5.3578836452070541E-7</v>
      </c>
      <c r="O1322" s="5">
        <f t="shared" si="187"/>
        <v>9.5658285256549902E-7</v>
      </c>
      <c r="P1322" s="5">
        <f t="shared" si="188"/>
        <v>3.0762878291379522E-7</v>
      </c>
      <c r="Q1322" s="1">
        <f t="shared" si="184"/>
        <v>1.7999999999999997E-6</v>
      </c>
    </row>
    <row r="1323" spans="1:17" x14ac:dyDescent="0.25">
      <c r="A1323" s="1">
        <v>66.05</v>
      </c>
      <c r="B1323" s="1">
        <v>6.9546E-3</v>
      </c>
      <c r="C1323" s="1">
        <v>7.5562999999999997E-4</v>
      </c>
      <c r="D1323" s="1">
        <v>3.1165000000000002E-2</v>
      </c>
      <c r="E1323" s="1">
        <v>5.8069999999999997E-3</v>
      </c>
      <c r="F1323" s="1">
        <v>4.3612999999999998E-7</v>
      </c>
      <c r="G1323" s="1">
        <v>6.7247000000000003</v>
      </c>
      <c r="H1323" s="1">
        <v>1.9231999999999999E-7</v>
      </c>
      <c r="I1323" s="1">
        <f t="shared" si="180"/>
        <v>1.9231999999999999E-7</v>
      </c>
      <c r="J1323" s="4">
        <f t="shared" si="181"/>
        <v>-1.0282064017097975E-8</v>
      </c>
      <c r="K1323" s="4">
        <f t="shared" si="182"/>
        <v>-1.865336562502617E-8</v>
      </c>
      <c r="L1323" s="4">
        <f t="shared" si="183"/>
        <v>-5.67194064651723E-9</v>
      </c>
      <c r="M1323" s="4">
        <f t="shared" si="185"/>
        <v>-6.2111635599814836E-9</v>
      </c>
      <c r="N1323" s="5">
        <f t="shared" si="186"/>
        <v>5.3848772548211639E-7</v>
      </c>
      <c r="O1323" s="5">
        <f t="shared" si="187"/>
        <v>9.5442271451755232E-7</v>
      </c>
      <c r="P1323" s="5">
        <f t="shared" si="188"/>
        <v>3.07089560000331E-7</v>
      </c>
      <c r="Q1323" s="1">
        <f t="shared" si="184"/>
        <v>1.7999999999999997E-6</v>
      </c>
    </row>
    <row r="1324" spans="1:17" x14ac:dyDescent="0.25">
      <c r="A1324" s="1">
        <v>66.099999999999994</v>
      </c>
      <c r="B1324" s="1">
        <v>6.9426999999999996E-3</v>
      </c>
      <c r="C1324" s="1">
        <v>7.5217999999999997E-4</v>
      </c>
      <c r="D1324" s="1">
        <v>3.1171999999999998E-2</v>
      </c>
      <c r="E1324" s="1">
        <v>5.7910000000000001E-3</v>
      </c>
      <c r="F1324" s="1">
        <v>4.3421000000000002E-7</v>
      </c>
      <c r="G1324" s="1">
        <v>6.7245999999999997</v>
      </c>
      <c r="H1324" s="1">
        <v>1.9235E-7</v>
      </c>
      <c r="I1324" s="1">
        <f t="shared" si="180"/>
        <v>1.9235E-7</v>
      </c>
      <c r="J1324" s="4">
        <f t="shared" si="181"/>
        <v>-1.0242541473224578E-8</v>
      </c>
      <c r="K1324" s="4">
        <f t="shared" si="182"/>
        <v>-1.8611242933091212E-8</v>
      </c>
      <c r="L1324" s="4">
        <f t="shared" si="183"/>
        <v>-5.6596775982003707E-9</v>
      </c>
      <c r="M1324" s="4">
        <f t="shared" si="185"/>
        <v>-6.2012437388223319E-9</v>
      </c>
      <c r="N1324" s="5">
        <f t="shared" si="186"/>
        <v>5.4119674934378268E-7</v>
      </c>
      <c r="O1324" s="5">
        <f t="shared" si="187"/>
        <v>9.5225525679650804E-7</v>
      </c>
      <c r="P1324" s="5">
        <f t="shared" si="188"/>
        <v>3.0654799385970903E-7</v>
      </c>
      <c r="Q1324" s="1">
        <f t="shared" si="184"/>
        <v>1.7999999999999997E-6</v>
      </c>
    </row>
    <row r="1325" spans="1:17" x14ac:dyDescent="0.25">
      <c r="A1325" s="1">
        <v>66.150000000000006</v>
      </c>
      <c r="B1325" s="1">
        <v>6.9306999999999997E-3</v>
      </c>
      <c r="C1325" s="1">
        <v>7.4872999999999997E-4</v>
      </c>
      <c r="D1325" s="1">
        <v>3.1179999999999999E-2</v>
      </c>
      <c r="E1325" s="1">
        <v>5.7751E-3</v>
      </c>
      <c r="F1325" s="1">
        <v>4.3228E-7</v>
      </c>
      <c r="G1325" s="1">
        <v>6.7244999999999999</v>
      </c>
      <c r="H1325" s="1">
        <v>1.9236999999999999E-7</v>
      </c>
      <c r="I1325" s="1">
        <f t="shared" si="180"/>
        <v>1.9236999999999999E-7</v>
      </c>
      <c r="J1325" s="4">
        <f t="shared" si="181"/>
        <v>-1.0203632812966778E-8</v>
      </c>
      <c r="K1325" s="4">
        <f t="shared" si="182"/>
        <v>-1.8568977507536128E-8</v>
      </c>
      <c r="L1325" s="4">
        <f t="shared" si="183"/>
        <v>-5.6475054955562061E-9</v>
      </c>
      <c r="M1325" s="4">
        <f t="shared" si="185"/>
        <v>-6.1912731949874865E-9</v>
      </c>
      <c r="N1325" s="5">
        <f t="shared" si="186"/>
        <v>5.4391458854279584E-7</v>
      </c>
      <c r="O1325" s="5">
        <f t="shared" si="187"/>
        <v>9.5008118529692619E-7</v>
      </c>
      <c r="P1325" s="5">
        <f t="shared" si="188"/>
        <v>3.0600422616027774E-7</v>
      </c>
      <c r="Q1325" s="1">
        <f t="shared" si="184"/>
        <v>1.7999999999999997E-6</v>
      </c>
    </row>
    <row r="1326" spans="1:17" x14ac:dyDescent="0.25">
      <c r="A1326" s="1">
        <v>66.2</v>
      </c>
      <c r="B1326" s="1">
        <v>6.9188000000000001E-3</v>
      </c>
      <c r="C1326" s="1">
        <v>7.4529000000000001E-4</v>
      </c>
      <c r="D1326" s="1">
        <v>3.1188E-2</v>
      </c>
      <c r="E1326" s="1">
        <v>5.7591999999999999E-3</v>
      </c>
      <c r="F1326" s="1">
        <v>4.3037000000000001E-7</v>
      </c>
      <c r="G1326" s="1">
        <v>6.7244999999999999</v>
      </c>
      <c r="H1326" s="1">
        <v>1.924E-7</v>
      </c>
      <c r="I1326" s="1">
        <f t="shared" si="180"/>
        <v>1.924E-7</v>
      </c>
      <c r="J1326" s="4">
        <f t="shared" si="181"/>
        <v>-1.0163914263236897E-8</v>
      </c>
      <c r="K1326" s="4">
        <f t="shared" si="182"/>
        <v>-1.8526583113289009E-8</v>
      </c>
      <c r="L1326" s="4">
        <f t="shared" si="183"/>
        <v>-5.6351237215628882E-9</v>
      </c>
      <c r="M1326" s="4">
        <f t="shared" si="185"/>
        <v>-6.1809334635771742E-9</v>
      </c>
      <c r="N1326" s="5">
        <f t="shared" si="186"/>
        <v>5.4664213367128519E-7</v>
      </c>
      <c r="O1326" s="5">
        <f t="shared" si="187"/>
        <v>9.4789944991045123E-7</v>
      </c>
      <c r="P1326" s="5">
        <f t="shared" si="188"/>
        <v>3.0545841641826345E-7</v>
      </c>
      <c r="Q1326" s="1">
        <f t="shared" si="184"/>
        <v>1.7999999999999997E-6</v>
      </c>
    </row>
    <row r="1327" spans="1:17" x14ac:dyDescent="0.25">
      <c r="A1327" s="1">
        <v>66.25</v>
      </c>
      <c r="B1327" s="1">
        <v>6.9069999999999999E-3</v>
      </c>
      <c r="C1327" s="1">
        <v>7.4187000000000005E-4</v>
      </c>
      <c r="D1327" s="1">
        <v>3.1195000000000001E-2</v>
      </c>
      <c r="E1327" s="1">
        <v>5.7434000000000001E-3</v>
      </c>
      <c r="F1327" s="1">
        <v>4.2846000000000001E-7</v>
      </c>
      <c r="G1327" s="1">
        <v>6.7244000000000002</v>
      </c>
      <c r="H1327" s="1">
        <v>1.9243000000000001E-7</v>
      </c>
      <c r="I1327" s="1">
        <f t="shared" si="180"/>
        <v>1.9243000000000001E-7</v>
      </c>
      <c r="J1327" s="4">
        <f t="shared" si="181"/>
        <v>-1.0124814687805718E-8</v>
      </c>
      <c r="K1327" s="4">
        <f t="shared" si="182"/>
        <v>-1.8484039273252747E-8</v>
      </c>
      <c r="L1327" s="4">
        <f t="shared" si="183"/>
        <v>-5.6228351398225804E-9</v>
      </c>
      <c r="M1327" s="4">
        <f t="shared" si="185"/>
        <v>-6.1708709284814081E-9</v>
      </c>
      <c r="N1327" s="5">
        <f t="shared" si="186"/>
        <v>5.4937852311690961E-7</v>
      </c>
      <c r="O1327" s="5">
        <f t="shared" si="187"/>
        <v>9.4571109625348564E-7</v>
      </c>
      <c r="P1327" s="5">
        <f t="shared" si="188"/>
        <v>3.0491038062960462E-7</v>
      </c>
      <c r="Q1327" s="1">
        <f t="shared" si="184"/>
        <v>1.7999999999999999E-6</v>
      </c>
    </row>
    <row r="1328" spans="1:17" x14ac:dyDescent="0.25">
      <c r="A1328" s="1">
        <v>66.3</v>
      </c>
      <c r="B1328" s="1">
        <v>6.8951000000000004E-3</v>
      </c>
      <c r="C1328" s="1">
        <v>7.3846000000000003E-4</v>
      </c>
      <c r="D1328" s="1">
        <v>3.1203000000000002E-2</v>
      </c>
      <c r="E1328" s="1">
        <v>5.7276000000000002E-3</v>
      </c>
      <c r="F1328" s="1">
        <v>4.2655000000000002E-7</v>
      </c>
      <c r="G1328" s="1">
        <v>6.7243000000000004</v>
      </c>
      <c r="H1328" s="1">
        <v>1.9245999999999999E-7</v>
      </c>
      <c r="I1328" s="1">
        <f t="shared" si="180"/>
        <v>1.9245999999999999E-7</v>
      </c>
      <c r="J1328" s="4">
        <f t="shared" si="181"/>
        <v>-1.0085379491440025E-8</v>
      </c>
      <c r="K1328" s="4">
        <f t="shared" si="182"/>
        <v>-1.8441366376941924E-8</v>
      </c>
      <c r="L1328" s="4">
        <f t="shared" si="183"/>
        <v>-5.6104684117587883E-9</v>
      </c>
      <c r="M1328" s="4">
        <f t="shared" si="185"/>
        <v>-6.1607599771779059E-9</v>
      </c>
      <c r="N1328" s="5">
        <f t="shared" si="186"/>
        <v>5.5212404159065274E-7</v>
      </c>
      <c r="O1328" s="5">
        <f t="shared" si="187"/>
        <v>9.435158693451616E-7</v>
      </c>
      <c r="P1328" s="5">
        <f t="shared" si="188"/>
        <v>3.0436008906418547E-7</v>
      </c>
      <c r="Q1328" s="1">
        <f t="shared" si="184"/>
        <v>1.7999999999999997E-6</v>
      </c>
    </row>
    <row r="1329" spans="1:17" x14ac:dyDescent="0.25">
      <c r="A1329" s="1">
        <v>66.349999999999994</v>
      </c>
      <c r="B1329" s="1">
        <v>6.8833999999999996E-3</v>
      </c>
      <c r="C1329" s="1">
        <v>7.3506000000000005E-4</v>
      </c>
      <c r="D1329" s="1">
        <v>3.1210999999999999E-2</v>
      </c>
      <c r="E1329" s="1">
        <v>5.7118000000000004E-3</v>
      </c>
      <c r="F1329" s="1">
        <v>4.2465999999999999E-7</v>
      </c>
      <c r="G1329" s="1">
        <v>6.7243000000000004</v>
      </c>
      <c r="H1329" s="1">
        <v>1.9249E-7</v>
      </c>
      <c r="I1329" s="1">
        <f t="shared" si="180"/>
        <v>1.9249E-7</v>
      </c>
      <c r="J1329" s="4">
        <f t="shared" si="181"/>
        <v>-1.0045615491511154E-8</v>
      </c>
      <c r="K1329" s="4">
        <f t="shared" si="182"/>
        <v>-1.8398559452229607E-8</v>
      </c>
      <c r="L1329" s="4">
        <f t="shared" si="183"/>
        <v>-5.5979289473706257E-9</v>
      </c>
      <c r="M1329" s="4">
        <f t="shared" si="185"/>
        <v>-6.1505999878354296E-9</v>
      </c>
      <c r="N1329" s="5">
        <f t="shared" si="186"/>
        <v>5.5487905660400047E-7</v>
      </c>
      <c r="O1329" s="5">
        <f t="shared" si="187"/>
        <v>9.4131352537227864E-7</v>
      </c>
      <c r="P1329" s="5">
        <f t="shared" si="188"/>
        <v>3.0380741802372065E-7</v>
      </c>
      <c r="Q1329" s="1">
        <f t="shared" si="184"/>
        <v>1.7999999999999997E-6</v>
      </c>
    </row>
    <row r="1330" spans="1:17" x14ac:dyDescent="0.25">
      <c r="A1330" s="1">
        <v>66.400000000000006</v>
      </c>
      <c r="B1330" s="1">
        <v>6.8716000000000003E-3</v>
      </c>
      <c r="C1330" s="1">
        <v>7.3167999999999996E-4</v>
      </c>
      <c r="D1330" s="1">
        <v>3.1217999999999999E-2</v>
      </c>
      <c r="E1330" s="1">
        <v>5.6960999999999999E-3</v>
      </c>
      <c r="F1330" s="1">
        <v>4.2276000000000001E-7</v>
      </c>
      <c r="G1330" s="1">
        <v>6.7241999999999997</v>
      </c>
      <c r="H1330" s="1">
        <v>1.9250999999999999E-7</v>
      </c>
      <c r="I1330" s="1">
        <f t="shared" si="180"/>
        <v>1.9250999999999999E-7</v>
      </c>
      <c r="J1330" s="4">
        <f t="shared" si="181"/>
        <v>-1.0006473369578071E-8</v>
      </c>
      <c r="K1330" s="4">
        <f t="shared" si="182"/>
        <v>-1.8355613744763607E-8</v>
      </c>
      <c r="L1330" s="4">
        <f t="shared" si="183"/>
        <v>-5.5854835529194541E-9</v>
      </c>
      <c r="M1330" s="4">
        <f t="shared" si="185"/>
        <v>-6.1403884390169246E-9</v>
      </c>
      <c r="N1330" s="5">
        <f t="shared" si="186"/>
        <v>5.5764271342626658E-7</v>
      </c>
      <c r="O1330" s="5">
        <f t="shared" si="187"/>
        <v>9.3910477343611004E-7</v>
      </c>
      <c r="P1330" s="5">
        <f t="shared" si="188"/>
        <v>3.0325251313762319E-7</v>
      </c>
      <c r="Q1330" s="1">
        <f t="shared" si="184"/>
        <v>1.7999999999999997E-6</v>
      </c>
    </row>
    <row r="1331" spans="1:17" x14ac:dyDescent="0.25">
      <c r="A1331" s="1">
        <v>66.45</v>
      </c>
      <c r="B1331" s="1">
        <v>6.8598000000000001E-3</v>
      </c>
      <c r="C1331" s="1">
        <v>7.2829999999999998E-4</v>
      </c>
      <c r="D1331" s="1">
        <v>3.1226E-2</v>
      </c>
      <c r="E1331" s="1">
        <v>5.6804999999999998E-3</v>
      </c>
      <c r="F1331" s="1">
        <v>4.2087999999999999E-7</v>
      </c>
      <c r="G1331" s="1">
        <v>6.7241</v>
      </c>
      <c r="H1331" s="1">
        <v>1.9254E-7</v>
      </c>
      <c r="I1331" s="1">
        <f t="shared" si="180"/>
        <v>1.9254E-7</v>
      </c>
      <c r="J1331" s="4">
        <f t="shared" si="181"/>
        <v>-9.9665261414329015E-9</v>
      </c>
      <c r="K1331" s="4">
        <f t="shared" si="182"/>
        <v>-1.8312543082003106E-8</v>
      </c>
      <c r="L1331" s="4">
        <f t="shared" si="183"/>
        <v>-5.5728277899989647E-9</v>
      </c>
      <c r="M1331" s="4">
        <f t="shared" si="185"/>
        <v>-6.1298098369326539E-9</v>
      </c>
      <c r="N1331" s="5">
        <f t="shared" si="186"/>
        <v>5.6041590257683785E-7</v>
      </c>
      <c r="O1331" s="5">
        <f t="shared" si="187"/>
        <v>9.3688856633247251E-7</v>
      </c>
      <c r="P1331" s="5">
        <f t="shared" si="188"/>
        <v>3.0269553109068951E-7</v>
      </c>
      <c r="Q1331" s="1">
        <f t="shared" si="184"/>
        <v>1.7999999999999999E-6</v>
      </c>
    </row>
    <row r="1332" spans="1:17" x14ac:dyDescent="0.25">
      <c r="A1332" s="1">
        <v>66.5</v>
      </c>
      <c r="B1332" s="1">
        <v>6.8481000000000002E-3</v>
      </c>
      <c r="C1332" s="1">
        <v>7.2493999999999998E-4</v>
      </c>
      <c r="D1332" s="1">
        <v>3.1233E-2</v>
      </c>
      <c r="E1332" s="1">
        <v>5.6648000000000002E-3</v>
      </c>
      <c r="F1332" s="1">
        <v>4.1899999999999998E-7</v>
      </c>
      <c r="G1332" s="1">
        <v>6.7241</v>
      </c>
      <c r="H1332" s="1">
        <v>1.9257000000000001E-7</v>
      </c>
      <c r="I1332" s="1">
        <f t="shared" si="180"/>
        <v>1.9257000000000001E-7</v>
      </c>
      <c r="J1332" s="4">
        <f t="shared" si="181"/>
        <v>-9.9272058635808304E-9</v>
      </c>
      <c r="K1332" s="4">
        <f t="shared" si="182"/>
        <v>-1.8269327043482176E-8</v>
      </c>
      <c r="L1332" s="4">
        <f t="shared" si="183"/>
        <v>-5.5603662699224068E-9</v>
      </c>
      <c r="M1332" s="4">
        <f t="shared" si="185"/>
        <v>-6.1195047434007941E-9</v>
      </c>
      <c r="N1332" s="5">
        <f t="shared" si="186"/>
        <v>5.6319765748681677E-7</v>
      </c>
      <c r="O1332" s="5">
        <f t="shared" si="187"/>
        <v>9.3466594989597193E-7</v>
      </c>
      <c r="P1332" s="5">
        <f t="shared" si="188"/>
        <v>3.0213639261721112E-7</v>
      </c>
      <c r="Q1332" s="1">
        <f t="shared" si="184"/>
        <v>1.7999999999999997E-6</v>
      </c>
    </row>
    <row r="1333" spans="1:17" x14ac:dyDescent="0.25">
      <c r="A1333" s="1">
        <v>66.55</v>
      </c>
      <c r="B1333" s="1">
        <v>6.8364999999999997E-3</v>
      </c>
      <c r="C1333" s="1">
        <v>7.2159000000000004E-4</v>
      </c>
      <c r="D1333" s="1">
        <v>3.1241000000000001E-2</v>
      </c>
      <c r="E1333" s="1">
        <v>5.6493000000000003E-3</v>
      </c>
      <c r="F1333" s="1">
        <v>4.1712000000000002E-7</v>
      </c>
      <c r="G1333" s="1">
        <v>6.7240000000000002</v>
      </c>
      <c r="H1333" s="1">
        <v>1.9259999999999999E-7</v>
      </c>
      <c r="I1333" s="1">
        <f t="shared" si="180"/>
        <v>1.9259999999999999E-7</v>
      </c>
      <c r="J1333" s="4">
        <f t="shared" si="181"/>
        <v>-9.8875543946037425E-9</v>
      </c>
      <c r="K1333" s="4">
        <f t="shared" si="182"/>
        <v>-1.8225986022970418E-8</v>
      </c>
      <c r="L1333" s="4">
        <f t="shared" si="183"/>
        <v>-5.54763067442453E-9</v>
      </c>
      <c r="M1333" s="4">
        <f t="shared" si="185"/>
        <v>-6.1091525382607687E-9</v>
      </c>
      <c r="N1333" s="5">
        <f t="shared" si="186"/>
        <v>5.6598845844075891E-7</v>
      </c>
      <c r="O1333" s="5">
        <f t="shared" si="187"/>
        <v>9.3243667080586598E-7</v>
      </c>
      <c r="P1333" s="5">
        <f t="shared" si="188"/>
        <v>3.0157487075337488E-7</v>
      </c>
      <c r="Q1333" s="1">
        <f t="shared" si="184"/>
        <v>1.7999999999999999E-6</v>
      </c>
    </row>
    <row r="1334" spans="1:17" x14ac:dyDescent="0.25">
      <c r="A1334" s="1">
        <v>66.599999999999994</v>
      </c>
      <c r="B1334" s="1">
        <v>6.8247999999999998E-3</v>
      </c>
      <c r="C1334" s="1">
        <v>7.1825000000000003E-4</v>
      </c>
      <c r="D1334" s="1">
        <v>3.1248000000000001E-2</v>
      </c>
      <c r="E1334" s="1">
        <v>5.6337000000000002E-3</v>
      </c>
      <c r="F1334" s="1">
        <v>4.1525999999999997E-7</v>
      </c>
      <c r="G1334" s="1">
        <v>6.7239000000000004</v>
      </c>
      <c r="H1334" s="1">
        <v>1.9261999999999999E-7</v>
      </c>
      <c r="I1334" s="1">
        <f t="shared" si="180"/>
        <v>1.9261999999999999E-7</v>
      </c>
      <c r="J1334" s="4">
        <f t="shared" si="181"/>
        <v>-9.8475819324954088E-9</v>
      </c>
      <c r="K1334" s="4">
        <f t="shared" si="182"/>
        <v>-1.8182515080713355E-8</v>
      </c>
      <c r="L1334" s="4">
        <f t="shared" si="183"/>
        <v>-5.5349196906566985E-9</v>
      </c>
      <c r="M1334" s="4">
        <f t="shared" si="185"/>
        <v>-6.098748611245153E-9</v>
      </c>
      <c r="N1334" s="5">
        <f t="shared" si="186"/>
        <v>5.6878847189832012E-7</v>
      </c>
      <c r="O1334" s="5">
        <f t="shared" si="187"/>
        <v>9.3020048626889322E-7</v>
      </c>
      <c r="P1334" s="5">
        <f t="shared" si="188"/>
        <v>3.0101104183278642E-7</v>
      </c>
      <c r="Q1334" s="1">
        <f t="shared" si="184"/>
        <v>1.7999999999999997E-6</v>
      </c>
    </row>
    <row r="1335" spans="1:17" x14ac:dyDescent="0.25">
      <c r="A1335" s="1">
        <v>66.650000000000006</v>
      </c>
      <c r="B1335" s="1">
        <v>6.8132000000000002E-3</v>
      </c>
      <c r="C1335" s="1">
        <v>7.1491999999999997E-4</v>
      </c>
      <c r="D1335" s="1">
        <v>3.1255999999999999E-2</v>
      </c>
      <c r="E1335" s="1">
        <v>5.6182999999999997E-3</v>
      </c>
      <c r="F1335" s="1">
        <v>4.1339999999999998E-7</v>
      </c>
      <c r="G1335" s="1">
        <v>6.7239000000000004</v>
      </c>
      <c r="H1335" s="1">
        <v>1.9264999999999999E-7</v>
      </c>
      <c r="I1335" s="1">
        <f t="shared" si="180"/>
        <v>1.9264999999999999E-7</v>
      </c>
      <c r="J1335" s="4">
        <f t="shared" si="181"/>
        <v>-9.8082377575046819E-9</v>
      </c>
      <c r="K1335" s="4">
        <f t="shared" si="182"/>
        <v>-1.8138909482247543E-8</v>
      </c>
      <c r="L1335" s="4">
        <f t="shared" si="183"/>
        <v>-5.5222072093624393E-9</v>
      </c>
      <c r="M1335" s="4">
        <f t="shared" si="185"/>
        <v>-6.0879784221736717E-9</v>
      </c>
      <c r="N1335" s="5">
        <f t="shared" si="186"/>
        <v>5.7159693641370049E-7</v>
      </c>
      <c r="O1335" s="5">
        <f t="shared" si="187"/>
        <v>9.2795779296632403E-7</v>
      </c>
      <c r="P1335" s="5">
        <f t="shared" si="188"/>
        <v>3.0044527061997519E-7</v>
      </c>
      <c r="Q1335" s="1">
        <f t="shared" si="184"/>
        <v>1.7999999999999997E-6</v>
      </c>
    </row>
    <row r="1336" spans="1:17" x14ac:dyDescent="0.25">
      <c r="A1336" s="1">
        <v>66.7</v>
      </c>
      <c r="B1336" s="1">
        <v>6.8015999999999997E-3</v>
      </c>
      <c r="C1336" s="1">
        <v>7.1159999999999995E-4</v>
      </c>
      <c r="D1336" s="1">
        <v>3.1262999999999999E-2</v>
      </c>
      <c r="E1336" s="1">
        <v>5.6027999999999998E-3</v>
      </c>
      <c r="F1336" s="1">
        <v>4.1153999999999999E-7</v>
      </c>
      <c r="G1336" s="1">
        <v>6.7237999999999998</v>
      </c>
      <c r="H1336" s="1">
        <v>1.9268E-7</v>
      </c>
      <c r="I1336" s="1">
        <f t="shared" si="180"/>
        <v>1.9268E-7</v>
      </c>
      <c r="J1336" s="4">
        <f t="shared" si="181"/>
        <v>-9.7685664930443826E-9</v>
      </c>
      <c r="K1336" s="4">
        <f t="shared" si="182"/>
        <v>-1.809517696284229E-8</v>
      </c>
      <c r="L1336" s="4">
        <f t="shared" si="183"/>
        <v>-5.5095152172391317E-9</v>
      </c>
      <c r="M1336" s="4">
        <f t="shared" si="185"/>
        <v>-6.0774820454181666E-9</v>
      </c>
      <c r="N1336" s="5">
        <f t="shared" si="186"/>
        <v>5.7441403166625921E-7</v>
      </c>
      <c r="O1336" s="5">
        <f t="shared" si="187"/>
        <v>9.2570866454194435E-7</v>
      </c>
      <c r="P1336" s="5">
        <f t="shared" si="188"/>
        <v>2.9987730379179615E-7</v>
      </c>
      <c r="Q1336" s="1">
        <f t="shared" si="184"/>
        <v>1.7999999999999997E-6</v>
      </c>
    </row>
    <row r="1337" spans="1:17" x14ac:dyDescent="0.25">
      <c r="A1337" s="1">
        <v>66.75</v>
      </c>
      <c r="B1337" s="1">
        <v>6.7901000000000003E-3</v>
      </c>
      <c r="C1337" s="1">
        <v>7.0830000000000003E-4</v>
      </c>
      <c r="D1337" s="1">
        <v>3.1271E-2</v>
      </c>
      <c r="E1337" s="1">
        <v>5.5874000000000002E-3</v>
      </c>
      <c r="F1337" s="1">
        <v>4.0969000000000001E-7</v>
      </c>
      <c r="G1337" s="1">
        <v>6.7237</v>
      </c>
      <c r="H1337" s="1">
        <v>1.927E-7</v>
      </c>
      <c r="I1337" s="1">
        <f t="shared" si="180"/>
        <v>1.927E-7</v>
      </c>
      <c r="J1337" s="4">
        <f t="shared" si="181"/>
        <v>-9.7285731042598282E-9</v>
      </c>
      <c r="K1337" s="4">
        <f t="shared" si="182"/>
        <v>-1.805131895856689E-8</v>
      </c>
      <c r="L1337" s="4">
        <f t="shared" si="183"/>
        <v>-5.4965516101100733E-9</v>
      </c>
      <c r="M1337" s="4">
        <f t="shared" si="185"/>
        <v>-6.0669376839329991E-9</v>
      </c>
      <c r="N1337" s="5">
        <f t="shared" si="186"/>
        <v>5.772402259104562E-7</v>
      </c>
      <c r="O1337" s="5">
        <f t="shared" si="187"/>
        <v>9.2345285637157028E-7</v>
      </c>
      <c r="P1337" s="5">
        <f t="shared" si="188"/>
        <v>2.9930691771797322E-7</v>
      </c>
      <c r="Q1337" s="1">
        <f t="shared" si="184"/>
        <v>1.7999999999999997E-6</v>
      </c>
    </row>
    <row r="1338" spans="1:17" x14ac:dyDescent="0.25">
      <c r="A1338" s="1">
        <v>66.8</v>
      </c>
      <c r="B1338" s="1">
        <v>6.7786000000000001E-3</v>
      </c>
      <c r="C1338" s="1">
        <v>7.0500999999999995E-4</v>
      </c>
      <c r="D1338" s="1">
        <v>3.1278E-2</v>
      </c>
      <c r="E1338" s="1">
        <v>5.5719999999999997E-3</v>
      </c>
      <c r="F1338" s="1">
        <v>4.0784999999999999E-7</v>
      </c>
      <c r="G1338" s="1">
        <v>6.7237</v>
      </c>
      <c r="H1338" s="1">
        <v>1.9273000000000001E-7</v>
      </c>
      <c r="I1338" s="1">
        <f t="shared" si="180"/>
        <v>1.9273000000000001E-7</v>
      </c>
      <c r="J1338" s="4">
        <f t="shared" si="181"/>
        <v>-9.6887402982901448E-9</v>
      </c>
      <c r="K1338" s="4">
        <f t="shared" si="182"/>
        <v>-1.8007330699244597E-8</v>
      </c>
      <c r="L1338" s="4">
        <f t="shared" si="183"/>
        <v>-5.4836510606083962E-9</v>
      </c>
      <c r="M1338" s="4">
        <f t="shared" si="185"/>
        <v>-6.0560265196462674E-9</v>
      </c>
      <c r="N1338" s="5">
        <f t="shared" si="186"/>
        <v>5.800751652508023E-7</v>
      </c>
      <c r="O1338" s="5">
        <f t="shared" si="187"/>
        <v>9.2119029249026204E-7</v>
      </c>
      <c r="P1338" s="5">
        <f t="shared" si="188"/>
        <v>2.9873454225893537E-7</v>
      </c>
      <c r="Q1338" s="1">
        <f t="shared" si="184"/>
        <v>1.7999999999999997E-6</v>
      </c>
    </row>
    <row r="1339" spans="1:17" x14ac:dyDescent="0.25">
      <c r="A1339" s="1">
        <v>66.849999999999994</v>
      </c>
      <c r="B1339" s="1">
        <v>6.7670999999999999E-3</v>
      </c>
      <c r="C1339" s="1">
        <v>7.0173000000000002E-4</v>
      </c>
      <c r="D1339" s="1">
        <v>3.1286000000000001E-2</v>
      </c>
      <c r="E1339" s="1">
        <v>5.5567000000000004E-3</v>
      </c>
      <c r="F1339" s="1">
        <v>4.0601000000000002E-7</v>
      </c>
      <c r="G1339" s="1">
        <v>6.7236000000000002</v>
      </c>
      <c r="H1339" s="1">
        <v>1.9275999999999999E-7</v>
      </c>
      <c r="I1339" s="1">
        <f t="shared" si="180"/>
        <v>1.9275999999999999E-7</v>
      </c>
      <c r="J1339" s="4">
        <f t="shared" si="181"/>
        <v>-9.6490644159768578E-9</v>
      </c>
      <c r="K1339" s="4">
        <f t="shared" si="182"/>
        <v>-1.796321070355909E-8</v>
      </c>
      <c r="L1339" s="4">
        <f t="shared" si="183"/>
        <v>-5.4707131480241676E-9</v>
      </c>
      <c r="M1339" s="4">
        <f t="shared" si="185"/>
        <v>-6.0453863746039402E-9</v>
      </c>
      <c r="N1339" s="5">
        <f t="shared" si="186"/>
        <v>5.829185983903603E-7</v>
      </c>
      <c r="O1339" s="5">
        <f t="shared" si="187"/>
        <v>9.1892153257728384E-7</v>
      </c>
      <c r="P1339" s="5">
        <f t="shared" si="188"/>
        <v>2.9815986903235557E-7</v>
      </c>
      <c r="Q1339" s="1">
        <f t="shared" si="184"/>
        <v>1.7999999999999997E-6</v>
      </c>
    </row>
    <row r="1340" spans="1:17" x14ac:dyDescent="0.25">
      <c r="A1340" s="1">
        <v>66.900000000000006</v>
      </c>
      <c r="B1340" s="1">
        <v>6.7555999999999996E-3</v>
      </c>
      <c r="C1340" s="1">
        <v>6.9846000000000003E-4</v>
      </c>
      <c r="D1340" s="1">
        <v>3.1293000000000001E-2</v>
      </c>
      <c r="E1340" s="1">
        <v>5.5415000000000004E-3</v>
      </c>
      <c r="F1340" s="1">
        <v>4.0418000000000001E-7</v>
      </c>
      <c r="G1340" s="1">
        <v>6.7234999999999996</v>
      </c>
      <c r="H1340" s="1">
        <v>1.9278000000000001E-7</v>
      </c>
      <c r="I1340" s="1">
        <f t="shared" si="180"/>
        <v>1.9278000000000001E-7</v>
      </c>
      <c r="J1340" s="4">
        <f t="shared" si="181"/>
        <v>-9.6090703441606081E-9</v>
      </c>
      <c r="K1340" s="4">
        <f t="shared" si="182"/>
        <v>-1.7918969885261112E-8</v>
      </c>
      <c r="L1340" s="4">
        <f t="shared" si="183"/>
        <v>-5.4577003744439444E-9</v>
      </c>
      <c r="M1340" s="4">
        <f t="shared" si="185"/>
        <v>-6.0346961172424416E-9</v>
      </c>
      <c r="N1340" s="5">
        <f t="shared" si="186"/>
        <v>5.8577079755701693E-7</v>
      </c>
      <c r="O1340" s="5">
        <f t="shared" si="187"/>
        <v>9.1664632915342579E-7</v>
      </c>
      <c r="P1340" s="5">
        <f t="shared" si="188"/>
        <v>2.9758287328955709E-7</v>
      </c>
      <c r="Q1340" s="1">
        <f t="shared" si="184"/>
        <v>1.7999999999999999E-6</v>
      </c>
    </row>
    <row r="1341" spans="1:17" x14ac:dyDescent="0.25">
      <c r="A1341" s="1">
        <v>66.95</v>
      </c>
      <c r="B1341" s="1">
        <v>6.7441999999999997E-3</v>
      </c>
      <c r="C1341" s="1">
        <v>6.9519999999999998E-4</v>
      </c>
      <c r="D1341" s="1">
        <v>3.1300000000000001E-2</v>
      </c>
      <c r="E1341" s="1">
        <v>5.5262000000000002E-3</v>
      </c>
      <c r="F1341" s="1">
        <v>4.0236000000000001E-7</v>
      </c>
      <c r="G1341" s="1">
        <v>6.7234999999999996</v>
      </c>
      <c r="H1341" s="1">
        <v>1.9280999999999999E-7</v>
      </c>
      <c r="I1341" s="1">
        <f t="shared" si="180"/>
        <v>1.9280999999999999E-7</v>
      </c>
      <c r="J1341" s="4">
        <f t="shared" si="181"/>
        <v>-9.5692379977831155E-9</v>
      </c>
      <c r="K1341" s="4">
        <f t="shared" si="182"/>
        <v>-1.7874603418490788E-8</v>
      </c>
      <c r="L1341" s="4">
        <f t="shared" si="183"/>
        <v>-5.444750341767724E-9</v>
      </c>
      <c r="M1341" s="4">
        <f t="shared" si="185"/>
        <v>-6.0236427628395439E-9</v>
      </c>
      <c r="N1341" s="5">
        <f t="shared" si="186"/>
        <v>5.8863141263595687E-7</v>
      </c>
      <c r="O1341" s="5">
        <f t="shared" si="187"/>
        <v>9.1436460649555771E-7</v>
      </c>
      <c r="P1341" s="5">
        <f t="shared" si="188"/>
        <v>2.9700398086848528E-7</v>
      </c>
      <c r="Q1341" s="1">
        <f t="shared" si="184"/>
        <v>1.7999999999999997E-6</v>
      </c>
    </row>
    <row r="1342" spans="1:17" x14ac:dyDescent="0.25">
      <c r="A1342" s="1">
        <v>67</v>
      </c>
      <c r="B1342" s="1">
        <v>6.7327999999999997E-3</v>
      </c>
      <c r="C1342" s="1">
        <v>6.9196000000000004E-4</v>
      </c>
      <c r="D1342" s="1">
        <v>3.1308000000000002E-2</v>
      </c>
      <c r="E1342" s="1">
        <v>5.5110000000000003E-3</v>
      </c>
      <c r="F1342" s="1">
        <v>4.0054000000000001E-7</v>
      </c>
      <c r="G1342" s="1">
        <v>6.7233999999999998</v>
      </c>
      <c r="H1342" s="1">
        <v>1.9284E-7</v>
      </c>
      <c r="I1342" s="1">
        <f t="shared" si="180"/>
        <v>1.9284E-7</v>
      </c>
      <c r="J1342" s="4">
        <f t="shared" si="181"/>
        <v>-9.5295640570320203E-9</v>
      </c>
      <c r="K1342" s="4">
        <f t="shared" si="182"/>
        <v>-1.7830109826662361E-8</v>
      </c>
      <c r="L1342" s="4">
        <f t="shared" si="183"/>
        <v>-5.4316644075374517E-9</v>
      </c>
      <c r="M1342" s="4">
        <f t="shared" si="185"/>
        <v>-6.012860442881186E-9</v>
      </c>
      <c r="N1342" s="5">
        <f t="shared" si="186"/>
        <v>5.9150029399804968E-7</v>
      </c>
      <c r="O1342" s="5">
        <f t="shared" si="187"/>
        <v>9.1207692116880864E-7</v>
      </c>
      <c r="P1342" s="5">
        <f t="shared" si="188"/>
        <v>2.9642278483314154E-7</v>
      </c>
      <c r="Q1342" s="1">
        <f t="shared" si="184"/>
        <v>1.7999999999999997E-6</v>
      </c>
    </row>
    <row r="1343" spans="1:17" x14ac:dyDescent="0.25">
      <c r="A1343" s="1">
        <v>67.05</v>
      </c>
      <c r="B1343" s="1">
        <v>6.7213999999999998E-3</v>
      </c>
      <c r="C1343" s="1">
        <v>6.8873000000000003E-4</v>
      </c>
      <c r="D1343" s="1">
        <v>3.1315000000000003E-2</v>
      </c>
      <c r="E1343" s="1">
        <v>5.4958999999999997E-3</v>
      </c>
      <c r="F1343" s="1">
        <v>3.9873000000000002E-7</v>
      </c>
      <c r="G1343" s="1">
        <v>6.7233000000000001</v>
      </c>
      <c r="H1343" s="1">
        <v>1.9285999999999999E-7</v>
      </c>
      <c r="I1343" s="1">
        <f t="shared" si="180"/>
        <v>1.9285999999999999E-7</v>
      </c>
      <c r="J1343" s="4">
        <f t="shared" si="181"/>
        <v>-9.4895747648175446E-9</v>
      </c>
      <c r="K1343" s="4">
        <f t="shared" si="182"/>
        <v>-1.778549996279076E-8</v>
      </c>
      <c r="L1343" s="4">
        <f t="shared" si="183"/>
        <v>-5.4185035975177106E-9</v>
      </c>
      <c r="M1343" s="4">
        <f t="shared" si="185"/>
        <v>-6.002027831858075E-9</v>
      </c>
      <c r="N1343" s="5">
        <f t="shared" si="186"/>
        <v>5.9437771559850525E-7</v>
      </c>
      <c r="O1343" s="5">
        <f t="shared" si="187"/>
        <v>9.0978302380269352E-7</v>
      </c>
      <c r="P1343" s="5">
        <f t="shared" si="188"/>
        <v>2.958392605988012E-7</v>
      </c>
      <c r="Q1343" s="1">
        <f t="shared" si="184"/>
        <v>1.7999999999999999E-6</v>
      </c>
    </row>
    <row r="1344" spans="1:17" x14ac:dyDescent="0.25">
      <c r="A1344" s="1">
        <v>67.099999999999994</v>
      </c>
      <c r="B1344" s="1">
        <v>6.7101000000000001E-3</v>
      </c>
      <c r="C1344" s="1">
        <v>6.8550999999999996E-4</v>
      </c>
      <c r="D1344" s="1">
        <v>3.1322000000000003E-2</v>
      </c>
      <c r="E1344" s="1">
        <v>5.4808000000000001E-3</v>
      </c>
      <c r="F1344" s="1">
        <v>3.9691999999999998E-7</v>
      </c>
      <c r="G1344" s="1">
        <v>6.7233000000000001</v>
      </c>
      <c r="H1344" s="1">
        <v>1.9289E-7</v>
      </c>
      <c r="I1344" s="1">
        <f t="shared" si="180"/>
        <v>1.9289E-7</v>
      </c>
      <c r="J1344" s="4">
        <f t="shared" si="181"/>
        <v>-9.4497505408524885E-9</v>
      </c>
      <c r="K1344" s="4">
        <f t="shared" si="182"/>
        <v>-1.7740768964151517E-8</v>
      </c>
      <c r="L1344" s="4">
        <f t="shared" si="183"/>
        <v>-5.4054063799941174E-9</v>
      </c>
      <c r="M1344" s="4">
        <f t="shared" si="185"/>
        <v>-5.990833778903563E-9</v>
      </c>
      <c r="N1344" s="5">
        <f t="shared" si="186"/>
        <v>5.9726332764181014E-7</v>
      </c>
      <c r="O1344" s="5">
        <f t="shared" si="187"/>
        <v>9.0748283915829807E-7</v>
      </c>
      <c r="P1344" s="5">
        <f t="shared" si="188"/>
        <v>2.9525383319989176E-7</v>
      </c>
      <c r="Q1344" s="1">
        <f t="shared" si="184"/>
        <v>1.8000000000000001E-6</v>
      </c>
    </row>
    <row r="1345" spans="1:17" x14ac:dyDescent="0.25">
      <c r="A1345" s="1">
        <v>67.150000000000006</v>
      </c>
      <c r="B1345" s="1">
        <v>6.6988000000000004E-3</v>
      </c>
      <c r="C1345" s="1">
        <v>6.8230000000000005E-4</v>
      </c>
      <c r="D1345" s="1">
        <v>3.1329000000000003E-2</v>
      </c>
      <c r="E1345" s="1">
        <v>5.4657000000000004E-3</v>
      </c>
      <c r="F1345" s="1">
        <v>3.9512000000000001E-7</v>
      </c>
      <c r="G1345" s="1">
        <v>6.7232000000000003</v>
      </c>
      <c r="H1345" s="1">
        <v>1.9292000000000001E-7</v>
      </c>
      <c r="I1345" s="1">
        <f t="shared" si="180"/>
        <v>1.9292000000000001E-7</v>
      </c>
      <c r="J1345" s="4">
        <f t="shared" si="181"/>
        <v>-9.4096141462232917E-9</v>
      </c>
      <c r="K1345" s="4">
        <f t="shared" si="182"/>
        <v>-1.7695915363590836E-8</v>
      </c>
      <c r="L1345" s="4">
        <f t="shared" si="183"/>
        <v>-5.392136572417E-9</v>
      </c>
      <c r="M1345" s="4">
        <f t="shared" si="185"/>
        <v>-5.9799087480237078E-9</v>
      </c>
      <c r="N1345" s="5">
        <f t="shared" si="186"/>
        <v>6.0015749228676073E-7</v>
      </c>
      <c r="O1345" s="5">
        <f t="shared" si="187"/>
        <v>9.0517644668895419E-7</v>
      </c>
      <c r="P1345" s="5">
        <f t="shared" si="188"/>
        <v>2.9466606102428505E-7</v>
      </c>
      <c r="Q1345" s="1">
        <f t="shared" si="184"/>
        <v>1.7999999999999999E-6</v>
      </c>
    </row>
    <row r="1346" spans="1:17" x14ac:dyDescent="0.25">
      <c r="A1346" s="1">
        <v>67.2</v>
      </c>
      <c r="B1346" s="1">
        <v>6.6874999999999999E-3</v>
      </c>
      <c r="C1346" s="1">
        <v>6.7909999999999997E-4</v>
      </c>
      <c r="D1346" s="1">
        <v>3.1336999999999997E-2</v>
      </c>
      <c r="E1346" s="1">
        <v>5.4507000000000002E-3</v>
      </c>
      <c r="F1346" s="1">
        <v>3.9332999999999999E-7</v>
      </c>
      <c r="G1346" s="1">
        <v>6.7232000000000003</v>
      </c>
      <c r="H1346" s="1">
        <v>1.9294000000000001E-7</v>
      </c>
      <c r="I1346" s="1">
        <f t="shared" si="180"/>
        <v>1.9294000000000001E-7</v>
      </c>
      <c r="J1346" s="4">
        <f t="shared" si="181"/>
        <v>-9.3696476306573193E-9</v>
      </c>
      <c r="K1346" s="4">
        <f t="shared" si="182"/>
        <v>-1.7650940710433603E-8</v>
      </c>
      <c r="L1346" s="4">
        <f t="shared" si="183"/>
        <v>-5.3788338904071531E-9</v>
      </c>
      <c r="M1346" s="4">
        <f t="shared" si="185"/>
        <v>-5.9689325317441937E-9</v>
      </c>
      <c r="N1346" s="5">
        <f t="shared" si="186"/>
        <v>6.0305995147612991E-7</v>
      </c>
      <c r="O1346" s="5">
        <f t="shared" si="187"/>
        <v>9.0286408614092206E-7</v>
      </c>
      <c r="P1346" s="5">
        <f t="shared" si="188"/>
        <v>2.94075962382948E-7</v>
      </c>
      <c r="Q1346" s="1">
        <f t="shared" si="184"/>
        <v>1.7999999999999999E-6</v>
      </c>
    </row>
    <row r="1347" spans="1:17" x14ac:dyDescent="0.25">
      <c r="A1347" s="1">
        <v>67.25</v>
      </c>
      <c r="B1347" s="1">
        <v>6.6762000000000002E-3</v>
      </c>
      <c r="C1347" s="1">
        <v>6.7591999999999999E-4</v>
      </c>
      <c r="D1347" s="1">
        <v>3.1343999999999997E-2</v>
      </c>
      <c r="E1347" s="1">
        <v>5.4356999999999999E-3</v>
      </c>
      <c r="F1347" s="1">
        <v>3.9154000000000002E-7</v>
      </c>
      <c r="G1347" s="1">
        <v>6.7230999999999996</v>
      </c>
      <c r="H1347" s="1">
        <v>1.9296999999999999E-7</v>
      </c>
      <c r="I1347" s="1">
        <f t="shared" ref="I1347:I1410" si="189">H1347</f>
        <v>1.9296999999999999E-7</v>
      </c>
      <c r="J1347" s="4">
        <f t="shared" ref="J1347:J1410" si="190">(-$T$4*F1346^2*N1346)*(A1347-A1346)</f>
        <v>-9.3298493808974067E-9</v>
      </c>
      <c r="K1347" s="4">
        <f t="shared" ref="K1347:K1410" si="191">-O1346*$T$7*(A1347-A1346)</f>
        <v>-1.7605849679746978E-8</v>
      </c>
      <c r="L1347" s="4">
        <f t="shared" ref="L1347:L1410" si="192">-$T$5*F1346*E1346*(A1347-A1346)*N1346</f>
        <v>-5.3655955961889159E-9</v>
      </c>
      <c r="M1347" s="4">
        <f t="shared" si="185"/>
        <v>-5.9575966991270903E-9</v>
      </c>
      <c r="N1347" s="5">
        <f t="shared" si="186"/>
        <v>6.0597035617879059E-7</v>
      </c>
      <c r="O1347" s="5">
        <f t="shared" si="187"/>
        <v>9.0054568254119953E-7</v>
      </c>
      <c r="P1347" s="5">
        <f t="shared" si="188"/>
        <v>2.9348396128000985E-7</v>
      </c>
      <c r="Q1347" s="1">
        <f t="shared" ref="Q1347:Q1410" si="193">N1347+O1347+P1347</f>
        <v>1.7999999999999999E-6</v>
      </c>
    </row>
    <row r="1348" spans="1:17" x14ac:dyDescent="0.25">
      <c r="A1348" s="1">
        <v>67.3</v>
      </c>
      <c r="B1348" s="1">
        <v>6.6649999999999999E-3</v>
      </c>
      <c r="C1348" s="1">
        <v>6.7274999999999995E-4</v>
      </c>
      <c r="D1348" s="1">
        <v>3.1350999999999997E-2</v>
      </c>
      <c r="E1348" s="1">
        <v>5.4207999999999999E-3</v>
      </c>
      <c r="F1348" s="1">
        <v>3.8976000000000002E-7</v>
      </c>
      <c r="G1348" s="1">
        <v>6.7229999999999999</v>
      </c>
      <c r="H1348" s="1">
        <v>1.9299999999999999E-7</v>
      </c>
      <c r="I1348" s="1">
        <f t="shared" si="189"/>
        <v>1.9299999999999999E-7</v>
      </c>
      <c r="J1348" s="4">
        <f t="shared" si="190"/>
        <v>-9.2897419885927455E-9</v>
      </c>
      <c r="K1348" s="4">
        <f t="shared" si="191"/>
        <v>-1.7560640809552393E-8</v>
      </c>
      <c r="L1348" s="4">
        <f t="shared" si="192"/>
        <v>-5.3521846985923113E-9</v>
      </c>
      <c r="M1348" s="4">
        <f t="shared" ref="M1348:M1411" si="194">-P1347*$T$8*I1347*(A1348-A1347)</f>
        <v>-5.94652800086103E-9</v>
      </c>
      <c r="N1348" s="5">
        <f t="shared" ref="N1348:N1411" si="195">N1347+J1348-K1348+L1348</f>
        <v>6.0888907030115797E-7</v>
      </c>
      <c r="O1348" s="5">
        <f t="shared" ref="O1348:O1411" si="196">-J1348+O1347+K1348-M1348</f>
        <v>8.982213117211009E-7</v>
      </c>
      <c r="P1348" s="5">
        <f t="shared" ref="P1348:P1411" si="197">P1347-L1348+M1348</f>
        <v>2.928896179777411E-7</v>
      </c>
      <c r="Q1348" s="1">
        <f t="shared" si="193"/>
        <v>1.7999999999999999E-6</v>
      </c>
    </row>
    <row r="1349" spans="1:17" x14ac:dyDescent="0.25">
      <c r="A1349" s="1">
        <v>67.349999999999994</v>
      </c>
      <c r="B1349" s="1">
        <v>6.6537999999999996E-3</v>
      </c>
      <c r="C1349" s="1">
        <v>6.6958000000000002E-4</v>
      </c>
      <c r="D1349" s="1">
        <v>3.1357999999999997E-2</v>
      </c>
      <c r="E1349" s="1">
        <v>5.4058999999999999E-3</v>
      </c>
      <c r="F1349" s="1">
        <v>3.8799000000000002E-7</v>
      </c>
      <c r="G1349" s="1">
        <v>6.7229999999999999</v>
      </c>
      <c r="H1349" s="1">
        <v>1.9301999999999999E-7</v>
      </c>
      <c r="I1349" s="1">
        <f t="shared" si="189"/>
        <v>1.9301999999999999E-7</v>
      </c>
      <c r="J1349" s="4">
        <f t="shared" si="190"/>
        <v>-9.2498078630850966E-9</v>
      </c>
      <c r="K1349" s="4">
        <f t="shared" si="191"/>
        <v>-1.7515315578560471E-8</v>
      </c>
      <c r="L1349" s="4">
        <f t="shared" si="192"/>
        <v>-5.3388402510898611E-9</v>
      </c>
      <c r="M1349" s="4">
        <f t="shared" si="194"/>
        <v>-5.9354081083185858E-9</v>
      </c>
      <c r="N1349" s="5">
        <f t="shared" si="195"/>
        <v>6.1181573776554354E-7</v>
      </c>
      <c r="O1349" s="5">
        <f t="shared" si="196"/>
        <v>8.958912121139441E-7</v>
      </c>
      <c r="P1349" s="5">
        <f t="shared" si="197"/>
        <v>2.9229305012051233E-7</v>
      </c>
      <c r="Q1349" s="1">
        <f t="shared" si="193"/>
        <v>1.7999999999999999E-6</v>
      </c>
    </row>
    <row r="1350" spans="1:17" x14ac:dyDescent="0.25">
      <c r="A1350" s="1">
        <v>67.400000000000006</v>
      </c>
      <c r="B1350" s="1">
        <v>6.6426000000000002E-3</v>
      </c>
      <c r="C1350" s="1">
        <v>6.6644000000000002E-4</v>
      </c>
      <c r="D1350" s="1">
        <v>3.1364999999999997E-2</v>
      </c>
      <c r="E1350" s="1">
        <v>5.391E-3</v>
      </c>
      <c r="F1350" s="1">
        <v>3.8621999999999997E-7</v>
      </c>
      <c r="G1350" s="1">
        <v>6.7229000000000001</v>
      </c>
      <c r="H1350" s="1">
        <v>1.9305E-7</v>
      </c>
      <c r="I1350" s="1">
        <f t="shared" si="189"/>
        <v>1.9305E-7</v>
      </c>
      <c r="J1350" s="4">
        <f t="shared" si="190"/>
        <v>-9.2100440797253452E-9</v>
      </c>
      <c r="K1350" s="4">
        <f t="shared" si="191"/>
        <v>-1.7469878636225883E-8</v>
      </c>
      <c r="L1350" s="4">
        <f t="shared" si="192"/>
        <v>-5.3254618870573222E-9</v>
      </c>
      <c r="M1350" s="4">
        <f t="shared" si="194"/>
        <v>-5.9239324760987823E-9</v>
      </c>
      <c r="N1350" s="5">
        <f t="shared" si="195"/>
        <v>6.1475011043498678E-7</v>
      </c>
      <c r="O1350" s="5">
        <f t="shared" si="196"/>
        <v>8.9355531003354239E-7</v>
      </c>
      <c r="P1350" s="5">
        <f t="shared" si="197"/>
        <v>2.9169457953147085E-7</v>
      </c>
      <c r="Q1350" s="1">
        <f t="shared" si="193"/>
        <v>1.8000000000000001E-6</v>
      </c>
    </row>
    <row r="1351" spans="1:17" x14ac:dyDescent="0.25">
      <c r="A1351" s="1">
        <v>67.45</v>
      </c>
      <c r="B1351" s="1">
        <v>6.6315000000000002E-3</v>
      </c>
      <c r="C1351" s="1">
        <v>6.6330000000000002E-4</v>
      </c>
      <c r="D1351" s="1">
        <v>3.1372999999999998E-2</v>
      </c>
      <c r="E1351" s="1">
        <v>5.3762000000000002E-3</v>
      </c>
      <c r="F1351" s="1">
        <v>3.8444999999999998E-7</v>
      </c>
      <c r="G1351" s="1">
        <v>6.7228000000000003</v>
      </c>
      <c r="H1351" s="1">
        <v>1.9306999999999999E-7</v>
      </c>
      <c r="I1351" s="1">
        <f t="shared" si="189"/>
        <v>1.9306999999999999E-7</v>
      </c>
      <c r="J1351" s="4">
        <f t="shared" si="190"/>
        <v>-9.1699746367027687E-9</v>
      </c>
      <c r="K1351" s="4">
        <f t="shared" si="191"/>
        <v>-1.7424328545653086E-8</v>
      </c>
      <c r="L1351" s="4">
        <f t="shared" si="192"/>
        <v>-5.3119111660667026E-9</v>
      </c>
      <c r="M1351" s="4">
        <f t="shared" si="194"/>
        <v>-5.9127220507474616E-9</v>
      </c>
      <c r="N1351" s="5">
        <f t="shared" si="195"/>
        <v>6.1769255317787037E-7</v>
      </c>
      <c r="O1351" s="5">
        <f t="shared" si="196"/>
        <v>8.9121367817533952E-7</v>
      </c>
      <c r="P1351" s="5">
        <f t="shared" si="197"/>
        <v>2.9109376864679013E-7</v>
      </c>
      <c r="Q1351" s="1">
        <f t="shared" si="193"/>
        <v>1.8000000000000001E-6</v>
      </c>
    </row>
    <row r="1352" spans="1:17" x14ac:dyDescent="0.25">
      <c r="A1352" s="1">
        <v>67.5</v>
      </c>
      <c r="B1352" s="1">
        <v>6.6204000000000002E-3</v>
      </c>
      <c r="C1352" s="1">
        <v>6.6016999999999996E-4</v>
      </c>
      <c r="D1352" s="1">
        <v>3.1379999999999998E-2</v>
      </c>
      <c r="E1352" s="1">
        <v>5.3613999999999997E-3</v>
      </c>
      <c r="F1352" s="1">
        <v>3.8270000000000001E-7</v>
      </c>
      <c r="G1352" s="1">
        <v>6.7228000000000003</v>
      </c>
      <c r="H1352" s="1">
        <v>1.931E-7</v>
      </c>
      <c r="I1352" s="1">
        <f t="shared" si="189"/>
        <v>1.931E-7</v>
      </c>
      <c r="J1352" s="4">
        <f t="shared" si="190"/>
        <v>-9.1296072750511163E-9</v>
      </c>
      <c r="K1352" s="4">
        <f t="shared" si="191"/>
        <v>-1.7378666724418134E-8</v>
      </c>
      <c r="L1352" s="4">
        <f t="shared" si="192"/>
        <v>-5.2982902256038162E-9</v>
      </c>
      <c r="M1352" s="4">
        <f t="shared" si="194"/>
        <v>-5.9011547608264202E-9</v>
      </c>
      <c r="N1352" s="5">
        <f t="shared" si="195"/>
        <v>6.2064332240163344E-7</v>
      </c>
      <c r="O1352" s="5">
        <f t="shared" si="196"/>
        <v>8.8886577348679906E-7</v>
      </c>
      <c r="P1352" s="5">
        <f t="shared" si="197"/>
        <v>2.9049090411156753E-7</v>
      </c>
      <c r="Q1352" s="1">
        <f t="shared" si="193"/>
        <v>1.8000000000000001E-6</v>
      </c>
    </row>
    <row r="1353" spans="1:17" x14ac:dyDescent="0.25">
      <c r="A1353" s="1">
        <v>67.55</v>
      </c>
      <c r="B1353" s="1">
        <v>6.6093000000000002E-3</v>
      </c>
      <c r="C1353" s="1">
        <v>6.5706E-4</v>
      </c>
      <c r="D1353" s="1">
        <v>3.1386999999999998E-2</v>
      </c>
      <c r="E1353" s="1">
        <v>5.3467000000000002E-3</v>
      </c>
      <c r="F1353" s="1">
        <v>3.8094999999999998E-7</v>
      </c>
      <c r="G1353" s="1">
        <v>6.7226999999999997</v>
      </c>
      <c r="H1353" s="1">
        <v>1.9312E-7</v>
      </c>
      <c r="I1353" s="1">
        <f t="shared" si="189"/>
        <v>1.9312E-7</v>
      </c>
      <c r="J1353" s="4">
        <f t="shared" si="190"/>
        <v>-9.0898980342179155E-9</v>
      </c>
      <c r="K1353" s="4">
        <f t="shared" si="191"/>
        <v>-1.7332882582991598E-8</v>
      </c>
      <c r="L1353" s="4">
        <f t="shared" si="192"/>
        <v>-5.2847793096608862E-9</v>
      </c>
      <c r="M1353" s="4">
        <f t="shared" si="194"/>
        <v>-5.8898483263137532E-9</v>
      </c>
      <c r="N1353" s="5">
        <f t="shared" si="195"/>
        <v>6.2360152764074621E-7</v>
      </c>
      <c r="O1353" s="5">
        <f t="shared" si="196"/>
        <v>8.8651263726433918E-7</v>
      </c>
      <c r="P1353" s="5">
        <f t="shared" si="197"/>
        <v>2.8988583509491464E-7</v>
      </c>
      <c r="Q1353" s="1">
        <f t="shared" si="193"/>
        <v>1.8000000000000001E-6</v>
      </c>
    </row>
    <row r="1354" spans="1:17" x14ac:dyDescent="0.25">
      <c r="A1354" s="1">
        <v>67.599999999999994</v>
      </c>
      <c r="B1354" s="1">
        <v>6.5982999999999997E-3</v>
      </c>
      <c r="C1354" s="1">
        <v>6.5395999999999998E-4</v>
      </c>
      <c r="D1354" s="1">
        <v>3.1393999999999998E-2</v>
      </c>
      <c r="E1354" s="1">
        <v>5.3319999999999999E-3</v>
      </c>
      <c r="F1354" s="1">
        <v>3.7920000000000001E-7</v>
      </c>
      <c r="G1354" s="1">
        <v>6.7225999999999999</v>
      </c>
      <c r="H1354" s="1">
        <v>1.9315000000000001E-7</v>
      </c>
      <c r="I1354" s="1">
        <f t="shared" si="189"/>
        <v>1.9315000000000001E-7</v>
      </c>
      <c r="J1354" s="4">
        <f t="shared" si="190"/>
        <v>-9.0498863694653905E-9</v>
      </c>
      <c r="K1354" s="4">
        <f t="shared" si="191"/>
        <v>-1.7286996426653632E-8</v>
      </c>
      <c r="L1354" s="4">
        <f t="shared" si="192"/>
        <v>-5.2711947479780957E-9</v>
      </c>
      <c r="M1354" s="4">
        <f t="shared" si="194"/>
        <v>-5.8781890097203065E-9</v>
      </c>
      <c r="N1354" s="5">
        <f t="shared" si="195"/>
        <v>6.2656744294995636E-7</v>
      </c>
      <c r="O1354" s="5">
        <f t="shared" si="196"/>
        <v>8.8415371621687121E-7</v>
      </c>
      <c r="P1354" s="5">
        <f t="shared" si="197"/>
        <v>2.892788408331724E-7</v>
      </c>
      <c r="Q1354" s="1">
        <f t="shared" si="193"/>
        <v>1.7999999999999999E-6</v>
      </c>
    </row>
    <row r="1355" spans="1:17" x14ac:dyDescent="0.25">
      <c r="A1355" s="1">
        <v>67.650000000000006</v>
      </c>
      <c r="B1355" s="1">
        <v>6.5872999999999999E-3</v>
      </c>
      <c r="C1355" s="1">
        <v>6.5087000000000001E-4</v>
      </c>
      <c r="D1355" s="1">
        <v>3.1400999999999998E-2</v>
      </c>
      <c r="E1355" s="1">
        <v>5.3173999999999999E-3</v>
      </c>
      <c r="F1355" s="1">
        <v>3.7747E-7</v>
      </c>
      <c r="G1355" s="1">
        <v>6.7225999999999999</v>
      </c>
      <c r="H1355" s="1">
        <v>1.9317999999999999E-7</v>
      </c>
      <c r="I1355" s="1">
        <f t="shared" si="189"/>
        <v>1.9317999999999999E-7</v>
      </c>
      <c r="J1355" s="4">
        <f t="shared" si="190"/>
        <v>-9.0095786759844113E-9</v>
      </c>
      <c r="K1355" s="4">
        <f t="shared" si="191"/>
        <v>-1.7240997466232912E-8</v>
      </c>
      <c r="L1355" s="4">
        <f t="shared" si="192"/>
        <v>-5.2574407971109661E-9</v>
      </c>
      <c r="M1355" s="4">
        <f t="shared" si="194"/>
        <v>-5.8667918512286953E-9</v>
      </c>
      <c r="N1355" s="5">
        <f t="shared" si="195"/>
        <v>6.2954142094309387E-7</v>
      </c>
      <c r="O1355" s="5">
        <f t="shared" si="196"/>
        <v>8.8178908927785136E-7</v>
      </c>
      <c r="P1355" s="5">
        <f t="shared" si="197"/>
        <v>2.8866948977905464E-7</v>
      </c>
      <c r="Q1355" s="1">
        <f t="shared" si="193"/>
        <v>1.7999999999999999E-6</v>
      </c>
    </row>
    <row r="1356" spans="1:17" x14ac:dyDescent="0.25">
      <c r="A1356" s="1">
        <v>67.7</v>
      </c>
      <c r="B1356" s="1">
        <v>6.5763000000000002E-3</v>
      </c>
      <c r="C1356" s="1">
        <v>6.4778999999999998E-4</v>
      </c>
      <c r="D1356" s="1">
        <v>3.1407999999999998E-2</v>
      </c>
      <c r="E1356" s="1">
        <v>5.3027999999999999E-3</v>
      </c>
      <c r="F1356" s="1">
        <v>3.7574E-7</v>
      </c>
      <c r="G1356" s="1">
        <v>6.7225000000000001</v>
      </c>
      <c r="H1356" s="1">
        <v>1.9320000000000001E-7</v>
      </c>
      <c r="I1356" s="1">
        <f t="shared" si="189"/>
        <v>1.9320000000000001E-7</v>
      </c>
      <c r="J1356" s="4">
        <f t="shared" si="190"/>
        <v>-8.9699328571669604E-9</v>
      </c>
      <c r="K1356" s="4">
        <f t="shared" si="191"/>
        <v>-1.7194887240917124E-8</v>
      </c>
      <c r="L1356" s="4">
        <f t="shared" si="192"/>
        <v>-5.2438973175352554E-9</v>
      </c>
      <c r="M1356" s="4">
        <f t="shared" si="194"/>
        <v>-5.8553430637290329E-9</v>
      </c>
      <c r="N1356" s="5">
        <f t="shared" si="195"/>
        <v>6.3252247800930878E-7</v>
      </c>
      <c r="O1356" s="5">
        <f t="shared" si="196"/>
        <v>8.7941947795783018E-7</v>
      </c>
      <c r="P1356" s="5">
        <f t="shared" si="197"/>
        <v>2.8805804403286085E-7</v>
      </c>
      <c r="Q1356" s="1">
        <f t="shared" si="193"/>
        <v>1.7999999999999997E-6</v>
      </c>
    </row>
    <row r="1357" spans="1:17" x14ac:dyDescent="0.25">
      <c r="A1357" s="1">
        <v>67.75</v>
      </c>
      <c r="B1357" s="1">
        <v>6.5652999999999996E-3</v>
      </c>
      <c r="C1357" s="1">
        <v>6.4473000000000004E-4</v>
      </c>
      <c r="D1357" s="1">
        <v>3.1414999999999998E-2</v>
      </c>
      <c r="E1357" s="1">
        <v>5.2881999999999998E-3</v>
      </c>
      <c r="F1357" s="1">
        <v>3.7401E-7</v>
      </c>
      <c r="G1357" s="1">
        <v>6.7225000000000001</v>
      </c>
      <c r="H1357" s="1">
        <v>1.9322999999999999E-7</v>
      </c>
      <c r="I1357" s="1">
        <f t="shared" si="189"/>
        <v>1.9322999999999999E-7</v>
      </c>
      <c r="J1357" s="4">
        <f t="shared" si="190"/>
        <v>-8.9299869814658094E-9</v>
      </c>
      <c r="K1357" s="4">
        <f t="shared" si="191"/>
        <v>-1.7148679820176716E-8</v>
      </c>
      <c r="L1357" s="4">
        <f t="shared" si="192"/>
        <v>-5.2301812451712647E-9</v>
      </c>
      <c r="M1357" s="4">
        <f t="shared" si="194"/>
        <v>-5.843545481250283E-9</v>
      </c>
      <c r="N1357" s="5">
        <f t="shared" si="195"/>
        <v>6.3551098960284843E-7</v>
      </c>
      <c r="O1357" s="5">
        <f t="shared" si="196"/>
        <v>8.7704433060036955E-7</v>
      </c>
      <c r="P1357" s="5">
        <f t="shared" si="197"/>
        <v>2.8744467979678184E-7</v>
      </c>
      <c r="Q1357" s="1">
        <f t="shared" si="193"/>
        <v>1.7999999999999997E-6</v>
      </c>
    </row>
    <row r="1358" spans="1:17" x14ac:dyDescent="0.25">
      <c r="A1358" s="1">
        <v>67.8</v>
      </c>
      <c r="B1358" s="1">
        <v>6.5544000000000002E-3</v>
      </c>
      <c r="C1358" s="1">
        <v>6.4167E-4</v>
      </c>
      <c r="D1358" s="1">
        <v>3.1421999999999999E-2</v>
      </c>
      <c r="E1358" s="1">
        <v>5.2737000000000001E-3</v>
      </c>
      <c r="F1358" s="1">
        <v>3.7229000000000001E-7</v>
      </c>
      <c r="G1358" s="1">
        <v>6.7224000000000004</v>
      </c>
      <c r="H1358" s="1">
        <v>1.9325000000000001E-7</v>
      </c>
      <c r="I1358" s="1">
        <f t="shared" si="189"/>
        <v>1.9325000000000001E-7</v>
      </c>
      <c r="J1358" s="4">
        <f t="shared" si="190"/>
        <v>-8.8897488867436315E-9</v>
      </c>
      <c r="K1358" s="4">
        <f t="shared" si="191"/>
        <v>-1.7102364446706234E-8</v>
      </c>
      <c r="L1358" s="4">
        <f t="shared" si="192"/>
        <v>-5.2162962423716563E-9</v>
      </c>
      <c r="M1358" s="4">
        <f t="shared" si="194"/>
        <v>-5.8320082250985439E-9</v>
      </c>
      <c r="N1358" s="5">
        <f t="shared" si="195"/>
        <v>6.385073089204393E-7</v>
      </c>
      <c r="O1358" s="5">
        <f t="shared" si="196"/>
        <v>8.7466372326550553E-7</v>
      </c>
      <c r="P1358" s="5">
        <f t="shared" si="197"/>
        <v>2.8682896781405493E-7</v>
      </c>
      <c r="Q1358" s="1">
        <f t="shared" si="193"/>
        <v>1.7999999999999997E-6</v>
      </c>
    </row>
    <row r="1359" spans="1:17" x14ac:dyDescent="0.25">
      <c r="A1359" s="1">
        <v>67.849999999999994</v>
      </c>
      <c r="B1359" s="1">
        <v>6.5434999999999998E-3</v>
      </c>
      <c r="C1359" s="1">
        <v>6.3862999999999995E-4</v>
      </c>
      <c r="D1359" s="1">
        <v>3.1428999999999999E-2</v>
      </c>
      <c r="E1359" s="1">
        <v>5.2592000000000003E-3</v>
      </c>
      <c r="F1359" s="1">
        <v>3.7057999999999997E-7</v>
      </c>
      <c r="G1359" s="1">
        <v>6.7222999999999997</v>
      </c>
      <c r="H1359" s="1">
        <v>1.9327999999999999E-7</v>
      </c>
      <c r="I1359" s="1">
        <f t="shared" si="189"/>
        <v>1.9327999999999999E-7</v>
      </c>
      <c r="J1359" s="4">
        <f t="shared" si="190"/>
        <v>-8.8497013473078412E-9</v>
      </c>
      <c r="K1359" s="4">
        <f t="shared" si="191"/>
        <v>-1.705594260367639E-8</v>
      </c>
      <c r="L1359" s="4">
        <f t="shared" si="192"/>
        <v>-5.2024840978936851E-9</v>
      </c>
      <c r="M1359" s="4">
        <f t="shared" si="194"/>
        <v>-5.8201182931566114E-9</v>
      </c>
      <c r="N1359" s="5">
        <f t="shared" si="195"/>
        <v>6.4151106607891418E-7</v>
      </c>
      <c r="O1359" s="5">
        <f t="shared" si="196"/>
        <v>8.7227760030229362E-7</v>
      </c>
      <c r="P1359" s="5">
        <f t="shared" si="197"/>
        <v>2.8621133361879202E-7</v>
      </c>
      <c r="Q1359" s="1">
        <f t="shared" si="193"/>
        <v>1.7999999999999997E-6</v>
      </c>
    </row>
    <row r="1360" spans="1:17" x14ac:dyDescent="0.25">
      <c r="A1360" s="1">
        <v>67.900000000000006</v>
      </c>
      <c r="B1360" s="1">
        <v>6.5326000000000004E-3</v>
      </c>
      <c r="C1360" s="1">
        <v>6.3560000000000005E-4</v>
      </c>
      <c r="D1360" s="1">
        <v>3.1435999999999999E-2</v>
      </c>
      <c r="E1360" s="1">
        <v>5.2448E-3</v>
      </c>
      <c r="F1360" s="1">
        <v>3.6886999999999999E-7</v>
      </c>
      <c r="G1360" s="1">
        <v>6.7222999999999997</v>
      </c>
      <c r="H1360" s="1">
        <v>1.9329999999999999E-7</v>
      </c>
      <c r="I1360" s="1">
        <f t="shared" si="189"/>
        <v>1.9329999999999999E-7</v>
      </c>
      <c r="J1360" s="4">
        <f t="shared" si="190"/>
        <v>-8.8098417300107065E-9</v>
      </c>
      <c r="K1360" s="4">
        <f t="shared" si="191"/>
        <v>-1.7009413205898595E-8</v>
      </c>
      <c r="L1360" s="4">
        <f t="shared" si="192"/>
        <v>-5.1886444613810814E-9</v>
      </c>
      <c r="M1360" s="4">
        <f t="shared" si="194"/>
        <v>-5.8084872889945336E-9</v>
      </c>
      <c r="N1360" s="5">
        <f t="shared" si="195"/>
        <v>6.4452199309342104E-7</v>
      </c>
      <c r="O1360" s="5">
        <f t="shared" si="196"/>
        <v>8.6988651611540022E-7</v>
      </c>
      <c r="P1360" s="5">
        <f t="shared" si="197"/>
        <v>2.8559149079117855E-7</v>
      </c>
      <c r="Q1360" s="1">
        <f t="shared" si="193"/>
        <v>1.7999999999999997E-6</v>
      </c>
    </row>
    <row r="1361" spans="1:17" x14ac:dyDescent="0.25">
      <c r="A1361" s="1">
        <v>67.95</v>
      </c>
      <c r="B1361" s="1">
        <v>6.5218000000000003E-3</v>
      </c>
      <c r="C1361" s="1">
        <v>6.3259000000000004E-4</v>
      </c>
      <c r="D1361" s="1">
        <v>3.1442999999999999E-2</v>
      </c>
      <c r="E1361" s="1">
        <v>5.2303999999999996E-3</v>
      </c>
      <c r="F1361" s="1">
        <v>3.6717000000000002E-7</v>
      </c>
      <c r="G1361" s="1">
        <v>6.7222</v>
      </c>
      <c r="H1361" s="1">
        <v>1.9333E-7</v>
      </c>
      <c r="I1361" s="1">
        <f t="shared" si="189"/>
        <v>1.9333E-7</v>
      </c>
      <c r="J1361" s="4">
        <f t="shared" si="190"/>
        <v>-8.7696934553992618E-9</v>
      </c>
      <c r="K1361" s="4">
        <f t="shared" si="191"/>
        <v>-1.6962787064249341E-8</v>
      </c>
      <c r="L1361" s="4">
        <f t="shared" si="192"/>
        <v>-5.1747348977890297E-9</v>
      </c>
      <c r="M1361" s="4">
        <f t="shared" si="194"/>
        <v>-5.7965076928428255E-9</v>
      </c>
      <c r="N1361" s="5">
        <f t="shared" si="195"/>
        <v>6.4754035180448203E-7</v>
      </c>
      <c r="O1361" s="5">
        <f t="shared" si="196"/>
        <v>8.6748993019939299E-7</v>
      </c>
      <c r="P1361" s="5">
        <f t="shared" si="197"/>
        <v>2.8496971799612474E-7</v>
      </c>
      <c r="Q1361" s="1">
        <f t="shared" si="193"/>
        <v>1.7999999999999997E-6</v>
      </c>
    </row>
    <row r="1362" spans="1:17" x14ac:dyDescent="0.25">
      <c r="A1362" s="1">
        <v>68</v>
      </c>
      <c r="B1362" s="1">
        <v>6.5110000000000003E-3</v>
      </c>
      <c r="C1362" s="1">
        <v>6.2958000000000003E-4</v>
      </c>
      <c r="D1362" s="1">
        <v>3.1449999999999999E-2</v>
      </c>
      <c r="E1362" s="1">
        <v>5.2160000000000002E-3</v>
      </c>
      <c r="F1362" s="1">
        <v>3.6548000000000001E-7</v>
      </c>
      <c r="G1362" s="1">
        <v>6.7222</v>
      </c>
      <c r="H1362" s="1">
        <v>1.9334999999999999E-7</v>
      </c>
      <c r="I1362" s="1">
        <f t="shared" si="189"/>
        <v>1.9334999999999999E-7</v>
      </c>
      <c r="J1362" s="4">
        <f t="shared" si="190"/>
        <v>-8.7297381243203263E-9</v>
      </c>
      <c r="K1362" s="4">
        <f t="shared" si="191"/>
        <v>-1.6916053638887201E-8</v>
      </c>
      <c r="L1362" s="4">
        <f t="shared" si="192"/>
        <v>-5.1607999696216156E-9</v>
      </c>
      <c r="M1362" s="4">
        <f t="shared" si="194"/>
        <v>-5.784785535919704E-9</v>
      </c>
      <c r="N1362" s="5">
        <f t="shared" si="195"/>
        <v>6.5056586734942727E-7</v>
      </c>
      <c r="O1362" s="5">
        <f t="shared" si="196"/>
        <v>8.6508840022074583E-7</v>
      </c>
      <c r="P1362" s="5">
        <f t="shared" si="197"/>
        <v>2.8434573242982666E-7</v>
      </c>
      <c r="Q1362" s="1">
        <f t="shared" si="193"/>
        <v>1.7999999999999997E-6</v>
      </c>
    </row>
    <row r="1363" spans="1:17" x14ac:dyDescent="0.25">
      <c r="A1363" s="1">
        <v>68.05</v>
      </c>
      <c r="B1363" s="1">
        <v>6.5002000000000002E-3</v>
      </c>
      <c r="C1363" s="1">
        <v>6.2659E-4</v>
      </c>
      <c r="D1363" s="1">
        <v>3.1456999999999999E-2</v>
      </c>
      <c r="E1363" s="1">
        <v>5.2017000000000001E-3</v>
      </c>
      <c r="F1363" s="1">
        <v>3.6379E-7</v>
      </c>
      <c r="G1363" s="1">
        <v>6.7221000000000002</v>
      </c>
      <c r="H1363" s="1">
        <v>1.9338E-7</v>
      </c>
      <c r="I1363" s="1">
        <f t="shared" si="189"/>
        <v>1.9338E-7</v>
      </c>
      <c r="J1363" s="4">
        <f t="shared" si="190"/>
        <v>-8.6899745847917589E-9</v>
      </c>
      <c r="K1363" s="4">
        <f t="shared" si="191"/>
        <v>-1.6869223804303585E-8</v>
      </c>
      <c r="L1363" s="4">
        <f t="shared" si="192"/>
        <v>-5.1468388380276993E-9</v>
      </c>
      <c r="M1363" s="4">
        <f t="shared" si="194"/>
        <v>-5.7727159733569057E-9</v>
      </c>
      <c r="N1363" s="5">
        <f t="shared" si="195"/>
        <v>6.5359827773091137E-7</v>
      </c>
      <c r="O1363" s="5">
        <f t="shared" si="196"/>
        <v>8.6268186697459091E-7</v>
      </c>
      <c r="P1363" s="5">
        <f t="shared" si="197"/>
        <v>2.8371985529449748E-7</v>
      </c>
      <c r="Q1363" s="1">
        <f t="shared" si="193"/>
        <v>1.7999999999999999E-6</v>
      </c>
    </row>
    <row r="1364" spans="1:17" x14ac:dyDescent="0.25">
      <c r="A1364" s="1">
        <v>68.099999999999994</v>
      </c>
      <c r="B1364" s="1">
        <v>6.4894000000000002E-3</v>
      </c>
      <c r="C1364" s="1">
        <v>6.2359999999999998E-4</v>
      </c>
      <c r="D1364" s="1">
        <v>3.1463999999999999E-2</v>
      </c>
      <c r="E1364" s="1">
        <v>5.1874E-3</v>
      </c>
      <c r="F1364" s="1">
        <v>3.6211E-7</v>
      </c>
      <c r="G1364" s="1">
        <v>6.7220000000000004</v>
      </c>
      <c r="H1364" s="1">
        <v>1.934E-7</v>
      </c>
      <c r="I1364" s="1">
        <f t="shared" si="189"/>
        <v>1.934E-7</v>
      </c>
      <c r="J1364" s="4">
        <f t="shared" si="190"/>
        <v>-8.6499264125214459E-9</v>
      </c>
      <c r="K1364" s="4">
        <f t="shared" si="191"/>
        <v>-1.6822296406003566E-8</v>
      </c>
      <c r="L1364" s="4">
        <f t="shared" si="192"/>
        <v>-5.132808411804973E-9</v>
      </c>
      <c r="M1364" s="4">
        <f t="shared" si="194"/>
        <v>-5.7609032897689149E-9</v>
      </c>
      <c r="N1364" s="5">
        <f t="shared" si="195"/>
        <v>6.5663783931258854E-7</v>
      </c>
      <c r="O1364" s="5">
        <f t="shared" si="196"/>
        <v>8.6027040027087768E-7</v>
      </c>
      <c r="P1364" s="5">
        <f t="shared" si="197"/>
        <v>2.8309176041653354E-7</v>
      </c>
      <c r="Q1364" s="1">
        <f t="shared" si="193"/>
        <v>1.7999999999999997E-6</v>
      </c>
    </row>
    <row r="1365" spans="1:17" x14ac:dyDescent="0.25">
      <c r="A1365" s="1">
        <v>68.150000000000006</v>
      </c>
      <c r="B1365" s="1">
        <v>6.4787000000000004E-3</v>
      </c>
      <c r="C1365" s="1">
        <v>6.2063000000000005E-4</v>
      </c>
      <c r="D1365" s="1">
        <v>3.1469999999999998E-2</v>
      </c>
      <c r="E1365" s="1">
        <v>5.1732000000000002E-3</v>
      </c>
      <c r="F1365" s="1">
        <v>3.6044000000000002E-7</v>
      </c>
      <c r="G1365" s="1">
        <v>6.7220000000000004</v>
      </c>
      <c r="H1365" s="1">
        <v>1.9343000000000001E-7</v>
      </c>
      <c r="I1365" s="1">
        <f t="shared" si="189"/>
        <v>1.9343000000000001E-7</v>
      </c>
      <c r="J1365" s="4">
        <f t="shared" si="190"/>
        <v>-8.6100751597739138E-9</v>
      </c>
      <c r="K1365" s="4">
        <f t="shared" si="191"/>
        <v>-1.677527280528593E-8</v>
      </c>
      <c r="L1365" s="4">
        <f t="shared" si="192"/>
        <v>-5.1187540006577148E-9</v>
      </c>
      <c r="M1365" s="4">
        <f t="shared" si="194"/>
        <v>-5.7487443787798538E-9</v>
      </c>
      <c r="N1365" s="5">
        <f t="shared" si="195"/>
        <v>6.596842829574428E-7</v>
      </c>
      <c r="O1365" s="5">
        <f t="shared" si="196"/>
        <v>8.5785394700414558E-7</v>
      </c>
      <c r="P1365" s="5">
        <f t="shared" si="197"/>
        <v>2.8246177003841143E-7</v>
      </c>
      <c r="Q1365" s="1">
        <f t="shared" si="193"/>
        <v>1.7999999999999997E-6</v>
      </c>
    </row>
    <row r="1366" spans="1:17" x14ac:dyDescent="0.25">
      <c r="A1366" s="1">
        <v>68.2</v>
      </c>
      <c r="B1366" s="1">
        <v>6.4679999999999998E-3</v>
      </c>
      <c r="C1366" s="1">
        <v>6.1768000000000001E-4</v>
      </c>
      <c r="D1366" s="1">
        <v>3.1476999999999998E-2</v>
      </c>
      <c r="E1366" s="1">
        <v>5.1590000000000004E-3</v>
      </c>
      <c r="F1366" s="1">
        <v>3.5876999999999998E-7</v>
      </c>
      <c r="G1366" s="1">
        <v>6.7218999999999998</v>
      </c>
      <c r="H1366" s="1">
        <v>1.9345E-7</v>
      </c>
      <c r="I1366" s="1">
        <f t="shared" si="189"/>
        <v>1.9345E-7</v>
      </c>
      <c r="J1366" s="4">
        <f t="shared" si="190"/>
        <v>-8.5704198766997811E-9</v>
      </c>
      <c r="K1366" s="4">
        <f t="shared" si="191"/>
        <v>-1.672815196657989E-8</v>
      </c>
      <c r="L1366" s="4">
        <f t="shared" si="192"/>
        <v>-5.1047735778630212E-9</v>
      </c>
      <c r="M1366" s="4">
        <f t="shared" si="194"/>
        <v>-5.7368409187453157E-9</v>
      </c>
      <c r="N1366" s="5">
        <f t="shared" si="195"/>
        <v>6.6273724146945987E-7</v>
      </c>
      <c r="O1366" s="5">
        <f t="shared" si="196"/>
        <v>8.5543305583301079E-7</v>
      </c>
      <c r="P1366" s="5">
        <f t="shared" si="197"/>
        <v>2.8182970269752915E-7</v>
      </c>
      <c r="Q1366" s="1">
        <f t="shared" si="193"/>
        <v>1.7999999999999997E-6</v>
      </c>
    </row>
    <row r="1367" spans="1:17" x14ac:dyDescent="0.25">
      <c r="A1367" s="1">
        <v>68.25</v>
      </c>
      <c r="B1367" s="1">
        <v>6.4573E-3</v>
      </c>
      <c r="C1367" s="1">
        <v>6.1472999999999996E-4</v>
      </c>
      <c r="D1367" s="1">
        <v>3.1483999999999998E-2</v>
      </c>
      <c r="E1367" s="1">
        <v>5.1447999999999997E-3</v>
      </c>
      <c r="F1367" s="1">
        <v>3.5711E-7</v>
      </c>
      <c r="G1367" s="1">
        <v>6.7218999999999998</v>
      </c>
      <c r="H1367" s="1">
        <v>1.9348000000000001E-7</v>
      </c>
      <c r="I1367" s="1">
        <f t="shared" si="189"/>
        <v>1.9348000000000001E-7</v>
      </c>
      <c r="J1367" s="4">
        <f t="shared" si="190"/>
        <v>-8.5304829048564396E-9</v>
      </c>
      <c r="K1367" s="4">
        <f t="shared" si="191"/>
        <v>-1.6680944588742761E-8</v>
      </c>
      <c r="L1367" s="4">
        <f t="shared" si="192"/>
        <v>-5.0906251754756718E-9</v>
      </c>
      <c r="M1367" s="4">
        <f t="shared" si="194"/>
        <v>-5.7245953786175615E-9</v>
      </c>
      <c r="N1367" s="5">
        <f t="shared" si="195"/>
        <v>6.6579707797787056E-7</v>
      </c>
      <c r="O1367" s="5">
        <f t="shared" si="196"/>
        <v>8.5300718952774203E-7</v>
      </c>
      <c r="P1367" s="5">
        <f t="shared" si="197"/>
        <v>2.8119573249438728E-7</v>
      </c>
      <c r="Q1367" s="1">
        <f t="shared" si="193"/>
        <v>1.7999999999999999E-6</v>
      </c>
    </row>
    <row r="1368" spans="1:17" x14ac:dyDescent="0.25">
      <c r="A1368" s="1">
        <v>68.3</v>
      </c>
      <c r="B1368" s="1">
        <v>6.4466999999999997E-3</v>
      </c>
      <c r="C1368" s="1">
        <v>6.1178999999999997E-4</v>
      </c>
      <c r="D1368" s="1">
        <v>3.1490999999999998E-2</v>
      </c>
      <c r="E1368" s="1">
        <v>5.1307000000000002E-3</v>
      </c>
      <c r="F1368" s="1">
        <v>3.5545000000000002E-7</v>
      </c>
      <c r="G1368" s="1">
        <v>6.7218</v>
      </c>
      <c r="H1368" s="1">
        <v>1.9350000000000001E-7</v>
      </c>
      <c r="I1368" s="1">
        <f t="shared" si="189"/>
        <v>1.9350000000000001E-7</v>
      </c>
      <c r="J1368" s="4">
        <f t="shared" si="190"/>
        <v>-8.4907471549845831E-9</v>
      </c>
      <c r="K1368" s="4">
        <f t="shared" si="191"/>
        <v>-1.6633640195790024E-8</v>
      </c>
      <c r="L1368" s="4">
        <f t="shared" si="192"/>
        <v>-5.076454404701728E-9</v>
      </c>
      <c r="M1368" s="4">
        <f t="shared" si="194"/>
        <v>-5.7126037839161503E-9</v>
      </c>
      <c r="N1368" s="5">
        <f t="shared" si="195"/>
        <v>6.6886351661397423E-7</v>
      </c>
      <c r="O1368" s="5">
        <f t="shared" si="196"/>
        <v>8.5057690027085278E-7</v>
      </c>
      <c r="P1368" s="5">
        <f t="shared" si="197"/>
        <v>2.8055958311517286E-7</v>
      </c>
      <c r="Q1368" s="1">
        <f t="shared" si="193"/>
        <v>1.7999999999999999E-6</v>
      </c>
    </row>
    <row r="1369" spans="1:17" x14ac:dyDescent="0.25">
      <c r="A1369" s="1">
        <v>68.349999999999994</v>
      </c>
      <c r="B1369" s="1">
        <v>6.4359999999999999E-3</v>
      </c>
      <c r="C1369" s="1">
        <v>6.0886999999999996E-4</v>
      </c>
      <c r="D1369" s="1">
        <v>3.1497999999999998E-2</v>
      </c>
      <c r="E1369" s="1">
        <v>5.1165999999999998E-3</v>
      </c>
      <c r="F1369" s="1">
        <v>3.538E-7</v>
      </c>
      <c r="G1369" s="1">
        <v>6.7217000000000002</v>
      </c>
      <c r="H1369" s="1">
        <v>1.9353000000000001E-7</v>
      </c>
      <c r="I1369" s="1">
        <f t="shared" si="189"/>
        <v>1.9353000000000001E-7</v>
      </c>
      <c r="J1369" s="4">
        <f t="shared" si="190"/>
        <v>-8.450736201969159E-9</v>
      </c>
      <c r="K1369" s="4">
        <f t="shared" si="191"/>
        <v>-1.6586249555280688E-8</v>
      </c>
      <c r="L1369" s="4">
        <f t="shared" si="192"/>
        <v>-5.0622168451396577E-9</v>
      </c>
      <c r="M1369" s="4">
        <f t="shared" si="194"/>
        <v>-5.7002693299422007E-9</v>
      </c>
      <c r="N1369" s="5">
        <f t="shared" si="195"/>
        <v>6.7193681312214607E-7</v>
      </c>
      <c r="O1369" s="5">
        <f t="shared" si="196"/>
        <v>8.4814165624748354E-7</v>
      </c>
      <c r="P1369" s="5">
        <f t="shared" si="197"/>
        <v>2.7992153063037036E-7</v>
      </c>
      <c r="Q1369" s="1">
        <f t="shared" si="193"/>
        <v>1.8000000000000001E-6</v>
      </c>
    </row>
    <row r="1370" spans="1:17" x14ac:dyDescent="0.25">
      <c r="A1370" s="1">
        <v>68.400000000000006</v>
      </c>
      <c r="B1370" s="1">
        <v>6.4254000000000004E-3</v>
      </c>
      <c r="C1370" s="1">
        <v>6.0596000000000001E-4</v>
      </c>
      <c r="D1370" s="1">
        <v>3.1503999999999997E-2</v>
      </c>
      <c r="E1370" s="1">
        <v>5.1025999999999997E-3</v>
      </c>
      <c r="F1370" s="1">
        <v>3.5216E-7</v>
      </c>
      <c r="G1370" s="1">
        <v>6.7217000000000002</v>
      </c>
      <c r="H1370" s="1">
        <v>1.9355000000000001E-7</v>
      </c>
      <c r="I1370" s="1">
        <f t="shared" si="189"/>
        <v>1.9355000000000001E-7</v>
      </c>
      <c r="J1370" s="4">
        <f t="shared" si="190"/>
        <v>-8.4109314297968403E-9</v>
      </c>
      <c r="K1370" s="4">
        <f t="shared" si="191"/>
        <v>-1.653876229682969E-8</v>
      </c>
      <c r="L1370" s="4">
        <f t="shared" si="192"/>
        <v>-5.0479590949081071E-9</v>
      </c>
      <c r="M1370" s="4">
        <f t="shared" si="194"/>
        <v>-5.688187451405329E-9</v>
      </c>
      <c r="N1370" s="5">
        <f t="shared" si="195"/>
        <v>6.7501668489427076E-7</v>
      </c>
      <c r="O1370" s="5">
        <f t="shared" si="196"/>
        <v>8.4570201283185602E-7</v>
      </c>
      <c r="P1370" s="5">
        <f t="shared" si="197"/>
        <v>2.7928130227387313E-7</v>
      </c>
      <c r="Q1370" s="1">
        <f t="shared" si="193"/>
        <v>1.7999999999999997E-6</v>
      </c>
    </row>
    <row r="1371" spans="1:17" x14ac:dyDescent="0.25">
      <c r="A1371" s="1">
        <v>68.45</v>
      </c>
      <c r="B1371" s="1">
        <v>6.4149000000000003E-3</v>
      </c>
      <c r="C1371" s="1">
        <v>6.0305999999999999E-4</v>
      </c>
      <c r="D1371" s="1">
        <v>3.1510999999999997E-2</v>
      </c>
      <c r="E1371" s="1">
        <v>5.0886000000000004E-3</v>
      </c>
      <c r="F1371" s="1">
        <v>3.5051999999999999E-7</v>
      </c>
      <c r="G1371" s="1">
        <v>6.7215999999999996</v>
      </c>
      <c r="H1371" s="1">
        <v>1.9357999999999999E-7</v>
      </c>
      <c r="I1371" s="1">
        <f t="shared" si="189"/>
        <v>1.9357999999999999E-7</v>
      </c>
      <c r="J1371" s="4">
        <f t="shared" si="190"/>
        <v>-8.3713318484948589E-9</v>
      </c>
      <c r="K1371" s="4">
        <f t="shared" si="191"/>
        <v>-1.6491189250220255E-8</v>
      </c>
      <c r="L1371" s="4">
        <f t="shared" si="192"/>
        <v>-5.0337791130179167E-9</v>
      </c>
      <c r="M1371" s="4">
        <f t="shared" si="194"/>
        <v>-5.6757640857860327E-9</v>
      </c>
      <c r="N1371" s="5">
        <f t="shared" si="195"/>
        <v>6.7810276318297826E-7</v>
      </c>
      <c r="O1371" s="5">
        <f t="shared" si="196"/>
        <v>8.4325791951591661E-7</v>
      </c>
      <c r="P1371" s="5">
        <f t="shared" si="197"/>
        <v>2.7863931730110499E-7</v>
      </c>
      <c r="Q1371" s="1">
        <f t="shared" si="193"/>
        <v>1.7999999999999997E-6</v>
      </c>
    </row>
    <row r="1372" spans="1:17" x14ac:dyDescent="0.25">
      <c r="A1372" s="1">
        <v>68.5</v>
      </c>
      <c r="B1372" s="1">
        <v>6.4044000000000002E-3</v>
      </c>
      <c r="C1372" s="1">
        <v>6.0017999999999996E-4</v>
      </c>
      <c r="D1372" s="1">
        <v>3.1517999999999997E-2</v>
      </c>
      <c r="E1372" s="1">
        <v>5.0746000000000003E-3</v>
      </c>
      <c r="F1372" s="1">
        <v>3.4889E-7</v>
      </c>
      <c r="G1372" s="1">
        <v>6.7215999999999996</v>
      </c>
      <c r="H1372" s="1">
        <v>1.9360000000000001E-7</v>
      </c>
      <c r="I1372" s="1">
        <f t="shared" si="189"/>
        <v>1.9360000000000001E-7</v>
      </c>
      <c r="J1372" s="4">
        <f t="shared" si="190"/>
        <v>-8.3314601254695856E-9</v>
      </c>
      <c r="K1372" s="4">
        <f t="shared" si="191"/>
        <v>-1.644352943055944E-8</v>
      </c>
      <c r="L1372" s="4">
        <f t="shared" si="192"/>
        <v>-5.0194337606135986E-9</v>
      </c>
      <c r="M1372" s="4">
        <f t="shared" si="194"/>
        <v>-5.6635948995302071E-9</v>
      </c>
      <c r="N1372" s="5">
        <f t="shared" si="195"/>
        <v>6.8119539872745452E-7</v>
      </c>
      <c r="O1372" s="5">
        <f t="shared" si="196"/>
        <v>8.4080944511035698E-7</v>
      </c>
      <c r="P1372" s="5">
        <f t="shared" si="197"/>
        <v>2.7799515616218837E-7</v>
      </c>
      <c r="Q1372" s="1">
        <f t="shared" si="193"/>
        <v>1.7999999999999999E-6</v>
      </c>
    </row>
    <row r="1373" spans="1:17" x14ac:dyDescent="0.25">
      <c r="A1373" s="1">
        <v>68.55</v>
      </c>
      <c r="B1373" s="1">
        <v>6.3937999999999998E-3</v>
      </c>
      <c r="C1373" s="1">
        <v>5.9730000000000004E-4</v>
      </c>
      <c r="D1373" s="1">
        <v>3.1524999999999997E-2</v>
      </c>
      <c r="E1373" s="1">
        <v>5.0606999999999996E-3</v>
      </c>
      <c r="F1373" s="1">
        <v>3.4727000000000001E-7</v>
      </c>
      <c r="G1373" s="1">
        <v>6.7214999999999998</v>
      </c>
      <c r="H1373" s="1">
        <v>1.9362999999999999E-7</v>
      </c>
      <c r="I1373" s="1">
        <f t="shared" si="189"/>
        <v>1.9362999999999999E-7</v>
      </c>
      <c r="J1373" s="4">
        <f t="shared" si="190"/>
        <v>-8.2917986820148E-9</v>
      </c>
      <c r="K1373" s="4">
        <f t="shared" si="191"/>
        <v>-1.639578417965103E-8</v>
      </c>
      <c r="L1373" s="4">
        <f t="shared" si="192"/>
        <v>-5.005069810134199E-9</v>
      </c>
      <c r="M1373" s="4">
        <f t="shared" si="194"/>
        <v>-5.6510855344646436E-9</v>
      </c>
      <c r="N1373" s="5">
        <f t="shared" si="195"/>
        <v>6.8429431441495654E-7</v>
      </c>
      <c r="O1373" s="5">
        <f t="shared" si="196"/>
        <v>8.3835654514718543E-7</v>
      </c>
      <c r="P1373" s="5">
        <f t="shared" si="197"/>
        <v>2.7734914043785794E-7</v>
      </c>
      <c r="Q1373" s="1">
        <f t="shared" si="193"/>
        <v>1.7999999999999997E-6</v>
      </c>
    </row>
    <row r="1374" spans="1:17" x14ac:dyDescent="0.25">
      <c r="A1374" s="1">
        <v>68.599999999999994</v>
      </c>
      <c r="B1374" s="1">
        <v>6.3834E-3</v>
      </c>
      <c r="C1374" s="1">
        <v>5.9444000000000001E-4</v>
      </c>
      <c r="D1374" s="1">
        <v>3.1531000000000003E-2</v>
      </c>
      <c r="E1374" s="1">
        <v>5.0467999999999997E-3</v>
      </c>
      <c r="F1374" s="1">
        <v>3.4564999999999997E-7</v>
      </c>
      <c r="G1374" s="1">
        <v>6.7214</v>
      </c>
      <c r="H1374" s="1">
        <v>1.9364999999999999E-7</v>
      </c>
      <c r="I1374" s="1">
        <f t="shared" si="189"/>
        <v>1.9364999999999999E-7</v>
      </c>
      <c r="J1374" s="4">
        <f t="shared" si="190"/>
        <v>-8.2523467058076414E-9</v>
      </c>
      <c r="K1374" s="4">
        <f t="shared" si="191"/>
        <v>-1.6347952630369185E-8</v>
      </c>
      <c r="L1374" s="4">
        <f t="shared" si="192"/>
        <v>-4.9907853123631474E-9</v>
      </c>
      <c r="M1374" s="4">
        <f t="shared" si="194"/>
        <v>-5.638826976612835E-9</v>
      </c>
      <c r="N1374" s="5">
        <f t="shared" si="195"/>
        <v>6.8739913502715494E-7</v>
      </c>
      <c r="O1374" s="5">
        <f t="shared" si="196"/>
        <v>8.3589976619923667E-7</v>
      </c>
      <c r="P1374" s="5">
        <f t="shared" si="197"/>
        <v>2.7670109877360821E-7</v>
      </c>
      <c r="Q1374" s="1">
        <f t="shared" si="193"/>
        <v>1.7999999999999997E-6</v>
      </c>
    </row>
    <row r="1375" spans="1:17" x14ac:dyDescent="0.25">
      <c r="A1375" s="1">
        <v>68.650000000000006</v>
      </c>
      <c r="B1375" s="1">
        <v>6.3728999999999999E-3</v>
      </c>
      <c r="C1375" s="1">
        <v>5.9159000000000002E-4</v>
      </c>
      <c r="D1375" s="1">
        <v>3.1537999999999997E-2</v>
      </c>
      <c r="E1375" s="1">
        <v>5.0330000000000001E-3</v>
      </c>
      <c r="F1375" s="1">
        <v>3.4404E-7</v>
      </c>
      <c r="G1375" s="1">
        <v>6.7214</v>
      </c>
      <c r="H1375" s="1">
        <v>1.9367000000000001E-7</v>
      </c>
      <c r="I1375" s="1">
        <f t="shared" si="189"/>
        <v>1.9367000000000001E-7</v>
      </c>
      <c r="J1375" s="4">
        <f t="shared" si="190"/>
        <v>-8.2126270984820019E-9</v>
      </c>
      <c r="K1375" s="4">
        <f t="shared" si="191"/>
        <v>-1.6300045440888823E-8</v>
      </c>
      <c r="L1375" s="4">
        <f t="shared" si="192"/>
        <v>-4.9763364307411739E-9</v>
      </c>
      <c r="M1375" s="4">
        <f t="shared" si="194"/>
        <v>-5.6262326166397479E-9</v>
      </c>
      <c r="N1375" s="5">
        <f t="shared" si="195"/>
        <v>6.905102169388205E-7</v>
      </c>
      <c r="O1375" s="5">
        <f t="shared" si="196"/>
        <v>8.3343858047346962E-7</v>
      </c>
      <c r="P1375" s="5">
        <f t="shared" si="197"/>
        <v>2.7605120258770963E-7</v>
      </c>
      <c r="Q1375" s="1">
        <f t="shared" si="193"/>
        <v>1.7999999999999997E-6</v>
      </c>
    </row>
    <row r="1376" spans="1:17" x14ac:dyDescent="0.25">
      <c r="A1376" s="1">
        <v>68.7</v>
      </c>
      <c r="B1376" s="1">
        <v>6.3625000000000001E-3</v>
      </c>
      <c r="C1376" s="1">
        <v>5.8874999999999997E-4</v>
      </c>
      <c r="D1376" s="1">
        <v>3.1544000000000003E-2</v>
      </c>
      <c r="E1376" s="1">
        <v>5.0191999999999997E-3</v>
      </c>
      <c r="F1376" s="1">
        <v>3.4242999999999998E-7</v>
      </c>
      <c r="G1376" s="1">
        <v>6.7213000000000003</v>
      </c>
      <c r="H1376" s="1">
        <v>1.9369999999999999E-7</v>
      </c>
      <c r="I1376" s="1">
        <f t="shared" si="189"/>
        <v>1.9369999999999999E-7</v>
      </c>
      <c r="J1376" s="4">
        <f t="shared" si="190"/>
        <v>-8.1731220977654136E-9</v>
      </c>
      <c r="K1376" s="4">
        <f t="shared" si="191"/>
        <v>-1.6252052319231735E-8</v>
      </c>
      <c r="L1376" s="4">
        <f t="shared" si="192"/>
        <v>-4.9619693233322084E-9</v>
      </c>
      <c r="M1376" s="4">
        <f t="shared" si="194"/>
        <v>-5.6135978225416625E-9</v>
      </c>
      <c r="N1376" s="5">
        <f t="shared" si="195"/>
        <v>6.9362717783695466E-7</v>
      </c>
      <c r="O1376" s="5">
        <f t="shared" si="196"/>
        <v>8.3097324807454495E-7</v>
      </c>
      <c r="P1376" s="5">
        <f t="shared" si="197"/>
        <v>2.7539957408850021E-7</v>
      </c>
      <c r="Q1376" s="1">
        <f t="shared" si="193"/>
        <v>1.7999999999999999E-6</v>
      </c>
    </row>
    <row r="1377" spans="1:17" x14ac:dyDescent="0.25">
      <c r="A1377" s="1">
        <v>68.75</v>
      </c>
      <c r="B1377" s="1">
        <v>6.3521000000000003E-3</v>
      </c>
      <c r="C1377" s="1">
        <v>5.8591999999999997E-4</v>
      </c>
      <c r="D1377" s="1">
        <v>3.1551000000000003E-2</v>
      </c>
      <c r="E1377" s="1">
        <v>5.0054000000000001E-3</v>
      </c>
      <c r="F1377" s="1">
        <v>3.4083000000000002E-7</v>
      </c>
      <c r="G1377" s="1">
        <v>6.7213000000000003</v>
      </c>
      <c r="H1377" s="1">
        <v>1.9371999999999999E-7</v>
      </c>
      <c r="I1377" s="1">
        <f t="shared" si="189"/>
        <v>1.9371999999999999E-7</v>
      </c>
      <c r="J1377" s="4">
        <f t="shared" si="190"/>
        <v>-8.1333547105727526E-9</v>
      </c>
      <c r="K1377" s="4">
        <f t="shared" si="191"/>
        <v>-1.6203978337452705E-8</v>
      </c>
      <c r="L1377" s="4">
        <f t="shared" si="192"/>
        <v>-4.9474396503730112E-9</v>
      </c>
      <c r="M1377" s="4">
        <f t="shared" si="194"/>
        <v>-5.6012142375986424E-9</v>
      </c>
      <c r="N1377" s="5">
        <f t="shared" si="195"/>
        <v>6.9675036181346162E-7</v>
      </c>
      <c r="O1377" s="5">
        <f t="shared" si="196"/>
        <v>8.2850383868526356E-7</v>
      </c>
      <c r="P1377" s="5">
        <f t="shared" si="197"/>
        <v>2.7474579950127458E-7</v>
      </c>
      <c r="Q1377" s="1">
        <f t="shared" si="193"/>
        <v>1.7999999999999999E-6</v>
      </c>
    </row>
    <row r="1378" spans="1:17" x14ac:dyDescent="0.25">
      <c r="A1378" s="1">
        <v>68.8</v>
      </c>
      <c r="B1378" s="1">
        <v>6.3416999999999996E-3</v>
      </c>
      <c r="C1378" s="1">
        <v>5.8310999999999997E-4</v>
      </c>
      <c r="D1378" s="1">
        <v>3.1558000000000003E-2</v>
      </c>
      <c r="E1378" s="1">
        <v>4.9917E-3</v>
      </c>
      <c r="F1378" s="1">
        <v>3.3924000000000001E-7</v>
      </c>
      <c r="G1378" s="1">
        <v>6.7211999999999996</v>
      </c>
      <c r="H1378" s="1">
        <v>1.9375E-7</v>
      </c>
      <c r="I1378" s="1">
        <f t="shared" si="189"/>
        <v>1.9375E-7</v>
      </c>
      <c r="J1378" s="4">
        <f t="shared" si="190"/>
        <v>-8.0938067721163346E-9</v>
      </c>
      <c r="K1378" s="4">
        <f t="shared" si="191"/>
        <v>-1.6155824854361721E-8</v>
      </c>
      <c r="L1378" s="4">
        <f t="shared" si="192"/>
        <v>-4.9328953651725802E-9</v>
      </c>
      <c r="M1378" s="4">
        <f t="shared" si="194"/>
        <v>-5.5884944093353079E-9</v>
      </c>
      <c r="N1378" s="5">
        <f t="shared" si="195"/>
        <v>6.998794845305344E-7</v>
      </c>
      <c r="O1378" s="5">
        <f t="shared" si="196"/>
        <v>8.2603031501235352E-7</v>
      </c>
      <c r="P1378" s="5">
        <f t="shared" si="197"/>
        <v>2.7409020045711184E-7</v>
      </c>
      <c r="Q1378" s="1">
        <f t="shared" si="193"/>
        <v>1.7999999999999997E-6</v>
      </c>
    </row>
    <row r="1379" spans="1:17" x14ac:dyDescent="0.25">
      <c r="A1379" s="1">
        <v>68.849999999999994</v>
      </c>
      <c r="B1379" s="1">
        <v>6.3314E-3</v>
      </c>
      <c r="C1379" s="1">
        <v>5.8029999999999996E-4</v>
      </c>
      <c r="D1379" s="1">
        <v>3.1564000000000002E-2</v>
      </c>
      <c r="E1379" s="1">
        <v>4.9779999999999998E-3</v>
      </c>
      <c r="F1379" s="1">
        <v>3.3766000000000002E-7</v>
      </c>
      <c r="G1379" s="1">
        <v>6.7211999999999996</v>
      </c>
      <c r="H1379" s="1">
        <v>1.9376999999999999E-7</v>
      </c>
      <c r="I1379" s="1">
        <f t="shared" si="189"/>
        <v>1.9376999999999999E-7</v>
      </c>
      <c r="J1379" s="4">
        <f t="shared" si="190"/>
        <v>-8.0544774944510099E-9</v>
      </c>
      <c r="K1379" s="4">
        <f t="shared" si="191"/>
        <v>-1.6107591142739977E-8</v>
      </c>
      <c r="L1379" s="4">
        <f t="shared" si="192"/>
        <v>-4.9184344868695336E-9</v>
      </c>
      <c r="M1379" s="4">
        <f t="shared" si="194"/>
        <v>-5.5760225155490511E-9</v>
      </c>
      <c r="N1379" s="5">
        <f t="shared" si="195"/>
        <v>7.0301416369195372E-7</v>
      </c>
      <c r="O1379" s="5">
        <f t="shared" si="196"/>
        <v>8.2355322387961373E-7</v>
      </c>
      <c r="P1379" s="5">
        <f t="shared" si="197"/>
        <v>2.7343261242843231E-7</v>
      </c>
      <c r="Q1379" s="1">
        <f t="shared" si="193"/>
        <v>1.7999999999999999E-6</v>
      </c>
    </row>
    <row r="1380" spans="1:17" x14ac:dyDescent="0.25">
      <c r="A1380" s="1">
        <v>68.900000000000006</v>
      </c>
      <c r="B1380" s="1">
        <v>6.3210999999999996E-3</v>
      </c>
      <c r="C1380" s="1">
        <v>5.7751000000000005E-4</v>
      </c>
      <c r="D1380" s="1">
        <v>3.1571000000000002E-2</v>
      </c>
      <c r="E1380" s="1">
        <v>4.9643999999999999E-3</v>
      </c>
      <c r="F1380" s="1">
        <v>3.3607999999999998E-7</v>
      </c>
      <c r="G1380" s="1">
        <v>6.7210999999999999</v>
      </c>
      <c r="H1380" s="1">
        <v>1.9378999999999999E-7</v>
      </c>
      <c r="I1380" s="1">
        <f t="shared" si="189"/>
        <v>1.9378999999999999E-7</v>
      </c>
      <c r="J1380" s="4">
        <f t="shared" si="190"/>
        <v>-8.0153650609896146E-9</v>
      </c>
      <c r="K1380" s="4">
        <f t="shared" si="191"/>
        <v>-1.6059287865656119E-8</v>
      </c>
      <c r="L1380" s="4">
        <f t="shared" si="192"/>
        <v>-4.9039572998124195E-9</v>
      </c>
      <c r="M1380" s="4">
        <f t="shared" si="194"/>
        <v>-5.5632189175782847E-9</v>
      </c>
      <c r="N1380" s="5">
        <f t="shared" si="195"/>
        <v>7.0615412919680774E-7</v>
      </c>
      <c r="O1380" s="5">
        <f t="shared" si="196"/>
        <v>8.2107251999252558E-7</v>
      </c>
      <c r="P1380" s="5">
        <f t="shared" si="197"/>
        <v>2.7277335081066644E-7</v>
      </c>
      <c r="Q1380" s="1">
        <f t="shared" si="193"/>
        <v>1.7999999999999999E-6</v>
      </c>
    </row>
    <row r="1381" spans="1:17" x14ac:dyDescent="0.25">
      <c r="A1381" s="1">
        <v>68.95</v>
      </c>
      <c r="B1381" s="1">
        <v>6.3108000000000001E-3</v>
      </c>
      <c r="C1381" s="1">
        <v>5.7472999999999997E-4</v>
      </c>
      <c r="D1381" s="1">
        <v>3.1577000000000001E-2</v>
      </c>
      <c r="E1381" s="1">
        <v>4.9508E-3</v>
      </c>
      <c r="F1381" s="1">
        <v>3.3449999999999998E-7</v>
      </c>
      <c r="G1381" s="1">
        <v>6.7210000000000001</v>
      </c>
      <c r="H1381" s="1">
        <v>1.9382E-7</v>
      </c>
      <c r="I1381" s="1">
        <f t="shared" si="189"/>
        <v>1.9382E-7</v>
      </c>
      <c r="J1381" s="4">
        <f t="shared" si="190"/>
        <v>-7.9759943935170311E-9</v>
      </c>
      <c r="K1381" s="4">
        <f t="shared" si="191"/>
        <v>-1.6010914139853341E-8</v>
      </c>
      <c r="L1381" s="4">
        <f t="shared" si="192"/>
        <v>-4.8894165155254757E-9</v>
      </c>
      <c r="M1381" s="4">
        <f t="shared" si="194"/>
        <v>-5.5503785036275848E-9</v>
      </c>
      <c r="N1381" s="5">
        <f t="shared" si="195"/>
        <v>7.0929963242761852E-7</v>
      </c>
      <c r="O1381" s="5">
        <f t="shared" si="196"/>
        <v>8.1858797874981686E-7</v>
      </c>
      <c r="P1381" s="5">
        <f t="shared" si="197"/>
        <v>2.7211238882256434E-7</v>
      </c>
      <c r="Q1381" s="1">
        <f t="shared" si="193"/>
        <v>1.7999999999999997E-6</v>
      </c>
    </row>
    <row r="1382" spans="1:17" x14ac:dyDescent="0.25">
      <c r="A1382" s="1">
        <v>69</v>
      </c>
      <c r="B1382" s="1">
        <v>6.3004999999999997E-3</v>
      </c>
      <c r="C1382" s="1">
        <v>5.7196000000000005E-4</v>
      </c>
      <c r="D1382" s="1">
        <v>3.1584000000000001E-2</v>
      </c>
      <c r="E1382" s="1">
        <v>4.9372000000000001E-3</v>
      </c>
      <c r="F1382" s="1">
        <v>3.3294000000000002E-7</v>
      </c>
      <c r="G1382" s="1">
        <v>6.7210000000000001</v>
      </c>
      <c r="H1382" s="1">
        <v>1.9383999999999999E-7</v>
      </c>
      <c r="I1382" s="1">
        <f t="shared" si="189"/>
        <v>1.9383999999999999E-7</v>
      </c>
      <c r="J1382" s="4">
        <f t="shared" si="190"/>
        <v>-7.9363713197229818E-9</v>
      </c>
      <c r="K1382" s="4">
        <f t="shared" si="191"/>
        <v>-1.5962465585620524E-8</v>
      </c>
      <c r="L1382" s="4">
        <f t="shared" si="192"/>
        <v>-4.8747161909773053E-9</v>
      </c>
      <c r="M1382" s="4">
        <f t="shared" si="194"/>
        <v>-5.5377864361665733E-9</v>
      </c>
      <c r="N1382" s="5">
        <f t="shared" si="195"/>
        <v>7.1245101050253884E-7</v>
      </c>
      <c r="O1382" s="5">
        <f t="shared" si="196"/>
        <v>8.1609967092008581E-7</v>
      </c>
      <c r="P1382" s="5">
        <f t="shared" si="197"/>
        <v>2.7144931857737506E-7</v>
      </c>
      <c r="Q1382" s="1">
        <f t="shared" si="193"/>
        <v>1.7999999999999997E-6</v>
      </c>
    </row>
    <row r="1383" spans="1:17" x14ac:dyDescent="0.25">
      <c r="A1383" s="1">
        <v>69.05</v>
      </c>
      <c r="B1383" s="1">
        <v>6.2903000000000004E-3</v>
      </c>
      <c r="C1383" s="1">
        <v>5.6921000000000001E-4</v>
      </c>
      <c r="D1383" s="1">
        <v>3.159E-2</v>
      </c>
      <c r="E1383" s="1">
        <v>4.9236999999999996E-3</v>
      </c>
      <c r="F1383" s="1">
        <v>3.3136999999999998E-7</v>
      </c>
      <c r="G1383" s="1">
        <v>6.7209000000000003</v>
      </c>
      <c r="H1383" s="1">
        <v>1.9387E-7</v>
      </c>
      <c r="I1383" s="1">
        <f t="shared" si="189"/>
        <v>1.9387E-7</v>
      </c>
      <c r="J1383" s="4">
        <f t="shared" si="190"/>
        <v>-7.8974513126055504E-9</v>
      </c>
      <c r="K1383" s="4">
        <f t="shared" si="191"/>
        <v>-1.5913943582940771E-8</v>
      </c>
      <c r="L1383" s="4">
        <f t="shared" si="192"/>
        <v>-4.8601514079255695E-9</v>
      </c>
      <c r="M1383" s="4">
        <f t="shared" si="194"/>
        <v>-5.5248622708687161E-9</v>
      </c>
      <c r="N1383" s="5">
        <f t="shared" si="195"/>
        <v>7.1560735136494845E-7</v>
      </c>
      <c r="O1383" s="5">
        <f t="shared" si="196"/>
        <v>8.1360804092061933E-7</v>
      </c>
      <c r="P1383" s="5">
        <f t="shared" si="197"/>
        <v>2.7078460771443193E-7</v>
      </c>
      <c r="Q1383" s="1">
        <f t="shared" si="193"/>
        <v>1.7999999999999997E-6</v>
      </c>
    </row>
    <row r="1384" spans="1:17" x14ac:dyDescent="0.25">
      <c r="A1384" s="1">
        <v>69.099999999999994</v>
      </c>
      <c r="B1384" s="1">
        <v>6.2801000000000003E-3</v>
      </c>
      <c r="C1384" s="1">
        <v>5.6645999999999997E-4</v>
      </c>
      <c r="D1384" s="1">
        <v>3.1597E-2</v>
      </c>
      <c r="E1384" s="1">
        <v>4.9102E-3</v>
      </c>
      <c r="F1384" s="1">
        <v>3.2982000000000002E-7</v>
      </c>
      <c r="G1384" s="1">
        <v>6.7209000000000003</v>
      </c>
      <c r="H1384" s="1">
        <v>1.9389E-7</v>
      </c>
      <c r="I1384" s="1">
        <f t="shared" si="189"/>
        <v>1.9389E-7</v>
      </c>
      <c r="J1384" s="4">
        <f t="shared" si="190"/>
        <v>-7.8578035854180369E-9</v>
      </c>
      <c r="K1384" s="4">
        <f t="shared" si="191"/>
        <v>-1.5865356797951178E-8</v>
      </c>
      <c r="L1384" s="4">
        <f t="shared" si="192"/>
        <v>-4.8453779817460713E-9</v>
      </c>
      <c r="M1384" s="4">
        <f t="shared" si="194"/>
        <v>-5.5121862492473631E-9</v>
      </c>
      <c r="N1384" s="5">
        <f t="shared" si="195"/>
        <v>7.1876952659573553E-7</v>
      </c>
      <c r="O1384" s="5">
        <f t="shared" si="196"/>
        <v>8.1111267395733355E-7</v>
      </c>
      <c r="P1384" s="5">
        <f t="shared" si="197"/>
        <v>2.7011779944693063E-7</v>
      </c>
      <c r="Q1384" s="1">
        <f t="shared" si="193"/>
        <v>1.7999999999999997E-6</v>
      </c>
    </row>
    <row r="1385" spans="1:17" x14ac:dyDescent="0.25">
      <c r="A1385" s="1">
        <v>69.150000000000006</v>
      </c>
      <c r="B1385" s="1">
        <v>6.2699000000000001E-3</v>
      </c>
      <c r="C1385" s="1">
        <v>5.6373000000000003E-4</v>
      </c>
      <c r="D1385" s="1">
        <v>3.1602999999999999E-2</v>
      </c>
      <c r="E1385" s="1">
        <v>4.8967000000000004E-3</v>
      </c>
      <c r="F1385" s="1">
        <v>3.2827000000000001E-7</v>
      </c>
      <c r="G1385" s="1">
        <v>6.7207999999999997</v>
      </c>
      <c r="H1385" s="1">
        <v>1.9390999999999999E-7</v>
      </c>
      <c r="I1385" s="1">
        <f t="shared" si="189"/>
        <v>1.9390999999999999E-7</v>
      </c>
      <c r="J1385" s="4">
        <f t="shared" si="190"/>
        <v>-7.8188634914666492E-9</v>
      </c>
      <c r="K1385" s="4">
        <f t="shared" si="191"/>
        <v>-1.58166971421716E-8</v>
      </c>
      <c r="L1385" s="4">
        <f t="shared" si="192"/>
        <v>-4.8307428776474452E-9</v>
      </c>
      <c r="M1385" s="4">
        <f t="shared" si="194"/>
        <v>-5.4991797141516155E-9</v>
      </c>
      <c r="N1385" s="5">
        <f t="shared" si="195"/>
        <v>7.2193661736879314E-7</v>
      </c>
      <c r="O1385" s="5">
        <f t="shared" si="196"/>
        <v>8.0861402002078016E-7</v>
      </c>
      <c r="P1385" s="5">
        <f t="shared" si="197"/>
        <v>2.6944936261042645E-7</v>
      </c>
      <c r="Q1385" s="1">
        <f t="shared" si="193"/>
        <v>1.7999999999999997E-6</v>
      </c>
    </row>
    <row r="1386" spans="1:17" x14ac:dyDescent="0.25">
      <c r="A1386" s="1">
        <v>69.2</v>
      </c>
      <c r="B1386" s="1">
        <v>6.2598000000000003E-3</v>
      </c>
      <c r="C1386" s="1">
        <v>5.6101000000000002E-4</v>
      </c>
      <c r="D1386" s="1">
        <v>3.1609999999999999E-2</v>
      </c>
      <c r="E1386" s="1">
        <v>4.8833000000000001E-3</v>
      </c>
      <c r="F1386" s="1">
        <v>3.2673000000000001E-7</v>
      </c>
      <c r="G1386" s="1">
        <v>6.7207999999999997</v>
      </c>
      <c r="H1386" s="1">
        <v>1.9394E-7</v>
      </c>
      <c r="I1386" s="1">
        <f t="shared" si="189"/>
        <v>1.9394E-7</v>
      </c>
      <c r="J1386" s="4">
        <f t="shared" si="190"/>
        <v>-7.7796751085847598E-9</v>
      </c>
      <c r="K1386" s="4">
        <f t="shared" si="191"/>
        <v>-1.5767973390404319E-8</v>
      </c>
      <c r="L1386" s="4">
        <f t="shared" si="192"/>
        <v>-4.8159487824796365E-9</v>
      </c>
      <c r="M1386" s="4">
        <f t="shared" si="194"/>
        <v>-5.4861372198974063E-9</v>
      </c>
      <c r="N1386" s="5">
        <f t="shared" si="195"/>
        <v>7.2510896686813314E-7</v>
      </c>
      <c r="O1386" s="5">
        <f t="shared" si="196"/>
        <v>8.0611185895885795E-7</v>
      </c>
      <c r="P1386" s="5">
        <f t="shared" si="197"/>
        <v>2.6877917417300867E-7</v>
      </c>
      <c r="Q1386" s="1">
        <f t="shared" si="193"/>
        <v>1.7999999999999999E-6</v>
      </c>
    </row>
    <row r="1387" spans="1:17" x14ac:dyDescent="0.25">
      <c r="A1387" s="1">
        <v>69.25</v>
      </c>
      <c r="B1387" s="1">
        <v>6.2496000000000001E-3</v>
      </c>
      <c r="C1387" s="1">
        <v>5.5829999999999996E-4</v>
      </c>
      <c r="D1387" s="1">
        <v>3.1615999999999998E-2</v>
      </c>
      <c r="E1387" s="1">
        <v>4.8698999999999999E-3</v>
      </c>
      <c r="F1387" s="1">
        <v>3.2519999999999997E-7</v>
      </c>
      <c r="G1387" s="1">
        <v>6.7206999999999999</v>
      </c>
      <c r="H1387" s="1">
        <v>1.9396E-7</v>
      </c>
      <c r="I1387" s="1">
        <f t="shared" si="189"/>
        <v>1.9396E-7</v>
      </c>
      <c r="J1387" s="4">
        <f t="shared" si="190"/>
        <v>-7.7407189837312328E-9</v>
      </c>
      <c r="K1387" s="4">
        <f t="shared" si="191"/>
        <v>-1.5719181249696837E-8</v>
      </c>
      <c r="L1387" s="4">
        <f t="shared" si="192"/>
        <v>-4.8012441466962666E-9</v>
      </c>
      <c r="M1387" s="4">
        <f t="shared" si="194"/>
        <v>-5.473338469106585E-9</v>
      </c>
      <c r="N1387" s="5">
        <f t="shared" si="195"/>
        <v>7.2828618498740255E-7</v>
      </c>
      <c r="O1387" s="5">
        <f t="shared" si="196"/>
        <v>8.0360673516199886E-7</v>
      </c>
      <c r="P1387" s="5">
        <f t="shared" si="197"/>
        <v>2.6810707985059835E-7</v>
      </c>
      <c r="Q1387" s="1">
        <f t="shared" si="193"/>
        <v>1.7999999999999997E-6</v>
      </c>
    </row>
    <row r="1388" spans="1:17" x14ac:dyDescent="0.25">
      <c r="A1388" s="1">
        <v>69.3</v>
      </c>
      <c r="B1388" s="1">
        <v>6.2395000000000003E-3</v>
      </c>
      <c r="C1388" s="1">
        <v>5.5561E-4</v>
      </c>
      <c r="D1388" s="1">
        <v>3.1622999999999998E-2</v>
      </c>
      <c r="E1388" s="1">
        <v>4.8566E-3</v>
      </c>
      <c r="F1388" s="1">
        <v>3.2366999999999999E-7</v>
      </c>
      <c r="G1388" s="1">
        <v>6.7206000000000001</v>
      </c>
      <c r="H1388" s="1">
        <v>1.9397999999999999E-7</v>
      </c>
      <c r="I1388" s="1">
        <f t="shared" si="189"/>
        <v>1.9397999999999999E-7</v>
      </c>
      <c r="J1388" s="4">
        <f t="shared" si="190"/>
        <v>-7.7019934624785775E-9</v>
      </c>
      <c r="K1388" s="4">
        <f t="shared" si="191"/>
        <v>-1.5670331335658087E-8</v>
      </c>
      <c r="L1388" s="4">
        <f t="shared" si="192"/>
        <v>-4.7865295985896784E-9</v>
      </c>
      <c r="M1388" s="4">
        <f t="shared" si="194"/>
        <v>-5.4602151668210053E-9</v>
      </c>
      <c r="N1388" s="5">
        <f t="shared" si="195"/>
        <v>7.3146799326199232E-7</v>
      </c>
      <c r="O1388" s="5">
        <f t="shared" si="196"/>
        <v>8.010986124556404E-7</v>
      </c>
      <c r="P1388" s="5">
        <f t="shared" si="197"/>
        <v>2.6743339428236705E-7</v>
      </c>
      <c r="Q1388" s="1">
        <f t="shared" si="193"/>
        <v>1.7999999999999999E-6</v>
      </c>
    </row>
    <row r="1389" spans="1:17" x14ac:dyDescent="0.25">
      <c r="A1389" s="1">
        <v>69.349999999999994</v>
      </c>
      <c r="B1389" s="1">
        <v>6.2294999999999998E-3</v>
      </c>
      <c r="C1389" s="1">
        <v>5.5292000000000004E-4</v>
      </c>
      <c r="D1389" s="1">
        <v>3.1628999999999997E-2</v>
      </c>
      <c r="E1389" s="1">
        <v>4.8433E-3</v>
      </c>
      <c r="F1389" s="1">
        <v>3.2214E-7</v>
      </c>
      <c r="G1389" s="1">
        <v>6.7206000000000001</v>
      </c>
      <c r="H1389" s="1">
        <v>1.9401E-7</v>
      </c>
      <c r="I1389" s="1">
        <f t="shared" si="189"/>
        <v>1.9401E-7</v>
      </c>
      <c r="J1389" s="4">
        <f t="shared" si="190"/>
        <v>-7.6630246601851867E-9</v>
      </c>
      <c r="K1389" s="4">
        <f t="shared" si="191"/>
        <v>-1.5621422942884099E-8</v>
      </c>
      <c r="L1389" s="4">
        <f t="shared" si="192"/>
        <v>-4.7717557726486795E-9</v>
      </c>
      <c r="M1389" s="4">
        <f t="shared" si="194"/>
        <v>-5.4470566314035138E-9</v>
      </c>
      <c r="N1389" s="5">
        <f t="shared" si="195"/>
        <v>7.3465463577204259E-7</v>
      </c>
      <c r="O1389" s="5">
        <f t="shared" si="196"/>
        <v>7.9858727080434498E-7</v>
      </c>
      <c r="P1389" s="5">
        <f t="shared" si="197"/>
        <v>2.6675809342361219E-7</v>
      </c>
      <c r="Q1389" s="1">
        <f t="shared" si="193"/>
        <v>1.7999999999999997E-6</v>
      </c>
    </row>
    <row r="1390" spans="1:17" x14ac:dyDescent="0.25">
      <c r="A1390" s="1">
        <v>69.400000000000006</v>
      </c>
      <c r="B1390" s="1">
        <v>6.2193999999999999E-3</v>
      </c>
      <c r="C1390" s="1">
        <v>5.5024999999999996E-4</v>
      </c>
      <c r="D1390" s="1">
        <v>3.1635000000000003E-2</v>
      </c>
      <c r="E1390" s="1">
        <v>4.8301000000000004E-3</v>
      </c>
      <c r="F1390" s="1">
        <v>3.2062999999999998E-7</v>
      </c>
      <c r="G1390" s="1">
        <v>6.7205000000000004</v>
      </c>
      <c r="H1390" s="1">
        <v>1.9403E-7</v>
      </c>
      <c r="I1390" s="1">
        <f t="shared" si="189"/>
        <v>1.9403E-7</v>
      </c>
      <c r="J1390" s="4">
        <f t="shared" si="190"/>
        <v>-7.6238182116597866E-9</v>
      </c>
      <c r="K1390" s="4">
        <f t="shared" si="191"/>
        <v>-1.5572451780688268E-8</v>
      </c>
      <c r="L1390" s="4">
        <f t="shared" si="192"/>
        <v>-4.7568268699884268E-9</v>
      </c>
      <c r="M1390" s="4">
        <f t="shared" si="194"/>
        <v>-5.4341424590383114E-9</v>
      </c>
      <c r="N1390" s="5">
        <f t="shared" si="195"/>
        <v>7.3784644247108263E-7</v>
      </c>
      <c r="O1390" s="5">
        <f t="shared" si="196"/>
        <v>7.9607277969435486E-7</v>
      </c>
      <c r="P1390" s="5">
        <f t="shared" si="197"/>
        <v>2.6608077783456232E-7</v>
      </c>
      <c r="Q1390" s="1">
        <f t="shared" si="193"/>
        <v>1.7999999999999997E-6</v>
      </c>
    </row>
    <row r="1391" spans="1:17" x14ac:dyDescent="0.25">
      <c r="A1391" s="1">
        <v>69.45</v>
      </c>
      <c r="B1391" s="1">
        <v>6.2094000000000003E-3</v>
      </c>
      <c r="C1391" s="1">
        <v>5.4759000000000003E-4</v>
      </c>
      <c r="D1391" s="1">
        <v>3.1642000000000003E-2</v>
      </c>
      <c r="E1391" s="1">
        <v>4.8168000000000004E-3</v>
      </c>
      <c r="F1391" s="1">
        <v>3.1912000000000001E-7</v>
      </c>
      <c r="G1391" s="1">
        <v>6.7205000000000004</v>
      </c>
      <c r="H1391" s="1">
        <v>1.9404999999999999E-7</v>
      </c>
      <c r="I1391" s="1">
        <f t="shared" si="189"/>
        <v>1.9404999999999999E-7</v>
      </c>
      <c r="J1391" s="4">
        <f t="shared" si="190"/>
        <v>-7.5853268245891892E-9</v>
      </c>
      <c r="K1391" s="4">
        <f t="shared" si="191"/>
        <v>-1.5523419204039041E-8</v>
      </c>
      <c r="L1391" s="4">
        <f t="shared" si="192"/>
        <v>-4.7421398947731105E-9</v>
      </c>
      <c r="M1391" s="4">
        <f t="shared" si="194"/>
        <v>-5.4209035989399053E-9</v>
      </c>
      <c r="N1391" s="5">
        <f t="shared" si="195"/>
        <v>7.4104239495575939E-7</v>
      </c>
      <c r="O1391" s="5">
        <f t="shared" si="196"/>
        <v>7.9355559091384485E-7</v>
      </c>
      <c r="P1391" s="5">
        <f t="shared" si="197"/>
        <v>2.6540201413039552E-7</v>
      </c>
      <c r="Q1391" s="1">
        <f t="shared" si="193"/>
        <v>1.7999999999999997E-6</v>
      </c>
    </row>
    <row r="1392" spans="1:17" x14ac:dyDescent="0.25">
      <c r="A1392" s="1">
        <v>69.5</v>
      </c>
      <c r="B1392" s="1">
        <v>6.1993999999999999E-3</v>
      </c>
      <c r="C1392" s="1">
        <v>5.4494000000000005E-4</v>
      </c>
      <c r="D1392" s="1">
        <v>3.1648000000000003E-2</v>
      </c>
      <c r="E1392" s="1">
        <v>4.8037000000000002E-3</v>
      </c>
      <c r="F1392" s="1">
        <v>3.1761E-7</v>
      </c>
      <c r="G1392" s="1">
        <v>6.7203999999999997</v>
      </c>
      <c r="H1392" s="1">
        <v>1.9408E-7</v>
      </c>
      <c r="I1392" s="1">
        <f t="shared" si="189"/>
        <v>1.9408E-7</v>
      </c>
      <c r="J1392" s="4">
        <f t="shared" si="190"/>
        <v>-7.5465960029857051E-9</v>
      </c>
      <c r="K1392" s="4">
        <f t="shared" si="191"/>
        <v>-1.5474334022819095E-8</v>
      </c>
      <c r="L1392" s="4">
        <f t="shared" si="192"/>
        <v>-4.7271979522688457E-9</v>
      </c>
      <c r="M1392" s="4">
        <f t="shared" si="194"/>
        <v>-5.4076323884100339E-9</v>
      </c>
      <c r="N1392" s="5">
        <f t="shared" si="195"/>
        <v>7.4424293502332401E-7</v>
      </c>
      <c r="O1392" s="5">
        <f t="shared" si="196"/>
        <v>7.9103548528242143E-7</v>
      </c>
      <c r="P1392" s="5">
        <f t="shared" si="197"/>
        <v>2.6472157969425437E-7</v>
      </c>
      <c r="Q1392" s="1">
        <f t="shared" si="193"/>
        <v>1.7999999999999997E-6</v>
      </c>
    </row>
    <row r="1393" spans="1:17" x14ac:dyDescent="0.25">
      <c r="A1393" s="1">
        <v>69.55</v>
      </c>
      <c r="B1393" s="1">
        <v>6.1894000000000003E-3</v>
      </c>
      <c r="C1393" s="1">
        <v>5.4230000000000001E-4</v>
      </c>
      <c r="D1393" s="1">
        <v>3.1654000000000002E-2</v>
      </c>
      <c r="E1393" s="1">
        <v>4.7904999999999996E-3</v>
      </c>
      <c r="F1393" s="1">
        <v>3.1612E-7</v>
      </c>
      <c r="G1393" s="1">
        <v>6.7203999999999997</v>
      </c>
      <c r="H1393" s="1">
        <v>1.941E-7</v>
      </c>
      <c r="I1393" s="1">
        <f t="shared" si="189"/>
        <v>1.941E-7</v>
      </c>
      <c r="J1393" s="4">
        <f t="shared" si="190"/>
        <v>-7.5076333743041578E-9</v>
      </c>
      <c r="K1393" s="4">
        <f t="shared" si="191"/>
        <v>-1.5425191963006341E-8</v>
      </c>
      <c r="L1393" s="4">
        <f t="shared" si="192"/>
        <v>-4.7122992514908621E-9</v>
      </c>
      <c r="M1393" s="4">
        <f t="shared" si="194"/>
        <v>-5.3946022396410868E-9</v>
      </c>
      <c r="N1393" s="5">
        <f t="shared" si="195"/>
        <v>7.4744819436053539E-7</v>
      </c>
      <c r="O1393" s="5">
        <f t="shared" si="196"/>
        <v>7.8851252893336029E-7</v>
      </c>
      <c r="P1393" s="5">
        <f t="shared" si="197"/>
        <v>2.6403927670610418E-7</v>
      </c>
      <c r="Q1393" s="1">
        <f t="shared" si="193"/>
        <v>1.7999999999999997E-6</v>
      </c>
    </row>
    <row r="1394" spans="1:17" x14ac:dyDescent="0.25">
      <c r="A1394" s="1">
        <v>69.599999999999994</v>
      </c>
      <c r="B1394" s="1">
        <v>6.1795000000000001E-3</v>
      </c>
      <c r="C1394" s="1">
        <v>5.3967000000000002E-4</v>
      </c>
      <c r="D1394" s="1">
        <v>3.1661000000000002E-2</v>
      </c>
      <c r="E1394" s="1">
        <v>4.7774000000000002E-3</v>
      </c>
      <c r="F1394" s="1">
        <v>3.1463000000000001E-7</v>
      </c>
      <c r="G1394" s="1">
        <v>6.7202999999999999</v>
      </c>
      <c r="H1394" s="1">
        <v>1.9411999999999999E-7</v>
      </c>
      <c r="I1394" s="1">
        <f t="shared" si="189"/>
        <v>1.9411999999999999E-7</v>
      </c>
      <c r="J1394" s="4">
        <f t="shared" si="190"/>
        <v>-7.4693884130375678E-9</v>
      </c>
      <c r="K1394" s="4">
        <f t="shared" si="191"/>
        <v>-1.5375994314199652E-8</v>
      </c>
      <c r="L1394" s="4">
        <f t="shared" si="192"/>
        <v>-4.697448328151473E-9</v>
      </c>
      <c r="M1394" s="4">
        <f t="shared" si="194"/>
        <v>-5.3812524789084509E-9</v>
      </c>
      <c r="N1394" s="5">
        <f t="shared" si="195"/>
        <v>7.5065735193354598E-7</v>
      </c>
      <c r="O1394" s="5">
        <f t="shared" si="196"/>
        <v>7.859871755111067E-7</v>
      </c>
      <c r="P1394" s="5">
        <f t="shared" si="197"/>
        <v>2.6335547255534718E-7</v>
      </c>
      <c r="Q1394" s="1">
        <f t="shared" si="193"/>
        <v>1.7999999999999997E-6</v>
      </c>
    </row>
    <row r="1395" spans="1:17" x14ac:dyDescent="0.25">
      <c r="A1395" s="1">
        <v>69.650000000000006</v>
      </c>
      <c r="B1395" s="1">
        <v>6.1695999999999999E-3</v>
      </c>
      <c r="C1395" s="1">
        <v>5.3706000000000001E-4</v>
      </c>
      <c r="D1395" s="1">
        <v>3.1667000000000001E-2</v>
      </c>
      <c r="E1395" s="1">
        <v>4.7643E-3</v>
      </c>
      <c r="F1395" s="1">
        <v>3.1314000000000001E-7</v>
      </c>
      <c r="G1395" s="1">
        <v>6.7202999999999999</v>
      </c>
      <c r="H1395" s="1">
        <v>1.9413999999999999E-7</v>
      </c>
      <c r="I1395" s="1">
        <f t="shared" si="189"/>
        <v>1.9413999999999999E-7</v>
      </c>
      <c r="J1395" s="4">
        <f t="shared" si="190"/>
        <v>-7.4309100281878767E-9</v>
      </c>
      <c r="K1395" s="4">
        <f t="shared" si="191"/>
        <v>-1.5326749922470064E-8</v>
      </c>
      <c r="L1395" s="4">
        <f t="shared" si="192"/>
        <v>-4.6825408482966901E-9</v>
      </c>
      <c r="M1395" s="4">
        <f t="shared" si="194"/>
        <v>-5.3678692549078389E-9</v>
      </c>
      <c r="N1395" s="5">
        <f t="shared" si="195"/>
        <v>7.5387065097953139E-7</v>
      </c>
      <c r="O1395" s="5">
        <f t="shared" si="196"/>
        <v>7.8345920487173235E-7</v>
      </c>
      <c r="P1395" s="5">
        <f t="shared" si="197"/>
        <v>2.6267014414873602E-7</v>
      </c>
      <c r="Q1395" s="1">
        <f t="shared" si="193"/>
        <v>1.7999999999999997E-6</v>
      </c>
    </row>
    <row r="1396" spans="1:17" x14ac:dyDescent="0.25">
      <c r="A1396" s="1">
        <v>69.7</v>
      </c>
      <c r="B1396" s="1">
        <v>6.1596999999999997E-3</v>
      </c>
      <c r="C1396" s="1">
        <v>5.3445999999999995E-4</v>
      </c>
      <c r="D1396" s="1">
        <v>3.1673E-2</v>
      </c>
      <c r="E1396" s="1">
        <v>4.7513E-3</v>
      </c>
      <c r="F1396" s="1">
        <v>3.1166000000000003E-7</v>
      </c>
      <c r="G1396" s="1">
        <v>6.7202000000000002</v>
      </c>
      <c r="H1396" s="1">
        <v>1.9417E-7</v>
      </c>
      <c r="I1396" s="1">
        <f t="shared" si="189"/>
        <v>1.9417E-7</v>
      </c>
      <c r="J1396" s="4">
        <f t="shared" si="190"/>
        <v>-7.3922037805526121E-9</v>
      </c>
      <c r="K1396" s="4">
        <f t="shared" si="191"/>
        <v>-1.5277454494997912E-8</v>
      </c>
      <c r="L1396" s="4">
        <f t="shared" si="192"/>
        <v>-4.6674812338730362E-9</v>
      </c>
      <c r="M1396" s="4">
        <f t="shared" si="194"/>
        <v>-5.3544520874284343E-9</v>
      </c>
      <c r="N1396" s="5">
        <f t="shared" si="195"/>
        <v>7.5708842046010369E-7</v>
      </c>
      <c r="O1396" s="5">
        <f t="shared" si="196"/>
        <v>7.8092840624471548E-7</v>
      </c>
      <c r="P1396" s="5">
        <f t="shared" si="197"/>
        <v>2.619831732951806E-7</v>
      </c>
      <c r="Q1396" s="1">
        <f t="shared" si="193"/>
        <v>1.7999999999999999E-6</v>
      </c>
    </row>
    <row r="1397" spans="1:17" x14ac:dyDescent="0.25">
      <c r="A1397" s="1">
        <v>69.75</v>
      </c>
      <c r="B1397" s="1">
        <v>6.1498000000000004E-3</v>
      </c>
      <c r="C1397" s="1">
        <v>5.3187000000000004E-4</v>
      </c>
      <c r="D1397" s="1">
        <v>3.1678999999999999E-2</v>
      </c>
      <c r="E1397" s="1">
        <v>4.7383E-3</v>
      </c>
      <c r="F1397" s="1">
        <v>3.1019E-7</v>
      </c>
      <c r="G1397" s="1">
        <v>6.7201000000000004</v>
      </c>
      <c r="H1397" s="1">
        <v>1.9418999999999999E-7</v>
      </c>
      <c r="I1397" s="1">
        <f t="shared" si="189"/>
        <v>1.9418999999999999E-7</v>
      </c>
      <c r="J1397" s="4">
        <f t="shared" si="190"/>
        <v>-7.3537478841400756E-9</v>
      </c>
      <c r="K1397" s="4">
        <f t="shared" si="191"/>
        <v>-1.5228103921771087E-8</v>
      </c>
      <c r="L1397" s="4">
        <f t="shared" si="192"/>
        <v>-4.6525196892750486E-9</v>
      </c>
      <c r="M1397" s="4">
        <f t="shared" si="194"/>
        <v>-5.341273639665844E-9</v>
      </c>
      <c r="N1397" s="5">
        <f t="shared" si="195"/>
        <v>7.6031025680845969E-7</v>
      </c>
      <c r="O1397" s="5">
        <f t="shared" si="196"/>
        <v>7.7839532384675026E-7</v>
      </c>
      <c r="P1397" s="5">
        <f t="shared" si="197"/>
        <v>2.6129441934478976E-7</v>
      </c>
      <c r="Q1397" s="1">
        <f t="shared" si="193"/>
        <v>1.7999999999999997E-6</v>
      </c>
    </row>
    <row r="1398" spans="1:17" x14ac:dyDescent="0.25">
      <c r="A1398" s="1">
        <v>69.8</v>
      </c>
      <c r="B1398" s="1">
        <v>6.1399999999999996E-3</v>
      </c>
      <c r="C1398" s="1">
        <v>5.2928999999999997E-4</v>
      </c>
      <c r="D1398" s="1">
        <v>3.1685999999999999E-2</v>
      </c>
      <c r="E1398" s="1">
        <v>4.7254000000000003E-3</v>
      </c>
      <c r="F1398" s="1">
        <v>3.0872999999999999E-7</v>
      </c>
      <c r="G1398" s="1">
        <v>6.7201000000000004</v>
      </c>
      <c r="H1398" s="1">
        <v>1.9420999999999999E-7</v>
      </c>
      <c r="I1398" s="1">
        <f t="shared" si="189"/>
        <v>1.9420999999999999E-7</v>
      </c>
      <c r="J1398" s="4">
        <f t="shared" si="190"/>
        <v>-7.3155407674741127E-9</v>
      </c>
      <c r="K1398" s="4">
        <f t="shared" si="191"/>
        <v>-1.5178708815010767E-8</v>
      </c>
      <c r="L1398" s="4">
        <f t="shared" si="192"/>
        <v>-4.6375573453969742E-9</v>
      </c>
      <c r="M1398" s="4">
        <f t="shared" si="194"/>
        <v>-5.3277801457189929E-9</v>
      </c>
      <c r="N1398" s="5">
        <f t="shared" si="195"/>
        <v>7.6353586751059946E-7</v>
      </c>
      <c r="O1398" s="5">
        <f t="shared" si="196"/>
        <v>7.7585993594493248E-7</v>
      </c>
      <c r="P1398" s="5">
        <f t="shared" si="197"/>
        <v>2.6060419654446771E-7</v>
      </c>
      <c r="Q1398" s="1">
        <f t="shared" si="193"/>
        <v>1.7999999999999997E-6</v>
      </c>
    </row>
    <row r="1399" spans="1:17" x14ac:dyDescent="0.25">
      <c r="A1399" s="1">
        <v>69.849999999999994</v>
      </c>
      <c r="B1399" s="1">
        <v>6.1301999999999997E-3</v>
      </c>
      <c r="C1399" s="1">
        <v>5.2672000000000005E-4</v>
      </c>
      <c r="D1399" s="1">
        <v>3.1691999999999998E-2</v>
      </c>
      <c r="E1399" s="1">
        <v>4.7124999999999997E-3</v>
      </c>
      <c r="F1399" s="1">
        <v>3.0727000000000002E-7</v>
      </c>
      <c r="G1399" s="1">
        <v>6.72</v>
      </c>
      <c r="H1399" s="1">
        <v>1.9424E-7</v>
      </c>
      <c r="I1399" s="1">
        <f t="shared" si="189"/>
        <v>1.9424E-7</v>
      </c>
      <c r="J1399" s="4">
        <f t="shared" si="190"/>
        <v>-7.2775820232687336E-9</v>
      </c>
      <c r="K1399" s="4">
        <f t="shared" si="191"/>
        <v>-1.5129268750925322E-8</v>
      </c>
      <c r="L1399" s="4">
        <f t="shared" si="192"/>
        <v>-4.6226919082994651E-9</v>
      </c>
      <c r="M1399" s="4">
        <f t="shared" si="194"/>
        <v>-5.3142538061443111E-9</v>
      </c>
      <c r="N1399" s="5">
        <f t="shared" si="195"/>
        <v>7.6676486232995663E-7</v>
      </c>
      <c r="O1399" s="5">
        <f t="shared" si="196"/>
        <v>7.7332250302342022E-7</v>
      </c>
      <c r="P1399" s="5">
        <f t="shared" si="197"/>
        <v>2.5991263464662286E-7</v>
      </c>
      <c r="Q1399" s="1">
        <f t="shared" si="193"/>
        <v>1.7999999999999997E-6</v>
      </c>
    </row>
    <row r="1400" spans="1:17" x14ac:dyDescent="0.25">
      <c r="A1400" s="1">
        <v>69.900000000000006</v>
      </c>
      <c r="B1400" s="1">
        <v>6.1203999999999998E-3</v>
      </c>
      <c r="C1400" s="1">
        <v>5.2417000000000002E-4</v>
      </c>
      <c r="D1400" s="1">
        <v>3.1697999999999997E-2</v>
      </c>
      <c r="E1400" s="1">
        <v>4.6996E-3</v>
      </c>
      <c r="F1400" s="1">
        <v>3.0582000000000002E-7</v>
      </c>
      <c r="G1400" s="1">
        <v>6.72</v>
      </c>
      <c r="H1400" s="1">
        <v>1.9425999999999999E-7</v>
      </c>
      <c r="I1400" s="1">
        <f t="shared" si="189"/>
        <v>1.9425999999999999E-7</v>
      </c>
      <c r="J1400" s="4">
        <f t="shared" si="190"/>
        <v>-7.2393991685788076E-9</v>
      </c>
      <c r="K1400" s="4">
        <f t="shared" si="191"/>
        <v>-1.5079788808960122E-8</v>
      </c>
      <c r="L1400" s="4">
        <f t="shared" si="192"/>
        <v>-4.6076748336967379E-9</v>
      </c>
      <c r="M1400" s="4">
        <f t="shared" si="194"/>
        <v>-5.3009701661460082E-9</v>
      </c>
      <c r="N1400" s="5">
        <f t="shared" si="195"/>
        <v>7.6999757713664117E-7</v>
      </c>
      <c r="O1400" s="5">
        <f t="shared" si="196"/>
        <v>7.7078308354918497E-7</v>
      </c>
      <c r="P1400" s="5">
        <f t="shared" si="197"/>
        <v>2.5921933931417362E-7</v>
      </c>
      <c r="Q1400" s="1">
        <f t="shared" si="193"/>
        <v>1.7999999999999997E-6</v>
      </c>
    </row>
    <row r="1401" spans="1:17" x14ac:dyDescent="0.25">
      <c r="A1401" s="1">
        <v>69.95</v>
      </c>
      <c r="B1401" s="1">
        <v>6.1107000000000002E-3</v>
      </c>
      <c r="C1401" s="1">
        <v>5.2161999999999998E-4</v>
      </c>
      <c r="D1401" s="1">
        <v>3.1704000000000003E-2</v>
      </c>
      <c r="E1401" s="1">
        <v>4.6867000000000002E-3</v>
      </c>
      <c r="F1401" s="1">
        <v>3.0437000000000002E-7</v>
      </c>
      <c r="G1401" s="1">
        <v>6.7199</v>
      </c>
      <c r="H1401" s="1">
        <v>1.9427999999999999E-7</v>
      </c>
      <c r="I1401" s="1">
        <f t="shared" si="189"/>
        <v>1.9427999999999999E-7</v>
      </c>
      <c r="J1401" s="4">
        <f t="shared" si="190"/>
        <v>-7.2014695147586576E-9</v>
      </c>
      <c r="K1401" s="4">
        <f t="shared" si="191"/>
        <v>-1.5030270129208252E-8</v>
      </c>
      <c r="L1401" s="4">
        <f t="shared" si="192"/>
        <v>-4.5926593566795206E-9</v>
      </c>
      <c r="M1401" s="4">
        <f t="shared" si="194"/>
        <v>-5.2873746297926931E-9</v>
      </c>
      <c r="N1401" s="5">
        <f t="shared" si="195"/>
        <v>7.7323371839441124E-7</v>
      </c>
      <c r="O1401" s="5">
        <f t="shared" si="196"/>
        <v>7.6824165756452811E-7</v>
      </c>
      <c r="P1401" s="5">
        <f t="shared" si="197"/>
        <v>2.5852462404106046E-7</v>
      </c>
      <c r="Q1401" s="1">
        <f t="shared" si="193"/>
        <v>1.7999999999999997E-6</v>
      </c>
    </row>
    <row r="1402" spans="1:17" x14ac:dyDescent="0.25">
      <c r="A1402" s="1">
        <v>70</v>
      </c>
      <c r="B1402" s="1">
        <v>6.1009000000000002E-3</v>
      </c>
      <c r="C1402" s="1">
        <v>5.1909000000000005E-4</v>
      </c>
      <c r="D1402" s="1">
        <v>3.1710000000000002E-2</v>
      </c>
      <c r="E1402" s="1">
        <v>4.6738999999999999E-3</v>
      </c>
      <c r="F1402" s="1">
        <v>3.0292999999999997E-7</v>
      </c>
      <c r="G1402" s="1">
        <v>6.7199</v>
      </c>
      <c r="H1402" s="1">
        <v>1.9430000000000001E-7</v>
      </c>
      <c r="I1402" s="1">
        <f t="shared" si="189"/>
        <v>1.9430000000000001E-7</v>
      </c>
      <c r="J1402" s="4">
        <f t="shared" si="190"/>
        <v>-7.1633219832119892E-9</v>
      </c>
      <c r="K1402" s="4">
        <f t="shared" si="191"/>
        <v>-1.4980712322507448E-8</v>
      </c>
      <c r="L1402" s="4">
        <f t="shared" si="192"/>
        <v>-4.5774950134930016E-9</v>
      </c>
      <c r="M1402" s="4">
        <f t="shared" si="194"/>
        <v>-5.2737472156629083E-9</v>
      </c>
      <c r="N1402" s="5">
        <f t="shared" si="195"/>
        <v>7.7647361372021369E-7</v>
      </c>
      <c r="O1402" s="5">
        <f t="shared" si="196"/>
        <v>7.656980144408955E-7</v>
      </c>
      <c r="P1402" s="5">
        <f t="shared" si="197"/>
        <v>2.5782837183889052E-7</v>
      </c>
      <c r="Q1402" s="1">
        <f t="shared" si="193"/>
        <v>1.7999999999999997E-6</v>
      </c>
    </row>
    <row r="1403" spans="1:17" x14ac:dyDescent="0.25">
      <c r="A1403" s="1">
        <v>70.05</v>
      </c>
      <c r="B1403" s="1">
        <v>6.0911999999999997E-3</v>
      </c>
      <c r="C1403" s="1">
        <v>5.1657000000000005E-4</v>
      </c>
      <c r="D1403" s="1">
        <v>3.1716000000000001E-2</v>
      </c>
      <c r="E1403" s="1">
        <v>4.6611999999999999E-3</v>
      </c>
      <c r="F1403" s="1">
        <v>3.0149999999999999E-7</v>
      </c>
      <c r="G1403" s="1">
        <v>6.7198000000000002</v>
      </c>
      <c r="H1403" s="1">
        <v>1.9432999999999999E-7</v>
      </c>
      <c r="I1403" s="1">
        <f t="shared" si="189"/>
        <v>1.9432999999999999E-7</v>
      </c>
      <c r="J1403" s="4">
        <f t="shared" si="190"/>
        <v>-7.1254331796061739E-9</v>
      </c>
      <c r="K1403" s="4">
        <f t="shared" si="191"/>
        <v>-1.4931111281596612E-8</v>
      </c>
      <c r="L1403" s="4">
        <f t="shared" si="192"/>
        <v>-4.5624330001442368E-9</v>
      </c>
      <c r="M1403" s="4">
        <f t="shared" si="194"/>
        <v>-5.2600855280708261E-9</v>
      </c>
      <c r="N1403" s="5">
        <f t="shared" si="195"/>
        <v>7.7971685882205986E-7</v>
      </c>
      <c r="O1403" s="5">
        <f t="shared" si="196"/>
        <v>7.6315242186697596E-7</v>
      </c>
      <c r="P1403" s="5">
        <f t="shared" si="197"/>
        <v>2.5713071931096394E-7</v>
      </c>
      <c r="Q1403" s="1">
        <f t="shared" si="193"/>
        <v>1.7999999999999999E-6</v>
      </c>
    </row>
    <row r="1404" spans="1:17" x14ac:dyDescent="0.25">
      <c r="A1404" s="1">
        <v>70.099999999999994</v>
      </c>
      <c r="B1404" s="1">
        <v>6.0815000000000001E-3</v>
      </c>
      <c r="C1404" s="1">
        <v>5.1405999999999999E-4</v>
      </c>
      <c r="D1404" s="1">
        <v>3.1722E-2</v>
      </c>
      <c r="E1404" s="1">
        <v>4.6483999999999996E-3</v>
      </c>
      <c r="F1404" s="1">
        <v>3.0007000000000001E-7</v>
      </c>
      <c r="G1404" s="1">
        <v>6.7198000000000002</v>
      </c>
      <c r="H1404" s="1">
        <v>1.9434999999999999E-7</v>
      </c>
      <c r="I1404" s="1">
        <f t="shared" si="189"/>
        <v>1.9434999999999999E-7</v>
      </c>
      <c r="J1404" s="4">
        <f t="shared" si="190"/>
        <v>-7.0878016829853555E-9</v>
      </c>
      <c r="K1404" s="4">
        <f t="shared" si="191"/>
        <v>-1.4881472226405186E-8</v>
      </c>
      <c r="L1404" s="4">
        <f t="shared" si="192"/>
        <v>-4.5474724377988413E-9</v>
      </c>
      <c r="M1404" s="4">
        <f t="shared" si="194"/>
        <v>-5.2466623317881618E-9</v>
      </c>
      <c r="N1404" s="5">
        <f t="shared" si="195"/>
        <v>7.8296305692768085E-7</v>
      </c>
      <c r="O1404" s="5">
        <f t="shared" si="196"/>
        <v>7.6060541365534422E-7</v>
      </c>
      <c r="P1404" s="5">
        <f t="shared" si="197"/>
        <v>2.5643152941697464E-7</v>
      </c>
      <c r="Q1404" s="1">
        <f t="shared" si="193"/>
        <v>1.7999999999999997E-6</v>
      </c>
    </row>
    <row r="1405" spans="1:17" x14ac:dyDescent="0.25">
      <c r="A1405" s="1">
        <v>70.150000000000006</v>
      </c>
      <c r="B1405" s="1">
        <v>6.0718999999999999E-3</v>
      </c>
      <c r="C1405" s="1">
        <v>5.1157000000000004E-4</v>
      </c>
      <c r="D1405" s="1">
        <v>3.1727999999999999E-2</v>
      </c>
      <c r="E1405" s="1">
        <v>4.6357000000000004E-3</v>
      </c>
      <c r="F1405" s="1">
        <v>2.9864999999999999E-7</v>
      </c>
      <c r="G1405" s="1">
        <v>6.7196999999999996</v>
      </c>
      <c r="H1405" s="1">
        <v>1.9437000000000001E-7</v>
      </c>
      <c r="I1405" s="1">
        <f t="shared" si="189"/>
        <v>1.9437000000000001E-7</v>
      </c>
      <c r="J1405" s="4">
        <f t="shared" si="190"/>
        <v>-7.0499563408417247E-9</v>
      </c>
      <c r="K1405" s="4">
        <f t="shared" si="191"/>
        <v>-1.4831805566282584E-8</v>
      </c>
      <c r="L1405" s="4">
        <f t="shared" si="192"/>
        <v>-4.5322664970603525E-9</v>
      </c>
      <c r="M1405" s="4">
        <f t="shared" si="194"/>
        <v>-5.2329341129310367E-9</v>
      </c>
      <c r="N1405" s="5">
        <f t="shared" si="195"/>
        <v>7.8621263965606131E-7</v>
      </c>
      <c r="O1405" s="5">
        <f t="shared" si="196"/>
        <v>7.5805649854283435E-7</v>
      </c>
      <c r="P1405" s="5">
        <f t="shared" si="197"/>
        <v>2.5573086180110394E-7</v>
      </c>
      <c r="Q1405" s="1">
        <f t="shared" si="193"/>
        <v>1.7999999999999997E-6</v>
      </c>
    </row>
    <row r="1406" spans="1:17" x14ac:dyDescent="0.25">
      <c r="A1406" s="1">
        <v>70.2</v>
      </c>
      <c r="B1406" s="1">
        <v>6.0622999999999996E-3</v>
      </c>
      <c r="C1406" s="1">
        <v>5.0907999999999997E-4</v>
      </c>
      <c r="D1406" s="1">
        <v>3.1734999999999999E-2</v>
      </c>
      <c r="E1406" s="1">
        <v>4.6230999999999998E-3</v>
      </c>
      <c r="F1406" s="1">
        <v>2.9723999999999998E-7</v>
      </c>
      <c r="G1406" s="1">
        <v>6.7196999999999996</v>
      </c>
      <c r="H1406" s="1">
        <v>1.9439000000000001E-7</v>
      </c>
      <c r="I1406" s="1">
        <f t="shared" si="189"/>
        <v>1.9439000000000001E-7</v>
      </c>
      <c r="J1406" s="4">
        <f t="shared" si="190"/>
        <v>-7.0123738203455885E-9</v>
      </c>
      <c r="K1406" s="4">
        <f t="shared" si="191"/>
        <v>-1.478210172158443E-8</v>
      </c>
      <c r="L1406" s="4">
        <f t="shared" si="192"/>
        <v>-4.5171650585551855E-9</v>
      </c>
      <c r="M1406" s="4">
        <f t="shared" si="194"/>
        <v>-5.219172798869163E-9</v>
      </c>
      <c r="N1406" s="5">
        <f t="shared" si="195"/>
        <v>7.8946520249874496E-7</v>
      </c>
      <c r="O1406" s="5">
        <f t="shared" si="196"/>
        <v>7.5550594344046462E-7</v>
      </c>
      <c r="P1406" s="5">
        <f t="shared" si="197"/>
        <v>2.5502885406078997E-7</v>
      </c>
      <c r="Q1406" s="1">
        <f t="shared" si="193"/>
        <v>1.7999999999999995E-6</v>
      </c>
    </row>
    <row r="1407" spans="1:17" x14ac:dyDescent="0.25">
      <c r="A1407" s="1">
        <v>70.25</v>
      </c>
      <c r="B1407" s="1">
        <v>6.0526E-3</v>
      </c>
      <c r="C1407" s="1">
        <v>5.0661E-4</v>
      </c>
      <c r="D1407" s="1">
        <v>3.1740999999999998E-2</v>
      </c>
      <c r="E1407" s="1">
        <v>4.6105E-3</v>
      </c>
      <c r="F1407" s="1">
        <v>2.9583000000000002E-7</v>
      </c>
      <c r="G1407" s="1">
        <v>6.7195999999999998</v>
      </c>
      <c r="H1407" s="1">
        <v>1.9441000000000001E-7</v>
      </c>
      <c r="I1407" s="1">
        <f t="shared" si="189"/>
        <v>1.9441000000000001E-7</v>
      </c>
      <c r="J1407" s="4">
        <f t="shared" si="190"/>
        <v>-6.9750527679671701E-9</v>
      </c>
      <c r="K1407" s="4">
        <f t="shared" si="191"/>
        <v>-1.4732365897088223E-8</v>
      </c>
      <c r="L1407" s="4">
        <f t="shared" si="192"/>
        <v>-4.5021672982806645E-9</v>
      </c>
      <c r="M1407" s="4">
        <f t="shared" si="194"/>
        <v>-5.2053811887917855E-9</v>
      </c>
      <c r="N1407" s="5">
        <f t="shared" si="195"/>
        <v>7.9272034832958524E-7</v>
      </c>
      <c r="O1407" s="5">
        <f t="shared" si="196"/>
        <v>7.5295401150013544E-7</v>
      </c>
      <c r="P1407" s="5">
        <f t="shared" si="197"/>
        <v>2.5432564017027886E-7</v>
      </c>
      <c r="Q1407" s="1">
        <f t="shared" si="193"/>
        <v>1.7999999999999995E-6</v>
      </c>
    </row>
    <row r="1408" spans="1:17" x14ac:dyDescent="0.25">
      <c r="A1408" s="1">
        <v>70.3</v>
      </c>
      <c r="B1408" s="1">
        <v>6.0431E-3</v>
      </c>
      <c r="C1408" s="1">
        <v>5.0414999999999998E-4</v>
      </c>
      <c r="D1408" s="1">
        <v>3.1746999999999997E-2</v>
      </c>
      <c r="E1408" s="1">
        <v>4.5979000000000003E-3</v>
      </c>
      <c r="F1408" s="1">
        <v>2.9443000000000002E-7</v>
      </c>
      <c r="G1408" s="1">
        <v>6.7195999999999998</v>
      </c>
      <c r="H1408" s="1">
        <v>1.9444000000000001E-7</v>
      </c>
      <c r="I1408" s="1">
        <f t="shared" si="189"/>
        <v>1.9444000000000001E-7</v>
      </c>
      <c r="J1408" s="4">
        <f t="shared" si="190"/>
        <v>-6.9375229573003172E-9</v>
      </c>
      <c r="K1408" s="4">
        <f t="shared" si="191"/>
        <v>-1.4682603224251808E-8</v>
      </c>
      <c r="L1408" s="4">
        <f t="shared" si="192"/>
        <v>-4.487023487061063E-9</v>
      </c>
      <c r="M1408" s="4">
        <f t="shared" si="194"/>
        <v>-5.1915620090776161E-9</v>
      </c>
      <c r="N1408" s="5">
        <f t="shared" si="195"/>
        <v>7.9597840510947572E-7</v>
      </c>
      <c r="O1408" s="5">
        <f t="shared" si="196"/>
        <v>7.5040049324226152E-7</v>
      </c>
      <c r="P1408" s="5">
        <f t="shared" si="197"/>
        <v>2.5362110164826231E-7</v>
      </c>
      <c r="Q1408" s="1">
        <f t="shared" si="193"/>
        <v>1.7999999999999995E-6</v>
      </c>
    </row>
    <row r="1409" spans="1:17" x14ac:dyDescent="0.25">
      <c r="A1409" s="1">
        <v>70.349999999999994</v>
      </c>
      <c r="B1409" s="1">
        <v>6.0334999999999998E-3</v>
      </c>
      <c r="C1409" s="1">
        <v>5.017E-4</v>
      </c>
      <c r="D1409" s="1">
        <v>3.1753000000000003E-2</v>
      </c>
      <c r="E1409" s="1">
        <v>4.5852999999999996E-3</v>
      </c>
      <c r="F1409" s="1">
        <v>2.9303000000000002E-7</v>
      </c>
      <c r="G1409" s="1">
        <v>6.7195</v>
      </c>
      <c r="H1409" s="1">
        <v>1.9446000000000001E-7</v>
      </c>
      <c r="I1409" s="1">
        <f t="shared" si="189"/>
        <v>1.9446000000000001E-7</v>
      </c>
      <c r="J1409" s="4">
        <f t="shared" si="190"/>
        <v>-6.9002591780393718E-9</v>
      </c>
      <c r="K1409" s="4">
        <f t="shared" si="191"/>
        <v>-1.4632809618223269E-8</v>
      </c>
      <c r="L1409" s="4">
        <f t="shared" si="192"/>
        <v>-4.4718884607558678E-9</v>
      </c>
      <c r="M1409" s="4">
        <f t="shared" si="194"/>
        <v>-5.1779791354709589E-9</v>
      </c>
      <c r="N1409" s="5">
        <f t="shared" si="195"/>
        <v>7.9923906708890368E-7</v>
      </c>
      <c r="O1409" s="5">
        <f t="shared" si="196"/>
        <v>7.4784592193754868E-7</v>
      </c>
      <c r="P1409" s="5">
        <f t="shared" si="197"/>
        <v>2.5291501097354719E-7</v>
      </c>
      <c r="Q1409" s="1">
        <f t="shared" si="193"/>
        <v>1.7999999999999997E-6</v>
      </c>
    </row>
    <row r="1410" spans="1:17" x14ac:dyDescent="0.25">
      <c r="A1410" s="1">
        <v>70.400000000000006</v>
      </c>
      <c r="B1410" s="1">
        <v>6.0239999999999998E-3</v>
      </c>
      <c r="C1410" s="1">
        <v>4.9925999999999996E-4</v>
      </c>
      <c r="D1410" s="1">
        <v>3.1759000000000003E-2</v>
      </c>
      <c r="E1410" s="1">
        <v>4.5728000000000001E-3</v>
      </c>
      <c r="F1410" s="1">
        <v>2.9163999999999998E-7</v>
      </c>
      <c r="G1410" s="1">
        <v>6.7194000000000003</v>
      </c>
      <c r="H1410" s="1">
        <v>1.9448000000000001E-7</v>
      </c>
      <c r="I1410" s="1">
        <f t="shared" si="189"/>
        <v>1.9448000000000001E-7</v>
      </c>
      <c r="J1410" s="4">
        <f t="shared" si="190"/>
        <v>-6.8627926012645491E-9</v>
      </c>
      <c r="K1410" s="4">
        <f t="shared" si="191"/>
        <v>-1.4582995477785515E-8</v>
      </c>
      <c r="L1410" s="4">
        <f t="shared" si="192"/>
        <v>-4.4566101114391043E-9</v>
      </c>
      <c r="M1410" s="4">
        <f t="shared" si="194"/>
        <v>-5.1640945685623526E-9</v>
      </c>
      <c r="N1410" s="5">
        <f t="shared" si="195"/>
        <v>8.0250265985398556E-7</v>
      </c>
      <c r="O1410" s="5">
        <f t="shared" si="196"/>
        <v>7.4528981362959004E-7</v>
      </c>
      <c r="P1410" s="5">
        <f t="shared" si="197"/>
        <v>2.5220752651642395E-7</v>
      </c>
      <c r="Q1410" s="1">
        <f t="shared" si="193"/>
        <v>1.7999999999999997E-6</v>
      </c>
    </row>
    <row r="1411" spans="1:17" x14ac:dyDescent="0.25">
      <c r="A1411" s="1">
        <v>70.45</v>
      </c>
      <c r="B1411" s="1">
        <v>6.0144999999999999E-3</v>
      </c>
      <c r="C1411" s="1">
        <v>4.9682999999999997E-4</v>
      </c>
      <c r="D1411" s="1">
        <v>3.1765000000000002E-2</v>
      </c>
      <c r="E1411" s="1">
        <v>4.5604E-3</v>
      </c>
      <c r="F1411" s="1">
        <v>2.9026000000000001E-7</v>
      </c>
      <c r="G1411" s="1">
        <v>6.7194000000000003</v>
      </c>
      <c r="H1411" s="1">
        <v>1.945E-7</v>
      </c>
      <c r="I1411" s="1">
        <f t="shared" ref="I1411:I1474" si="198">H1411</f>
        <v>1.945E-7</v>
      </c>
      <c r="J1411" s="4">
        <f t="shared" ref="J1411:J1474" si="199">(-$T$4*F1410^2*N1410)*(A1411-A1410)</f>
        <v>-6.8255972634923366E-9</v>
      </c>
      <c r="K1411" s="4">
        <f t="shared" ref="K1411:K1474" si="200">-O1410*$T$7*(A1411-A1410)</f>
        <v>-1.4533151365776179E-8</v>
      </c>
      <c r="L1411" s="4">
        <f t="shared" ref="L1411:L1474" si="201">-$T$5*F1410*E1410*(A1411-A1410)*N1410</f>
        <v>-4.4414407605597883E-9</v>
      </c>
      <c r="M1411" s="4">
        <f t="shared" si="194"/>
        <v>-5.1501785744756916E-9</v>
      </c>
      <c r="N1411" s="5">
        <f t="shared" si="195"/>
        <v>8.057687731957096E-7</v>
      </c>
      <c r="O1411" s="5">
        <f t="shared" si="196"/>
        <v>7.4273243810178195E-7</v>
      </c>
      <c r="P1411" s="5">
        <f t="shared" si="197"/>
        <v>2.5149878870250805E-7</v>
      </c>
      <c r="Q1411" s="1">
        <f t="shared" ref="Q1411:Q1474" si="202">N1411+O1411+P1411</f>
        <v>1.7999999999999995E-6</v>
      </c>
    </row>
    <row r="1412" spans="1:17" x14ac:dyDescent="0.25">
      <c r="A1412" s="1">
        <v>70.5</v>
      </c>
      <c r="B1412" s="1">
        <v>6.0049999999999999E-3</v>
      </c>
      <c r="C1412" s="1">
        <v>4.9441999999999997E-4</v>
      </c>
      <c r="D1412" s="1">
        <v>3.1771000000000001E-2</v>
      </c>
      <c r="E1412" s="1">
        <v>4.5478999999999997E-3</v>
      </c>
      <c r="F1412" s="1">
        <v>2.8888999999999999E-7</v>
      </c>
      <c r="G1412" s="1">
        <v>6.7192999999999996</v>
      </c>
      <c r="H1412" s="1">
        <v>1.9452E-7</v>
      </c>
      <c r="I1412" s="1">
        <f t="shared" si="198"/>
        <v>1.9452E-7</v>
      </c>
      <c r="J1412" s="4">
        <f t="shared" si="199"/>
        <v>-6.7886718226722299E-9</v>
      </c>
      <c r="K1412" s="4">
        <f t="shared" si="200"/>
        <v>-1.4483282542983925E-8</v>
      </c>
      <c r="L1412" s="4">
        <f t="shared" si="201"/>
        <v>-4.426379617152722E-9</v>
      </c>
      <c r="M1412" s="4">
        <f t="shared" ref="M1412:M1475" si="203">-P1411*$T$8*I1411*(A1412-A1411)</f>
        <v>-5.1362340122766794E-9</v>
      </c>
      <c r="N1412" s="5">
        <f t="shared" ref="N1412:N1475" si="204">N1411+J1412-K1412+L1412</f>
        <v>8.0903700429886857E-7</v>
      </c>
      <c r="O1412" s="5">
        <f t="shared" ref="O1412:O1475" si="205">-J1412+O1411+K1412-M1412</f>
        <v>7.4017406139374692E-7</v>
      </c>
      <c r="P1412" s="5">
        <f t="shared" ref="P1412:P1475" si="206">P1411-L1412+M1412</f>
        <v>2.5078893430738411E-7</v>
      </c>
      <c r="Q1412" s="1">
        <f t="shared" si="202"/>
        <v>1.7999999999999997E-6</v>
      </c>
    </row>
    <row r="1413" spans="1:17" x14ac:dyDescent="0.25">
      <c r="A1413" s="1">
        <v>70.55</v>
      </c>
      <c r="B1413" s="1">
        <v>5.9956000000000002E-3</v>
      </c>
      <c r="C1413" s="1">
        <v>4.9202000000000002E-4</v>
      </c>
      <c r="D1413" s="1">
        <v>3.1775999999999999E-2</v>
      </c>
      <c r="E1413" s="1">
        <v>4.5354999999999996E-3</v>
      </c>
      <c r="F1413" s="1">
        <v>2.8752000000000002E-7</v>
      </c>
      <c r="G1413" s="1">
        <v>6.7192999999999996</v>
      </c>
      <c r="H1413" s="1">
        <v>1.9455000000000001E-7</v>
      </c>
      <c r="I1413" s="1">
        <f t="shared" si="198"/>
        <v>1.9455000000000001E-7</v>
      </c>
      <c r="J1413" s="4">
        <f t="shared" si="199"/>
        <v>-6.7520150852656382E-9</v>
      </c>
      <c r="K1413" s="4">
        <f t="shared" si="200"/>
        <v>-1.4433394197177244E-8</v>
      </c>
      <c r="L1413" s="4">
        <f t="shared" si="201"/>
        <v>-4.411231992663655E-9</v>
      </c>
      <c r="M1413" s="4">
        <f t="shared" si="203"/>
        <v>-5.1222636676543057E-9</v>
      </c>
      <c r="N1413" s="5">
        <f t="shared" si="204"/>
        <v>8.1230715141811657E-7</v>
      </c>
      <c r="O1413" s="5">
        <f t="shared" si="205"/>
        <v>7.3761494594948957E-7</v>
      </c>
      <c r="P1413" s="5">
        <f t="shared" si="206"/>
        <v>2.5007790263239341E-7</v>
      </c>
      <c r="Q1413" s="1">
        <f t="shared" si="202"/>
        <v>1.7999999999999995E-6</v>
      </c>
    </row>
    <row r="1414" spans="1:17" x14ac:dyDescent="0.25">
      <c r="A1414" s="1">
        <v>70.599999999999994</v>
      </c>
      <c r="B1414" s="1">
        <v>5.9861000000000003E-3</v>
      </c>
      <c r="C1414" s="1">
        <v>4.8961999999999996E-4</v>
      </c>
      <c r="D1414" s="1">
        <v>3.1781999999999998E-2</v>
      </c>
      <c r="E1414" s="1">
        <v>4.5231999999999998E-3</v>
      </c>
      <c r="F1414" s="1">
        <v>2.8615E-7</v>
      </c>
      <c r="G1414" s="1">
        <v>6.7191999999999998</v>
      </c>
      <c r="H1414" s="1">
        <v>1.9457E-7</v>
      </c>
      <c r="I1414" s="1">
        <f t="shared" si="198"/>
        <v>1.9457E-7</v>
      </c>
      <c r="J1414" s="4">
        <f t="shared" si="199"/>
        <v>-6.7151604841564058E-9</v>
      </c>
      <c r="K1414" s="4">
        <f t="shared" si="200"/>
        <v>-1.4383491446014228E-8</v>
      </c>
      <c r="L1414" s="4">
        <f t="shared" si="201"/>
        <v>-4.3960396862809262E-9</v>
      </c>
      <c r="M1414" s="4">
        <f t="shared" si="203"/>
        <v>-5.1085288754985843E-9</v>
      </c>
      <c r="N1414" s="5">
        <f t="shared" si="204"/>
        <v>8.1557944269369345E-7</v>
      </c>
      <c r="O1414" s="5">
        <f t="shared" si="205"/>
        <v>7.3505514386313036E-7</v>
      </c>
      <c r="P1414" s="5">
        <f t="shared" si="206"/>
        <v>2.4936541344317574E-7</v>
      </c>
      <c r="Q1414" s="1">
        <f t="shared" si="202"/>
        <v>1.7999999999999995E-6</v>
      </c>
    </row>
    <row r="1415" spans="1:17" x14ac:dyDescent="0.25">
      <c r="A1415" s="1">
        <v>70.650000000000006</v>
      </c>
      <c r="B1415" s="1">
        <v>5.9766999999999997E-3</v>
      </c>
      <c r="C1415" s="1">
        <v>4.8724E-4</v>
      </c>
      <c r="D1415" s="1">
        <v>3.1787999999999997E-2</v>
      </c>
      <c r="E1415" s="1">
        <v>4.5107999999999997E-3</v>
      </c>
      <c r="F1415" s="1">
        <v>2.8480000000000001E-7</v>
      </c>
      <c r="G1415" s="1">
        <v>6.7191999999999998</v>
      </c>
      <c r="H1415" s="1">
        <v>1.9459E-7</v>
      </c>
      <c r="I1415" s="1">
        <f t="shared" si="198"/>
        <v>1.9459E-7</v>
      </c>
      <c r="J1415" s="4">
        <f t="shared" si="199"/>
        <v>-6.6781131161309111E-9</v>
      </c>
      <c r="K1415" s="4">
        <f t="shared" si="200"/>
        <v>-1.4333575305334302E-8</v>
      </c>
      <c r="L1415" s="4">
        <f t="shared" si="201"/>
        <v>-4.3808048636926734E-9</v>
      </c>
      <c r="M1415" s="4">
        <f t="shared" si="203"/>
        <v>-5.0944979918332217E-9</v>
      </c>
      <c r="N1415" s="5">
        <f t="shared" si="204"/>
        <v>8.1885410001920409E-7</v>
      </c>
      <c r="O1415" s="5">
        <f t="shared" si="205"/>
        <v>7.324941796657602E-7</v>
      </c>
      <c r="P1415" s="5">
        <f t="shared" si="206"/>
        <v>2.4865172031503515E-7</v>
      </c>
      <c r="Q1415" s="1">
        <f t="shared" si="202"/>
        <v>1.7999999999999995E-6</v>
      </c>
    </row>
    <row r="1416" spans="1:17" x14ac:dyDescent="0.25">
      <c r="A1416" s="1">
        <v>70.7</v>
      </c>
      <c r="B1416" s="1">
        <v>5.9673E-3</v>
      </c>
      <c r="C1416" s="1">
        <v>4.8487999999999998E-4</v>
      </c>
      <c r="D1416" s="1">
        <v>3.1794000000000003E-2</v>
      </c>
      <c r="E1416" s="1">
        <v>4.4986000000000002E-3</v>
      </c>
      <c r="F1416" s="1">
        <v>2.8345000000000001E-7</v>
      </c>
      <c r="G1416" s="1">
        <v>6.7191000000000001</v>
      </c>
      <c r="H1416" s="1">
        <v>1.9460999999999999E-7</v>
      </c>
      <c r="I1416" s="1">
        <f t="shared" si="198"/>
        <v>1.9460999999999999E-7</v>
      </c>
      <c r="J1416" s="4">
        <f t="shared" si="199"/>
        <v>-6.6418107660817899E-9</v>
      </c>
      <c r="K1416" s="4">
        <f t="shared" si="200"/>
        <v>-1.4283636503481513E-8</v>
      </c>
      <c r="L1416" s="4">
        <f t="shared" si="201"/>
        <v>-4.3656426269351541E-9</v>
      </c>
      <c r="M1416" s="4">
        <f t="shared" si="203"/>
        <v>-5.0804395168904931E-9</v>
      </c>
      <c r="N1416" s="5">
        <f t="shared" si="204"/>
        <v>8.2213028312966866E-7</v>
      </c>
      <c r="O1416" s="5">
        <f t="shared" si="205"/>
        <v>7.2993279344525096E-7</v>
      </c>
      <c r="P1416" s="5">
        <f t="shared" si="206"/>
        <v>2.4793692342507982E-7</v>
      </c>
      <c r="Q1416" s="1">
        <f t="shared" si="202"/>
        <v>1.7999999999999995E-6</v>
      </c>
    </row>
    <row r="1417" spans="1:17" x14ac:dyDescent="0.25">
      <c r="A1417" s="1">
        <v>70.75</v>
      </c>
      <c r="B1417" s="1">
        <v>5.9579999999999998E-3</v>
      </c>
      <c r="C1417" s="1">
        <v>4.8252000000000001E-4</v>
      </c>
      <c r="D1417" s="1">
        <v>3.1800000000000002E-2</v>
      </c>
      <c r="E1417" s="1">
        <v>4.4863000000000004E-3</v>
      </c>
      <c r="F1417" s="1">
        <v>2.8210000000000002E-7</v>
      </c>
      <c r="G1417" s="1">
        <v>6.7191000000000001</v>
      </c>
      <c r="H1417" s="1">
        <v>1.9462999999999999E-7</v>
      </c>
      <c r="I1417" s="1">
        <f t="shared" si="198"/>
        <v>1.9462999999999999E-7</v>
      </c>
      <c r="J1417" s="4">
        <f t="shared" si="199"/>
        <v>-6.6053155310063738E-9</v>
      </c>
      <c r="K1417" s="4">
        <f t="shared" si="200"/>
        <v>-1.4233689472181586E-8</v>
      </c>
      <c r="L1417" s="4">
        <f t="shared" si="201"/>
        <v>-4.3505341562289256E-9</v>
      </c>
      <c r="M1417" s="4">
        <f t="shared" si="203"/>
        <v>-5.0663554901139646E-9</v>
      </c>
      <c r="N1417" s="5">
        <f t="shared" si="204"/>
        <v>8.2540812291461495E-7</v>
      </c>
      <c r="O1417" s="5">
        <f t="shared" si="205"/>
        <v>7.2737077499418976E-7</v>
      </c>
      <c r="P1417" s="5">
        <f t="shared" si="206"/>
        <v>2.4722110209119478E-7</v>
      </c>
      <c r="Q1417" s="1">
        <f t="shared" si="202"/>
        <v>1.7999999999999995E-6</v>
      </c>
    </row>
    <row r="1418" spans="1:17" x14ac:dyDescent="0.25">
      <c r="A1418" s="1">
        <v>70.8</v>
      </c>
      <c r="B1418" s="1">
        <v>5.9487000000000003E-3</v>
      </c>
      <c r="C1418" s="1">
        <v>4.8017999999999997E-4</v>
      </c>
      <c r="D1418" s="1">
        <v>3.1806000000000001E-2</v>
      </c>
      <c r="E1418" s="1">
        <v>4.4741E-3</v>
      </c>
      <c r="F1418" s="1">
        <v>2.8075999999999998E-7</v>
      </c>
      <c r="G1418" s="1">
        <v>6.7190000000000003</v>
      </c>
      <c r="H1418" s="1">
        <v>1.9465000000000001E-7</v>
      </c>
      <c r="I1418" s="1">
        <f t="shared" si="198"/>
        <v>1.9465000000000001E-7</v>
      </c>
      <c r="J1418" s="4">
        <f t="shared" si="199"/>
        <v>-6.5686316838871735E-9</v>
      </c>
      <c r="K1418" s="4">
        <f t="shared" si="200"/>
        <v>-1.4183730112385895E-8</v>
      </c>
      <c r="L1418" s="4">
        <f t="shared" si="201"/>
        <v>-4.3351909656932136E-9</v>
      </c>
      <c r="M1418" s="4">
        <f t="shared" si="203"/>
        <v>-5.0522475255006819E-9</v>
      </c>
      <c r="N1418" s="5">
        <f t="shared" si="204"/>
        <v>8.286880303774204E-7</v>
      </c>
      <c r="O1418" s="5">
        <f t="shared" si="205"/>
        <v>7.2480792409119176E-7</v>
      </c>
      <c r="P1418" s="5">
        <f t="shared" si="206"/>
        <v>2.4650404553138734E-7</v>
      </c>
      <c r="Q1418" s="1">
        <f t="shared" si="202"/>
        <v>1.7999999999999993E-6</v>
      </c>
    </row>
    <row r="1419" spans="1:17" x14ac:dyDescent="0.25">
      <c r="A1419" s="1">
        <v>70.849999999999994</v>
      </c>
      <c r="B1419" s="1">
        <v>5.9394000000000001E-3</v>
      </c>
      <c r="C1419" s="1">
        <v>4.7783999999999999E-4</v>
      </c>
      <c r="D1419" s="1">
        <v>3.1812E-2</v>
      </c>
      <c r="E1419" s="1">
        <v>4.4619000000000004E-3</v>
      </c>
      <c r="F1419" s="1">
        <v>2.7943000000000001E-7</v>
      </c>
      <c r="G1419" s="1">
        <v>6.7190000000000003</v>
      </c>
      <c r="H1419" s="1">
        <v>1.9467000000000001E-7</v>
      </c>
      <c r="I1419" s="1">
        <f t="shared" si="198"/>
        <v>1.9467000000000001E-7</v>
      </c>
      <c r="J1419" s="4">
        <f t="shared" si="199"/>
        <v>-6.5322309857521012E-9</v>
      </c>
      <c r="K1419" s="4">
        <f t="shared" si="200"/>
        <v>-1.4133754519777436E-8</v>
      </c>
      <c r="L1419" s="4">
        <f t="shared" si="201"/>
        <v>-4.3199635564687616E-9</v>
      </c>
      <c r="M1419" s="4">
        <f t="shared" si="203"/>
        <v>-5.0381113085815903E-9</v>
      </c>
      <c r="N1419" s="5">
        <f t="shared" si="204"/>
        <v>8.3196959035497695E-7</v>
      </c>
      <c r="O1419" s="5">
        <f t="shared" si="205"/>
        <v>7.2224451186574797E-7</v>
      </c>
      <c r="P1419" s="5">
        <f t="shared" si="206"/>
        <v>2.4578589777927452E-7</v>
      </c>
      <c r="Q1419" s="1">
        <f t="shared" si="202"/>
        <v>1.7999999999999995E-6</v>
      </c>
    </row>
    <row r="1420" spans="1:17" x14ac:dyDescent="0.25">
      <c r="A1420" s="1">
        <v>70.900000000000006</v>
      </c>
      <c r="B1420" s="1">
        <v>5.9300999999999998E-3</v>
      </c>
      <c r="C1420" s="1">
        <v>4.7552E-4</v>
      </c>
      <c r="D1420" s="1">
        <v>3.1816999999999998E-2</v>
      </c>
      <c r="E1420" s="1">
        <v>4.4497E-3</v>
      </c>
      <c r="F1420" s="1">
        <v>2.7810999999999999E-7</v>
      </c>
      <c r="G1420" s="1">
        <v>6.7188999999999997</v>
      </c>
      <c r="H1420" s="1">
        <v>1.9469999999999999E-7</v>
      </c>
      <c r="I1420" s="1">
        <f t="shared" si="198"/>
        <v>1.9469999999999999E-7</v>
      </c>
      <c r="J1420" s="4">
        <f t="shared" si="199"/>
        <v>-6.4961121497523563E-9</v>
      </c>
      <c r="K1420" s="4">
        <f t="shared" si="200"/>
        <v>-1.4083767981385289E-8</v>
      </c>
      <c r="L1420" s="4">
        <f t="shared" si="201"/>
        <v>-4.3047547372890223E-9</v>
      </c>
      <c r="M1420" s="4">
        <f t="shared" si="203"/>
        <v>-5.0239497756737363E-9</v>
      </c>
      <c r="N1420" s="5">
        <f t="shared" si="204"/>
        <v>8.352524914493208E-7</v>
      </c>
      <c r="O1420" s="5">
        <f t="shared" si="205"/>
        <v>7.1968080580978881E-7</v>
      </c>
      <c r="P1420" s="5">
        <f t="shared" si="206"/>
        <v>2.4506670274088978E-7</v>
      </c>
      <c r="Q1420" s="1">
        <f t="shared" si="202"/>
        <v>1.7999999999999993E-6</v>
      </c>
    </row>
    <row r="1421" spans="1:17" x14ac:dyDescent="0.25">
      <c r="A1421" s="1">
        <v>70.95</v>
      </c>
      <c r="B1421" s="1">
        <v>5.9208000000000004E-3</v>
      </c>
      <c r="C1421" s="1">
        <v>4.7321E-4</v>
      </c>
      <c r="D1421" s="1">
        <v>3.1822999999999997E-2</v>
      </c>
      <c r="E1421" s="1">
        <v>4.4375999999999999E-3</v>
      </c>
      <c r="F1421" s="1">
        <v>2.7678999999999998E-7</v>
      </c>
      <c r="G1421" s="1">
        <v>6.7188999999999997</v>
      </c>
      <c r="H1421" s="1">
        <v>1.9472000000000001E-7</v>
      </c>
      <c r="I1421" s="1">
        <f t="shared" si="198"/>
        <v>1.9472000000000001E-7</v>
      </c>
      <c r="J1421" s="4">
        <f t="shared" si="199"/>
        <v>-6.4602747698097824E-9</v>
      </c>
      <c r="K1421" s="4">
        <f t="shared" si="200"/>
        <v>-1.4033775713290086E-8</v>
      </c>
      <c r="L1421" s="4">
        <f t="shared" si="201"/>
        <v>-4.289564606428167E-9</v>
      </c>
      <c r="M1421" s="4">
        <f t="shared" si="203"/>
        <v>-5.0100211374830955E-9</v>
      </c>
      <c r="N1421" s="5">
        <f t="shared" si="204"/>
        <v>8.3853642778637289E-7</v>
      </c>
      <c r="O1421" s="5">
        <f t="shared" si="205"/>
        <v>7.1711732600379158E-7</v>
      </c>
      <c r="P1421" s="5">
        <f t="shared" si="206"/>
        <v>2.4434624620983481E-7</v>
      </c>
      <c r="Q1421" s="1">
        <f t="shared" si="202"/>
        <v>1.7999999999999993E-6</v>
      </c>
    </row>
    <row r="1422" spans="1:17" x14ac:dyDescent="0.25">
      <c r="A1422" s="1">
        <v>71</v>
      </c>
      <c r="B1422" s="1">
        <v>5.9116000000000004E-3</v>
      </c>
      <c r="C1422" s="1">
        <v>4.7091E-4</v>
      </c>
      <c r="D1422" s="1">
        <v>3.1829000000000003E-2</v>
      </c>
      <c r="E1422" s="1">
        <v>4.4256E-3</v>
      </c>
      <c r="F1422" s="1">
        <v>2.7547999999999998E-7</v>
      </c>
      <c r="G1422" s="1">
        <v>6.7187999999999999</v>
      </c>
      <c r="H1422" s="1">
        <v>1.9474000000000001E-7</v>
      </c>
      <c r="I1422" s="1">
        <f t="shared" si="198"/>
        <v>1.9474000000000001E-7</v>
      </c>
      <c r="J1422" s="4">
        <f t="shared" si="199"/>
        <v>-6.4242543219064741E-9</v>
      </c>
      <c r="K1422" s="4">
        <f t="shared" si="200"/>
        <v>-1.3983787857073143E-8</v>
      </c>
      <c r="L1422" s="4">
        <f t="shared" si="201"/>
        <v>-4.2743352202898413E-9</v>
      </c>
      <c r="M1422" s="4">
        <f t="shared" si="203"/>
        <v>-4.9958056115075139E-9</v>
      </c>
      <c r="N1422" s="5">
        <f t="shared" si="204"/>
        <v>8.4182162610124969E-7</v>
      </c>
      <c r="O1422" s="5">
        <f t="shared" si="205"/>
        <v>7.1455359808013242E-7</v>
      </c>
      <c r="P1422" s="5">
        <f t="shared" si="206"/>
        <v>2.4362477581861713E-7</v>
      </c>
      <c r="Q1422" s="1">
        <f t="shared" si="202"/>
        <v>1.7999999999999993E-6</v>
      </c>
    </row>
    <row r="1423" spans="1:17" x14ac:dyDescent="0.25">
      <c r="A1423" s="1">
        <v>71.05</v>
      </c>
      <c r="B1423" s="1">
        <v>5.9024000000000004E-3</v>
      </c>
      <c r="C1423" s="1">
        <v>4.6862E-4</v>
      </c>
      <c r="D1423" s="1">
        <v>3.1835000000000002E-2</v>
      </c>
      <c r="E1423" s="1">
        <v>4.4134999999999999E-3</v>
      </c>
      <c r="F1423" s="1">
        <v>2.7417000000000003E-7</v>
      </c>
      <c r="G1423" s="1">
        <v>6.7187999999999999</v>
      </c>
      <c r="H1423" s="1">
        <v>1.9476E-7</v>
      </c>
      <c r="I1423" s="1">
        <f t="shared" si="198"/>
        <v>1.9476E-7</v>
      </c>
      <c r="J1423" s="4">
        <f t="shared" si="199"/>
        <v>-6.3885195338896749E-9</v>
      </c>
      <c r="K1423" s="4">
        <f t="shared" si="200"/>
        <v>-1.3933795162561791E-8</v>
      </c>
      <c r="L1423" s="4">
        <f t="shared" si="201"/>
        <v>-4.259223283145996E-9</v>
      </c>
      <c r="M1423" s="4">
        <f t="shared" si="203"/>
        <v>-4.9815663285060545E-9</v>
      </c>
      <c r="N1423" s="5">
        <f t="shared" si="204"/>
        <v>8.4510767844677586E-7</v>
      </c>
      <c r="O1423" s="5">
        <f t="shared" si="205"/>
        <v>7.1198988877996634E-7</v>
      </c>
      <c r="P1423" s="5">
        <f t="shared" si="206"/>
        <v>2.4290243277325708E-7</v>
      </c>
      <c r="Q1423" s="1">
        <f t="shared" si="202"/>
        <v>1.7999999999999993E-6</v>
      </c>
    </row>
    <row r="1424" spans="1:17" x14ac:dyDescent="0.25">
      <c r="A1424" s="1">
        <v>71.099999999999994</v>
      </c>
      <c r="B1424" s="1">
        <v>5.8932000000000003E-3</v>
      </c>
      <c r="C1424" s="1">
        <v>4.6634999999999998E-4</v>
      </c>
      <c r="D1424" s="1">
        <v>3.1841000000000001E-2</v>
      </c>
      <c r="E1424" s="1">
        <v>4.4015E-3</v>
      </c>
      <c r="F1424" s="1">
        <v>2.7286999999999998E-7</v>
      </c>
      <c r="G1424" s="1">
        <v>6.7187000000000001</v>
      </c>
      <c r="H1424" s="1">
        <v>1.9478E-7</v>
      </c>
      <c r="I1424" s="1">
        <f t="shared" si="198"/>
        <v>1.9478E-7</v>
      </c>
      <c r="J1424" s="4">
        <f t="shared" si="199"/>
        <v>-6.3526058722002554E-9</v>
      </c>
      <c r="K1424" s="4">
        <f t="shared" si="200"/>
        <v>-1.3883802831208554E-8</v>
      </c>
      <c r="L1424" s="4">
        <f t="shared" si="201"/>
        <v>-4.2438810945897325E-9</v>
      </c>
      <c r="M1424" s="4">
        <f t="shared" si="203"/>
        <v>-4.9673061697262706E-9</v>
      </c>
      <c r="N1424" s="5">
        <f t="shared" si="204"/>
        <v>8.4839499431119445E-7</v>
      </c>
      <c r="O1424" s="5">
        <f t="shared" si="205"/>
        <v>7.0942599799068434E-7</v>
      </c>
      <c r="P1424" s="5">
        <f t="shared" si="206"/>
        <v>2.4217900769812054E-7</v>
      </c>
      <c r="Q1424" s="1">
        <f t="shared" si="202"/>
        <v>1.7999999999999993E-6</v>
      </c>
    </row>
    <row r="1425" spans="1:17" x14ac:dyDescent="0.25">
      <c r="A1425" s="1">
        <v>71.150000000000006</v>
      </c>
      <c r="B1425" s="1">
        <v>5.8840000000000003E-3</v>
      </c>
      <c r="C1425" s="1">
        <v>4.6409000000000001E-4</v>
      </c>
      <c r="D1425" s="1">
        <v>3.1845999999999999E-2</v>
      </c>
      <c r="E1425" s="1">
        <v>4.3895999999999996E-3</v>
      </c>
      <c r="F1425" s="1">
        <v>2.7158E-7</v>
      </c>
      <c r="G1425" s="1">
        <v>6.7187000000000001</v>
      </c>
      <c r="H1425" s="1">
        <v>1.948E-7</v>
      </c>
      <c r="I1425" s="1">
        <f t="shared" si="198"/>
        <v>1.948E-7</v>
      </c>
      <c r="J1425" s="4">
        <f t="shared" si="199"/>
        <v>-6.3169825792212568E-9</v>
      </c>
      <c r="K1425" s="4">
        <f t="shared" si="200"/>
        <v>-1.3833806960821492E-8</v>
      </c>
      <c r="L1425" s="4">
        <f t="shared" si="201"/>
        <v>-4.2286592558044421E-9</v>
      </c>
      <c r="M1425" s="4">
        <f t="shared" si="203"/>
        <v>-4.9530208475423171E-9</v>
      </c>
      <c r="N1425" s="5">
        <f t="shared" si="204"/>
        <v>8.5168315943699016E-7</v>
      </c>
      <c r="O1425" s="5">
        <f t="shared" si="205"/>
        <v>7.068621944566265E-7</v>
      </c>
      <c r="P1425" s="5">
        <f t="shared" si="206"/>
        <v>2.4145464610638268E-7</v>
      </c>
      <c r="Q1425" s="1">
        <f t="shared" si="202"/>
        <v>1.7999999999999993E-6</v>
      </c>
    </row>
    <row r="1426" spans="1:17" x14ac:dyDescent="0.25">
      <c r="A1426" s="1">
        <v>71.2</v>
      </c>
      <c r="B1426" s="1">
        <v>5.8748999999999997E-3</v>
      </c>
      <c r="C1426" s="1">
        <v>4.6182999999999999E-4</v>
      </c>
      <c r="D1426" s="1">
        <v>3.1851999999999998E-2</v>
      </c>
      <c r="E1426" s="1">
        <v>4.3775999999999997E-3</v>
      </c>
      <c r="F1426" s="1">
        <v>2.7029000000000002E-7</v>
      </c>
      <c r="G1426" s="1">
        <v>6.7186000000000003</v>
      </c>
      <c r="H1426" s="1">
        <v>1.9481999999999999E-7</v>
      </c>
      <c r="I1426" s="1">
        <f t="shared" si="198"/>
        <v>1.9481999999999999E-7</v>
      </c>
      <c r="J1426" s="4">
        <f t="shared" si="199"/>
        <v>-6.2816484536423873E-9</v>
      </c>
      <c r="K1426" s="4">
        <f t="shared" si="200"/>
        <v>-1.3783812791903433E-8</v>
      </c>
      <c r="L1426" s="4">
        <f t="shared" si="201"/>
        <v>-4.2135571402993874E-9</v>
      </c>
      <c r="M1426" s="4">
        <f t="shared" si="203"/>
        <v>-4.9387133314596706E-9</v>
      </c>
      <c r="N1426" s="5">
        <f t="shared" si="204"/>
        <v>8.5497176663495182E-7</v>
      </c>
      <c r="O1426" s="5">
        <f t="shared" si="205"/>
        <v>7.0429874344982507E-7</v>
      </c>
      <c r="P1426" s="5">
        <f t="shared" si="206"/>
        <v>2.4072948991522239E-7</v>
      </c>
      <c r="Q1426" s="1">
        <f t="shared" si="202"/>
        <v>1.7999999999999993E-6</v>
      </c>
    </row>
    <row r="1427" spans="1:17" x14ac:dyDescent="0.25">
      <c r="A1427" s="1">
        <v>71.25</v>
      </c>
      <c r="B1427" s="1">
        <v>5.8658E-3</v>
      </c>
      <c r="C1427" s="1">
        <v>4.5959000000000001E-4</v>
      </c>
      <c r="D1427" s="1">
        <v>3.1857999999999997E-2</v>
      </c>
      <c r="E1427" s="1">
        <v>4.3657000000000001E-3</v>
      </c>
      <c r="F1427" s="1">
        <v>2.6901E-7</v>
      </c>
      <c r="G1427" s="1">
        <v>6.7186000000000003</v>
      </c>
      <c r="H1427" s="1">
        <v>1.9483999999999999E-7</v>
      </c>
      <c r="I1427" s="1">
        <f t="shared" si="198"/>
        <v>1.9483999999999999E-7</v>
      </c>
      <c r="J1427" s="4">
        <f t="shared" si="199"/>
        <v>-6.2461402269465046E-9</v>
      </c>
      <c r="K1427" s="4">
        <f t="shared" si="200"/>
        <v>-1.3733825497270808E-8</v>
      </c>
      <c r="L1427" s="4">
        <f t="shared" si="201"/>
        <v>-4.1982270653204423E-9</v>
      </c>
      <c r="M1427" s="4">
        <f t="shared" si="203"/>
        <v>-4.924386518654501E-9</v>
      </c>
      <c r="N1427" s="5">
        <f t="shared" si="204"/>
        <v>8.5826122483995562E-7</v>
      </c>
      <c r="O1427" s="5">
        <f t="shared" si="205"/>
        <v>7.0173544469815529E-7</v>
      </c>
      <c r="P1427" s="5">
        <f t="shared" si="206"/>
        <v>2.4000333046188832E-7</v>
      </c>
      <c r="Q1427" s="1">
        <f t="shared" si="202"/>
        <v>1.7999999999999993E-6</v>
      </c>
    </row>
    <row r="1428" spans="1:17" x14ac:dyDescent="0.25">
      <c r="A1428" s="1">
        <v>71.3</v>
      </c>
      <c r="B1428" s="1">
        <v>5.8567000000000003E-3</v>
      </c>
      <c r="C1428" s="1">
        <v>4.5736000000000003E-4</v>
      </c>
      <c r="D1428" s="1">
        <v>3.1863000000000002E-2</v>
      </c>
      <c r="E1428" s="1">
        <v>4.3539E-3</v>
      </c>
      <c r="F1428" s="1">
        <v>2.6773999999999999E-7</v>
      </c>
      <c r="G1428" s="1">
        <v>6.7184999999999997</v>
      </c>
      <c r="H1428" s="1">
        <v>1.9486000000000001E-7</v>
      </c>
      <c r="I1428" s="1">
        <f t="shared" si="198"/>
        <v>1.9486000000000001E-7</v>
      </c>
      <c r="J1428" s="4">
        <f t="shared" si="199"/>
        <v>-6.2109258021856259E-9</v>
      </c>
      <c r="K1428" s="4">
        <f t="shared" si="200"/>
        <v>-1.3683841171613252E-8</v>
      </c>
      <c r="L1428" s="4">
        <f t="shared" si="201"/>
        <v>-4.1830196243484408E-9</v>
      </c>
      <c r="M1428" s="4">
        <f t="shared" si="203"/>
        <v>-4.9100361352551248E-9</v>
      </c>
      <c r="N1428" s="5">
        <f t="shared" si="204"/>
        <v>8.6155112058503483E-7</v>
      </c>
      <c r="O1428" s="5">
        <f t="shared" si="205"/>
        <v>6.9917256546398275E-7</v>
      </c>
      <c r="P1428" s="5">
        <f t="shared" si="206"/>
        <v>2.3927631395098165E-7</v>
      </c>
      <c r="Q1428" s="1">
        <f t="shared" si="202"/>
        <v>1.7999999999999993E-6</v>
      </c>
    </row>
    <row r="1429" spans="1:17" x14ac:dyDescent="0.25">
      <c r="A1429" s="1">
        <v>71.349999999999994</v>
      </c>
      <c r="B1429" s="1">
        <v>5.8475999999999997E-3</v>
      </c>
      <c r="C1429" s="1">
        <v>4.5513999999999998E-4</v>
      </c>
      <c r="D1429" s="1">
        <v>3.1869000000000001E-2</v>
      </c>
      <c r="E1429" s="1">
        <v>4.3420000000000004E-3</v>
      </c>
      <c r="F1429" s="1">
        <v>2.6646999999999998E-7</v>
      </c>
      <c r="G1429" s="1">
        <v>6.7184999999999997</v>
      </c>
      <c r="H1429" s="1">
        <v>1.9488000000000001E-7</v>
      </c>
      <c r="I1429" s="1">
        <f t="shared" si="198"/>
        <v>1.9488000000000001E-7</v>
      </c>
      <c r="J1429" s="4">
        <f t="shared" si="199"/>
        <v>-6.1760040161587051E-9</v>
      </c>
      <c r="K1429" s="4">
        <f t="shared" si="200"/>
        <v>-1.3633865026546888E-8</v>
      </c>
      <c r="L1429" s="4">
        <f t="shared" si="201"/>
        <v>-4.1679342319678252E-9</v>
      </c>
      <c r="M1429" s="4">
        <f t="shared" si="203"/>
        <v>-4.8956651663309917E-9</v>
      </c>
      <c r="N1429" s="5">
        <f t="shared" si="204"/>
        <v>8.6484104736345516E-7</v>
      </c>
      <c r="O1429" s="5">
        <f t="shared" si="205"/>
        <v>6.9661036961992558E-7</v>
      </c>
      <c r="P1429" s="5">
        <f t="shared" si="206"/>
        <v>2.3854858301661849E-7</v>
      </c>
      <c r="Q1429" s="1">
        <f t="shared" si="202"/>
        <v>1.7999999999999993E-6</v>
      </c>
    </row>
    <row r="1430" spans="1:17" x14ac:dyDescent="0.25">
      <c r="A1430" s="1">
        <v>71.400000000000006</v>
      </c>
      <c r="B1430" s="1">
        <v>5.8386000000000002E-3</v>
      </c>
      <c r="C1430" s="1">
        <v>4.5293999999999998E-4</v>
      </c>
      <c r="D1430" s="1">
        <v>3.1875000000000001E-2</v>
      </c>
      <c r="E1430" s="1">
        <v>4.3302000000000002E-3</v>
      </c>
      <c r="F1430" s="1">
        <v>2.6520999999999998E-7</v>
      </c>
      <c r="G1430" s="1">
        <v>6.7183999999999999</v>
      </c>
      <c r="H1430" s="1">
        <v>1.949E-7</v>
      </c>
      <c r="I1430" s="1">
        <f t="shared" si="198"/>
        <v>1.949E-7</v>
      </c>
      <c r="J1430" s="4">
        <f t="shared" si="199"/>
        <v>-6.1409129046132704E-9</v>
      </c>
      <c r="K1430" s="4">
        <f t="shared" si="200"/>
        <v>-1.3583902207591638E-8</v>
      </c>
      <c r="L1430" s="4">
        <f t="shared" si="201"/>
        <v>-4.1526232559799574E-9</v>
      </c>
      <c r="M1430" s="4">
        <f t="shared" si="203"/>
        <v>-4.8812765251203648E-9</v>
      </c>
      <c r="N1430" s="5">
        <f t="shared" si="204"/>
        <v>8.6813141341045345E-7</v>
      </c>
      <c r="O1430" s="5">
        <f t="shared" si="205"/>
        <v>6.9404865684206769E-7</v>
      </c>
      <c r="P1430" s="5">
        <f t="shared" si="206"/>
        <v>2.3781992974747807E-7</v>
      </c>
      <c r="Q1430" s="1">
        <f t="shared" si="202"/>
        <v>1.7999999999999993E-6</v>
      </c>
    </row>
    <row r="1431" spans="1:17" x14ac:dyDescent="0.25">
      <c r="A1431" s="1">
        <v>71.45</v>
      </c>
      <c r="B1431" s="1">
        <v>5.8295999999999999E-3</v>
      </c>
      <c r="C1431" s="1">
        <v>4.5073999999999998E-4</v>
      </c>
      <c r="D1431" s="1">
        <v>3.1879999999999999E-2</v>
      </c>
      <c r="E1431" s="1">
        <v>4.3185000000000003E-3</v>
      </c>
      <c r="F1431" s="1">
        <v>2.6394999999999998E-7</v>
      </c>
      <c r="G1431" s="1">
        <v>6.7183999999999999</v>
      </c>
      <c r="H1431" s="1">
        <v>1.9493000000000001E-7</v>
      </c>
      <c r="I1431" s="1">
        <f t="shared" si="198"/>
        <v>1.9493000000000001E-7</v>
      </c>
      <c r="J1431" s="4">
        <f t="shared" si="199"/>
        <v>-6.1061189817653527E-9</v>
      </c>
      <c r="K1431" s="4">
        <f t="shared" si="200"/>
        <v>-1.3533948808419553E-8</v>
      </c>
      <c r="L1431" s="4">
        <f t="shared" si="201"/>
        <v>-4.1374372429994113E-9</v>
      </c>
      <c r="M1431" s="4">
        <f t="shared" si="203"/>
        <v>-4.8668659523169884E-9</v>
      </c>
      <c r="N1431" s="5">
        <f t="shared" si="204"/>
        <v>8.7142180599410819E-7</v>
      </c>
      <c r="O1431" s="5">
        <f t="shared" si="205"/>
        <v>6.9148769296773048E-7</v>
      </c>
      <c r="P1431" s="5">
        <f t="shared" si="206"/>
        <v>2.3709050103816051E-7</v>
      </c>
      <c r="Q1431" s="1">
        <f t="shared" si="202"/>
        <v>1.7999999999999993E-6</v>
      </c>
    </row>
    <row r="1432" spans="1:17" x14ac:dyDescent="0.25">
      <c r="A1432" s="1">
        <v>71.5</v>
      </c>
      <c r="B1432" s="1">
        <v>5.8206000000000004E-3</v>
      </c>
      <c r="C1432" s="1">
        <v>4.4855999999999997E-4</v>
      </c>
      <c r="D1432" s="1">
        <v>3.1885999999999998E-2</v>
      </c>
      <c r="E1432" s="1">
        <v>4.3068000000000004E-3</v>
      </c>
      <c r="F1432" s="1">
        <v>2.6269999999999999E-7</v>
      </c>
      <c r="G1432" s="1">
        <v>6.7183000000000002</v>
      </c>
      <c r="H1432" s="1">
        <v>1.9495000000000001E-7</v>
      </c>
      <c r="I1432" s="1">
        <f t="shared" si="198"/>
        <v>1.9495000000000001E-7</v>
      </c>
      <c r="J1432" s="4">
        <f t="shared" si="199"/>
        <v>-6.071161083343817E-9</v>
      </c>
      <c r="K1432" s="4">
        <f t="shared" si="200"/>
        <v>-1.3484010012869979E-8</v>
      </c>
      <c r="L1432" s="4">
        <f t="shared" si="201"/>
        <v>-4.122219470522605E-9</v>
      </c>
      <c r="M1432" s="4">
        <f t="shared" si="203"/>
        <v>-4.8526853935734306E-9</v>
      </c>
      <c r="N1432" s="5">
        <f t="shared" si="204"/>
        <v>8.7471243545311177E-7</v>
      </c>
      <c r="O1432" s="5">
        <f t="shared" si="205"/>
        <v>6.889275294317778E-7</v>
      </c>
      <c r="P1432" s="5">
        <f t="shared" si="206"/>
        <v>2.3636003511510966E-7</v>
      </c>
      <c r="Q1432" s="1">
        <f t="shared" si="202"/>
        <v>1.7999999999999993E-6</v>
      </c>
    </row>
    <row r="1433" spans="1:17" x14ac:dyDescent="0.25">
      <c r="A1433" s="1">
        <v>71.55</v>
      </c>
      <c r="B1433" s="1">
        <v>5.8116000000000001E-3</v>
      </c>
      <c r="C1433" s="1">
        <v>4.4639000000000001E-4</v>
      </c>
      <c r="D1433" s="1">
        <v>3.1891000000000003E-2</v>
      </c>
      <c r="E1433" s="1">
        <v>4.2950999999999996E-3</v>
      </c>
      <c r="F1433" s="1">
        <v>2.6146000000000001E-7</v>
      </c>
      <c r="G1433" s="1">
        <v>6.7183000000000002</v>
      </c>
      <c r="H1433" s="1">
        <v>1.9497E-7</v>
      </c>
      <c r="I1433" s="1">
        <f t="shared" si="198"/>
        <v>1.9497E-7</v>
      </c>
      <c r="J1433" s="4">
        <f t="shared" si="199"/>
        <v>-6.036503354965754E-9</v>
      </c>
      <c r="K1433" s="4">
        <f t="shared" si="200"/>
        <v>-1.3434086823918904E-8</v>
      </c>
      <c r="L1433" s="4">
        <f t="shared" si="201"/>
        <v>-4.107032831901067E-9</v>
      </c>
      <c r="M1433" s="4">
        <f t="shared" si="203"/>
        <v>-4.8382308287972417E-9</v>
      </c>
      <c r="N1433" s="5">
        <f t="shared" si="204"/>
        <v>8.7800298609016383E-7</v>
      </c>
      <c r="O1433" s="5">
        <f t="shared" si="205"/>
        <v>6.8636817679162182E-7</v>
      </c>
      <c r="P1433" s="5">
        <f t="shared" si="206"/>
        <v>2.3562883711821347E-7</v>
      </c>
      <c r="Q1433" s="1">
        <f t="shared" si="202"/>
        <v>1.7999999999999991E-6</v>
      </c>
    </row>
    <row r="1434" spans="1:17" x14ac:dyDescent="0.25">
      <c r="A1434" s="1">
        <v>71.599999999999994</v>
      </c>
      <c r="B1434" s="1">
        <v>5.8027E-3</v>
      </c>
      <c r="C1434" s="1">
        <v>4.4422999999999999E-4</v>
      </c>
      <c r="D1434" s="1">
        <v>3.1897000000000002E-2</v>
      </c>
      <c r="E1434" s="1">
        <v>4.2833999999999997E-3</v>
      </c>
      <c r="F1434" s="1">
        <v>2.6021999999999998E-7</v>
      </c>
      <c r="G1434" s="1">
        <v>6.7182000000000004</v>
      </c>
      <c r="H1434" s="1">
        <v>1.9499E-7</v>
      </c>
      <c r="I1434" s="1">
        <f t="shared" si="198"/>
        <v>1.9499E-7</v>
      </c>
      <c r="J1434" s="4">
        <f t="shared" si="199"/>
        <v>-6.0021453277896469E-9</v>
      </c>
      <c r="K1434" s="4">
        <f t="shared" si="200"/>
        <v>-1.3384179447435865E-8</v>
      </c>
      <c r="L1434" s="4">
        <f t="shared" si="201"/>
        <v>-4.0918775242547861E-9</v>
      </c>
      <c r="M1434" s="4">
        <f t="shared" si="203"/>
        <v>-4.8237582091582242E-9</v>
      </c>
      <c r="N1434" s="5">
        <f t="shared" si="204"/>
        <v>8.8129314268555526E-7</v>
      </c>
      <c r="O1434" s="5">
        <f t="shared" si="205"/>
        <v>6.8380990088113379E-7</v>
      </c>
      <c r="P1434" s="5">
        <f t="shared" si="206"/>
        <v>2.3489695643331004E-7</v>
      </c>
      <c r="Q1434" s="1">
        <f t="shared" si="202"/>
        <v>1.7999999999999991E-6</v>
      </c>
    </row>
    <row r="1435" spans="1:17" x14ac:dyDescent="0.25">
      <c r="A1435" s="1">
        <v>71.650000000000006</v>
      </c>
      <c r="B1435" s="1">
        <v>5.7938E-3</v>
      </c>
      <c r="C1435" s="1">
        <v>4.4208000000000002E-4</v>
      </c>
      <c r="D1435" s="1">
        <v>3.1902E-2</v>
      </c>
      <c r="E1435" s="1">
        <v>4.2718000000000001E-3</v>
      </c>
      <c r="F1435" s="1">
        <v>2.5899000000000002E-7</v>
      </c>
      <c r="G1435" s="1">
        <v>6.7182000000000004</v>
      </c>
      <c r="H1435" s="1">
        <v>1.9501E-7</v>
      </c>
      <c r="I1435" s="1">
        <f t="shared" si="198"/>
        <v>1.9501E-7</v>
      </c>
      <c r="J1435" s="4">
        <f t="shared" si="199"/>
        <v>-5.9676279035668431E-9</v>
      </c>
      <c r="K1435" s="4">
        <f t="shared" si="200"/>
        <v>-1.3334293067185143E-8</v>
      </c>
      <c r="L1435" s="4">
        <f t="shared" si="201"/>
        <v>-4.076597112169456E-9</v>
      </c>
      <c r="M1435" s="4">
        <f t="shared" si="203"/>
        <v>-4.8092685411688616E-9</v>
      </c>
      <c r="N1435" s="5">
        <f t="shared" si="204"/>
        <v>8.8458321073700416E-7</v>
      </c>
      <c r="O1435" s="5">
        <f t="shared" si="205"/>
        <v>6.8125250425868431E-7</v>
      </c>
      <c r="P1435" s="5">
        <f t="shared" si="206"/>
        <v>2.3416428500431061E-7</v>
      </c>
      <c r="Q1435" s="1">
        <f t="shared" si="202"/>
        <v>1.7999999999999993E-6</v>
      </c>
    </row>
    <row r="1436" spans="1:17" x14ac:dyDescent="0.25">
      <c r="A1436" s="1">
        <v>71.7</v>
      </c>
      <c r="B1436" s="1">
        <v>5.7848999999999999E-3</v>
      </c>
      <c r="C1436" s="1">
        <v>4.3993999999999999E-4</v>
      </c>
      <c r="D1436" s="1">
        <v>3.1907999999999999E-2</v>
      </c>
      <c r="E1436" s="1">
        <v>4.2601999999999996E-3</v>
      </c>
      <c r="F1436" s="1">
        <v>2.5777000000000001E-7</v>
      </c>
      <c r="G1436" s="1">
        <v>6.7180999999999997</v>
      </c>
      <c r="H1436" s="1">
        <v>1.9502999999999999E-7</v>
      </c>
      <c r="I1436" s="1">
        <f t="shared" si="198"/>
        <v>1.9502999999999999E-7</v>
      </c>
      <c r="J1436" s="4">
        <f t="shared" si="199"/>
        <v>-5.9334144306872309E-9</v>
      </c>
      <c r="K1436" s="4">
        <f t="shared" si="200"/>
        <v>-1.328442383304359E-8</v>
      </c>
      <c r="L1436" s="4">
        <f t="shared" si="201"/>
        <v>-4.0614461185679108E-9</v>
      </c>
      <c r="M1436" s="4">
        <f t="shared" si="203"/>
        <v>-4.7947596079622416E-9</v>
      </c>
      <c r="N1436" s="5">
        <f t="shared" si="204"/>
        <v>8.8787277402079267E-7</v>
      </c>
      <c r="O1436" s="5">
        <f t="shared" si="205"/>
        <v>6.7869625446429023E-7</v>
      </c>
      <c r="P1436" s="5">
        <f t="shared" si="206"/>
        <v>2.3343097151491627E-7</v>
      </c>
      <c r="Q1436" s="1">
        <f t="shared" si="202"/>
        <v>1.7999999999999993E-6</v>
      </c>
    </row>
    <row r="1437" spans="1:17" x14ac:dyDescent="0.25">
      <c r="A1437" s="1">
        <v>71.75</v>
      </c>
      <c r="B1437" s="1">
        <v>5.7759999999999999E-3</v>
      </c>
      <c r="C1437" s="1">
        <v>4.3781000000000001E-4</v>
      </c>
      <c r="D1437" s="1">
        <v>3.1912999999999997E-2</v>
      </c>
      <c r="E1437" s="1">
        <v>4.2487000000000002E-3</v>
      </c>
      <c r="F1437" s="1">
        <v>2.5655E-7</v>
      </c>
      <c r="G1437" s="1">
        <v>6.7180999999999997</v>
      </c>
      <c r="H1437" s="1">
        <v>1.9504999999999999E-7</v>
      </c>
      <c r="I1437" s="1">
        <f t="shared" si="198"/>
        <v>1.9504999999999999E-7</v>
      </c>
      <c r="J1437" s="4">
        <f t="shared" si="199"/>
        <v>-5.8995037557565655E-9</v>
      </c>
      <c r="K1437" s="4">
        <f t="shared" si="200"/>
        <v>-1.3234576962052907E-8</v>
      </c>
      <c r="L1437" s="4">
        <f t="shared" si="201"/>
        <v>-4.046329033096853E-9</v>
      </c>
      <c r="M1437" s="4">
        <f t="shared" si="203"/>
        <v>-4.7802344493279107E-9</v>
      </c>
      <c r="N1437" s="5">
        <f t="shared" si="204"/>
        <v>8.9116151819399214E-7</v>
      </c>
      <c r="O1437" s="5">
        <f t="shared" si="205"/>
        <v>6.7614141570732181E-7</v>
      </c>
      <c r="P1437" s="5">
        <f t="shared" si="206"/>
        <v>2.326970660986852E-7</v>
      </c>
      <c r="Q1437" s="1">
        <f t="shared" si="202"/>
        <v>1.7999999999999991E-6</v>
      </c>
    </row>
    <row r="1438" spans="1:17" x14ac:dyDescent="0.25">
      <c r="A1438" s="1">
        <v>71.8</v>
      </c>
      <c r="B1438" s="1">
        <v>5.7670999999999998E-3</v>
      </c>
      <c r="C1438" s="1">
        <v>4.3570000000000002E-4</v>
      </c>
      <c r="D1438" s="1">
        <v>3.1919000000000003E-2</v>
      </c>
      <c r="E1438" s="1">
        <v>4.2370999999999997E-3</v>
      </c>
      <c r="F1438" s="1">
        <v>2.5534000000000001E-7</v>
      </c>
      <c r="G1438" s="1">
        <v>6.718</v>
      </c>
      <c r="H1438" s="1">
        <v>1.9507000000000001E-7</v>
      </c>
      <c r="I1438" s="1">
        <f t="shared" si="198"/>
        <v>1.9507000000000001E-7</v>
      </c>
      <c r="J1438" s="4">
        <f t="shared" si="199"/>
        <v>-5.8654381916240814E-9</v>
      </c>
      <c r="K1438" s="4">
        <f t="shared" si="200"/>
        <v>-1.3184757606292025E-8</v>
      </c>
      <c r="L1438" s="4">
        <f t="shared" si="201"/>
        <v>-4.0311838653566922E-9</v>
      </c>
      <c r="M1438" s="4">
        <f t="shared" si="203"/>
        <v>-4.7656940879673266E-9</v>
      </c>
      <c r="N1438" s="5">
        <f t="shared" si="204"/>
        <v>8.9444965374330336E-7</v>
      </c>
      <c r="O1438" s="5">
        <f t="shared" si="205"/>
        <v>6.7358779038062121E-7</v>
      </c>
      <c r="P1438" s="5">
        <f t="shared" si="206"/>
        <v>2.3196255587607458E-7</v>
      </c>
      <c r="Q1438" s="1">
        <f t="shared" si="202"/>
        <v>1.7999999999999993E-6</v>
      </c>
    </row>
    <row r="1439" spans="1:17" x14ac:dyDescent="0.25">
      <c r="A1439" s="1">
        <v>71.849999999999994</v>
      </c>
      <c r="B1439" s="1">
        <v>5.7583000000000001E-3</v>
      </c>
      <c r="C1439" s="1">
        <v>4.3358999999999997E-4</v>
      </c>
      <c r="D1439" s="1">
        <v>3.1924000000000001E-2</v>
      </c>
      <c r="E1439" s="1">
        <v>4.2256999999999998E-3</v>
      </c>
      <c r="F1439" s="1">
        <v>2.5413000000000001E-7</v>
      </c>
      <c r="G1439" s="1">
        <v>6.718</v>
      </c>
      <c r="H1439" s="1">
        <v>1.9509000000000001E-7</v>
      </c>
      <c r="I1439" s="1">
        <f t="shared" si="198"/>
        <v>1.9509000000000001E-7</v>
      </c>
      <c r="J1439" s="4">
        <f t="shared" si="199"/>
        <v>-5.8316789702994059E-9</v>
      </c>
      <c r="K1439" s="4">
        <f t="shared" si="200"/>
        <v>-1.3134961912421367E-8</v>
      </c>
      <c r="L1439" s="4">
        <f t="shared" si="201"/>
        <v>-4.0159802187272174E-9</v>
      </c>
      <c r="M1439" s="4">
        <f t="shared" si="203"/>
        <v>-4.7511382563480463E-9</v>
      </c>
      <c r="N1439" s="5">
        <f t="shared" si="204"/>
        <v>8.9773695646669812E-7</v>
      </c>
      <c r="O1439" s="5">
        <f t="shared" si="205"/>
        <v>6.7103564569484721E-7</v>
      </c>
      <c r="P1439" s="5">
        <f t="shared" si="206"/>
        <v>2.3122739783845374E-7</v>
      </c>
      <c r="Q1439" s="1">
        <f t="shared" si="202"/>
        <v>1.7999999999999991E-6</v>
      </c>
    </row>
    <row r="1440" spans="1:17" x14ac:dyDescent="0.25">
      <c r="A1440" s="1">
        <v>71.900000000000006</v>
      </c>
      <c r="B1440" s="1">
        <v>5.7495000000000003E-3</v>
      </c>
      <c r="C1440" s="1">
        <v>4.3150000000000003E-4</v>
      </c>
      <c r="D1440" s="1">
        <v>3.193E-2</v>
      </c>
      <c r="E1440" s="1">
        <v>4.2142000000000004E-3</v>
      </c>
      <c r="F1440" s="1">
        <v>2.5293999999999999E-7</v>
      </c>
      <c r="G1440" s="1">
        <v>6.7179000000000002</v>
      </c>
      <c r="H1440" s="1">
        <v>1.9511E-7</v>
      </c>
      <c r="I1440" s="1">
        <f t="shared" si="198"/>
        <v>1.9511E-7</v>
      </c>
      <c r="J1440" s="4">
        <f t="shared" si="199"/>
        <v>-5.7977699203778304E-9</v>
      </c>
      <c r="K1440" s="4">
        <f t="shared" si="200"/>
        <v>-1.3085195091052497E-8</v>
      </c>
      <c r="L1440" s="4">
        <f t="shared" si="201"/>
        <v>-4.0008456641499817E-9</v>
      </c>
      <c r="M1440" s="4">
        <f t="shared" si="203"/>
        <v>-4.7365660696529911E-9</v>
      </c>
      <c r="N1440" s="5">
        <f t="shared" si="204"/>
        <v>9.0102353597322282E-7</v>
      </c>
      <c r="O1440" s="5">
        <f t="shared" si="205"/>
        <v>6.6848478659382559E-7</v>
      </c>
      <c r="P1440" s="5">
        <f t="shared" si="206"/>
        <v>2.3049167743295074E-7</v>
      </c>
      <c r="Q1440" s="1">
        <f t="shared" si="202"/>
        <v>1.7999999999999991E-6</v>
      </c>
    </row>
    <row r="1441" spans="1:17" x14ac:dyDescent="0.25">
      <c r="A1441" s="1">
        <v>71.95</v>
      </c>
      <c r="B1441" s="1">
        <v>5.7406999999999996E-3</v>
      </c>
      <c r="C1441" s="1">
        <v>4.2942000000000002E-4</v>
      </c>
      <c r="D1441" s="1">
        <v>3.1934999999999998E-2</v>
      </c>
      <c r="E1441" s="1">
        <v>4.2027999999999996E-3</v>
      </c>
      <c r="F1441" s="1">
        <v>2.5174E-7</v>
      </c>
      <c r="G1441" s="1">
        <v>6.7179000000000002</v>
      </c>
      <c r="H1441" s="1">
        <v>1.9513E-7</v>
      </c>
      <c r="I1441" s="1">
        <f t="shared" si="198"/>
        <v>1.9513E-7</v>
      </c>
      <c r="J1441" s="4">
        <f t="shared" si="199"/>
        <v>-5.7646263683239306E-9</v>
      </c>
      <c r="K1441" s="4">
        <f t="shared" si="200"/>
        <v>-1.3035453338578858E-8</v>
      </c>
      <c r="L1441" s="4">
        <f t="shared" si="201"/>
        <v>-3.9858127236408425E-9</v>
      </c>
      <c r="M1441" s="4">
        <f t="shared" si="203"/>
        <v>-4.7219792743137483E-9</v>
      </c>
      <c r="N1441" s="5">
        <f t="shared" si="204"/>
        <v>9.0430855021983688E-7</v>
      </c>
      <c r="O1441" s="5">
        <f t="shared" si="205"/>
        <v>6.6593593889788444E-7</v>
      </c>
      <c r="P1441" s="5">
        <f t="shared" si="206"/>
        <v>2.2975551088227783E-7</v>
      </c>
      <c r="Q1441" s="1">
        <f t="shared" si="202"/>
        <v>1.7999999999999991E-6</v>
      </c>
    </row>
    <row r="1442" spans="1:17" x14ac:dyDescent="0.25">
      <c r="A1442" s="1">
        <v>72</v>
      </c>
      <c r="B1442" s="1">
        <v>5.7320000000000001E-3</v>
      </c>
      <c r="C1442" s="1">
        <v>4.2735000000000001E-4</v>
      </c>
      <c r="D1442" s="1">
        <v>3.1940999999999997E-2</v>
      </c>
      <c r="E1442" s="1">
        <v>4.1913999999999996E-3</v>
      </c>
      <c r="F1442" s="1">
        <v>2.5055999999999999E-7</v>
      </c>
      <c r="G1442" s="1">
        <v>6.7178000000000004</v>
      </c>
      <c r="H1442" s="1">
        <v>1.9515E-7</v>
      </c>
      <c r="I1442" s="1">
        <f t="shared" si="198"/>
        <v>1.9515E-7</v>
      </c>
      <c r="J1442" s="4">
        <f t="shared" si="199"/>
        <v>-5.7308770711994445E-9</v>
      </c>
      <c r="K1442" s="4">
        <f t="shared" si="200"/>
        <v>-1.2985750808508009E-8</v>
      </c>
      <c r="L1442" s="4">
        <f t="shared" si="201"/>
        <v>-3.9705958585275942E-9</v>
      </c>
      <c r="M1442" s="4">
        <f t="shared" si="203"/>
        <v>-4.7073802480379144E-9</v>
      </c>
      <c r="N1442" s="5">
        <f t="shared" si="204"/>
        <v>9.0759282809861785E-7</v>
      </c>
      <c r="O1442" s="5">
        <f t="shared" si="205"/>
        <v>6.6338844540861387E-7</v>
      </c>
      <c r="P1442" s="5">
        <f t="shared" si="206"/>
        <v>2.2901872649276751E-7</v>
      </c>
      <c r="Q1442" s="1">
        <f t="shared" si="202"/>
        <v>1.7999999999999993E-6</v>
      </c>
    </row>
    <row r="1443" spans="1:17" x14ac:dyDescent="0.25">
      <c r="A1443" s="1">
        <v>72.05</v>
      </c>
      <c r="B1443" s="1">
        <v>5.7232000000000003E-3</v>
      </c>
      <c r="C1443" s="1">
        <v>4.2528999999999999E-4</v>
      </c>
      <c r="D1443" s="1">
        <v>3.1946000000000002E-2</v>
      </c>
      <c r="E1443" s="1">
        <v>4.1801E-3</v>
      </c>
      <c r="F1443" s="1">
        <v>2.4937999999999997E-7</v>
      </c>
      <c r="G1443" s="1">
        <v>6.7178000000000004</v>
      </c>
      <c r="H1443" s="1">
        <v>1.9516999999999999E-7</v>
      </c>
      <c r="I1443" s="1">
        <f t="shared" si="198"/>
        <v>1.9516999999999999E-7</v>
      </c>
      <c r="J1443" s="4">
        <f t="shared" si="199"/>
        <v>-5.6978962369138877E-9</v>
      </c>
      <c r="K1443" s="4">
        <f t="shared" si="200"/>
        <v>-1.2936074685467237E-8</v>
      </c>
      <c r="L1443" s="4">
        <f t="shared" si="201"/>
        <v>-3.9555784439939975E-9</v>
      </c>
      <c r="M1443" s="4">
        <f t="shared" si="203"/>
        <v>-4.6927654698814092E-9</v>
      </c>
      <c r="N1443" s="5">
        <f t="shared" si="204"/>
        <v>9.1087542810317724E-7</v>
      </c>
      <c r="O1443" s="5">
        <f t="shared" si="205"/>
        <v>6.6084303242994187E-7</v>
      </c>
      <c r="P1443" s="5">
        <f t="shared" si="206"/>
        <v>2.2828153946688009E-7</v>
      </c>
      <c r="Q1443" s="1">
        <f t="shared" si="202"/>
        <v>1.7999999999999993E-6</v>
      </c>
    </row>
    <row r="1444" spans="1:17" x14ac:dyDescent="0.25">
      <c r="A1444" s="1">
        <v>72.099999999999994</v>
      </c>
      <c r="B1444" s="1">
        <v>5.7145E-3</v>
      </c>
      <c r="C1444" s="1">
        <v>4.2324000000000002E-4</v>
      </c>
      <c r="D1444" s="1">
        <v>3.1951E-2</v>
      </c>
      <c r="E1444" s="1">
        <v>4.1688000000000003E-3</v>
      </c>
      <c r="F1444" s="1">
        <v>2.4820000000000001E-7</v>
      </c>
      <c r="G1444" s="1">
        <v>6.7178000000000004</v>
      </c>
      <c r="H1444" s="1">
        <v>1.9518999999999999E-7</v>
      </c>
      <c r="I1444" s="1">
        <f t="shared" si="198"/>
        <v>1.9518999999999999E-7</v>
      </c>
      <c r="J1444" s="4">
        <f t="shared" si="199"/>
        <v>-5.6647693014247928E-9</v>
      </c>
      <c r="K1444" s="4">
        <f t="shared" si="200"/>
        <v>-1.2886439132383135E-8</v>
      </c>
      <c r="L1444" s="4">
        <f t="shared" si="201"/>
        <v>-3.9405366890318381E-9</v>
      </c>
      <c r="M1444" s="4">
        <f t="shared" si="203"/>
        <v>-4.6781393460635868E-9</v>
      </c>
      <c r="N1444" s="5">
        <f t="shared" si="204"/>
        <v>9.1415656124510375E-7</v>
      </c>
      <c r="O1444" s="5">
        <f t="shared" si="205"/>
        <v>6.5829950194504715E-7</v>
      </c>
      <c r="P1444" s="5">
        <f t="shared" si="206"/>
        <v>2.2754393680984836E-7</v>
      </c>
      <c r="Q1444" s="1">
        <f t="shared" si="202"/>
        <v>1.7999999999999993E-6</v>
      </c>
    </row>
    <row r="1445" spans="1:17" x14ac:dyDescent="0.25">
      <c r="A1445" s="1">
        <v>72.150000000000006</v>
      </c>
      <c r="B1445" s="1">
        <v>5.7057999999999996E-3</v>
      </c>
      <c r="C1445" s="1">
        <v>4.2119999999999999E-4</v>
      </c>
      <c r="D1445" s="1">
        <v>3.1956999999999999E-2</v>
      </c>
      <c r="E1445" s="1">
        <v>4.1574999999999997E-3</v>
      </c>
      <c r="F1445" s="1">
        <v>2.4704000000000002E-7</v>
      </c>
      <c r="G1445" s="1">
        <v>6.7176999999999998</v>
      </c>
      <c r="H1445" s="1">
        <v>1.9521000000000001E-7</v>
      </c>
      <c r="I1445" s="1">
        <f t="shared" si="198"/>
        <v>1.9521000000000001E-7</v>
      </c>
      <c r="J1445" s="4">
        <f t="shared" si="199"/>
        <v>-5.631500603996964E-9</v>
      </c>
      <c r="K1445" s="4">
        <f t="shared" si="200"/>
        <v>-1.2836840287931339E-8</v>
      </c>
      <c r="L1445" s="4">
        <f t="shared" si="201"/>
        <v>-3.9253782767712152E-9</v>
      </c>
      <c r="M1445" s="4">
        <f t="shared" si="203"/>
        <v>-4.6635016077220614E-9</v>
      </c>
      <c r="N1445" s="5">
        <f t="shared" si="204"/>
        <v>9.1743652265226685E-7</v>
      </c>
      <c r="O1445" s="5">
        <f t="shared" si="205"/>
        <v>6.5575766386883492E-7</v>
      </c>
      <c r="P1445" s="5">
        <f t="shared" si="206"/>
        <v>2.2680581347889751E-7</v>
      </c>
      <c r="Q1445" s="1">
        <f t="shared" si="202"/>
        <v>1.7999999999999993E-6</v>
      </c>
    </row>
    <row r="1446" spans="1:17" x14ac:dyDescent="0.25">
      <c r="A1446" s="1">
        <v>72.2</v>
      </c>
      <c r="B1446" s="1">
        <v>5.6972000000000004E-3</v>
      </c>
      <c r="C1446" s="1">
        <v>4.1918000000000001E-4</v>
      </c>
      <c r="D1446" s="1">
        <v>3.1961999999999997E-2</v>
      </c>
      <c r="E1446" s="1">
        <v>4.1462000000000001E-3</v>
      </c>
      <c r="F1446" s="1">
        <v>2.4587000000000002E-7</v>
      </c>
      <c r="G1446" s="1">
        <v>6.7176999999999998</v>
      </c>
      <c r="H1446" s="1">
        <v>1.9523000000000001E-7</v>
      </c>
      <c r="I1446" s="1">
        <f t="shared" si="198"/>
        <v>1.9523000000000001E-7</v>
      </c>
      <c r="J1446" s="4">
        <f t="shared" si="199"/>
        <v>-5.5990014824075027E-9</v>
      </c>
      <c r="K1446" s="4">
        <f t="shared" si="200"/>
        <v>-1.2787274445441554E-8</v>
      </c>
      <c r="L1446" s="4">
        <f t="shared" si="201"/>
        <v>-3.9104222778458199E-9</v>
      </c>
      <c r="M1446" s="4">
        <f t="shared" si="203"/>
        <v>-4.6488500991673717E-9</v>
      </c>
      <c r="N1446" s="5">
        <f t="shared" si="204"/>
        <v>9.2071437333745504E-7</v>
      </c>
      <c r="O1446" s="5">
        <f t="shared" si="205"/>
        <v>6.5321824100496821E-7</v>
      </c>
      <c r="P1446" s="5">
        <f t="shared" si="206"/>
        <v>2.2606738565757595E-7</v>
      </c>
      <c r="Q1446" s="1">
        <f t="shared" si="202"/>
        <v>1.7999999999999993E-6</v>
      </c>
    </row>
    <row r="1447" spans="1:17" x14ac:dyDescent="0.25">
      <c r="A1447" s="1">
        <v>72.25</v>
      </c>
      <c r="B1447" s="1">
        <v>5.6885E-3</v>
      </c>
      <c r="C1447" s="1">
        <v>4.1716000000000002E-4</v>
      </c>
      <c r="D1447" s="1">
        <v>3.1968000000000003E-2</v>
      </c>
      <c r="E1447" s="1">
        <v>4.1349999999999998E-3</v>
      </c>
      <c r="F1447" s="1">
        <v>2.4471999999999998E-7</v>
      </c>
      <c r="G1447" s="1">
        <v>6.7176</v>
      </c>
      <c r="H1447" s="1">
        <v>1.9525E-7</v>
      </c>
      <c r="I1447" s="1">
        <f t="shared" si="198"/>
        <v>1.9525E-7</v>
      </c>
      <c r="J1447" s="4">
        <f t="shared" si="199"/>
        <v>-5.5659077685640509E-9</v>
      </c>
      <c r="K1447" s="4">
        <f t="shared" si="200"/>
        <v>-1.2737755699596157E-8</v>
      </c>
      <c r="L1447" s="4">
        <f t="shared" si="201"/>
        <v>-3.8951914498956414E-9</v>
      </c>
      <c r="M1447" s="4">
        <f t="shared" si="203"/>
        <v>-4.634189248702235E-9</v>
      </c>
      <c r="N1447" s="5">
        <f t="shared" si="204"/>
        <v>9.2399102981859152E-7</v>
      </c>
      <c r="O1447" s="5">
        <f t="shared" si="205"/>
        <v>6.5068058232263839E-7</v>
      </c>
      <c r="P1447" s="5">
        <f t="shared" si="206"/>
        <v>2.2532838785876937E-7</v>
      </c>
      <c r="Q1447" s="1">
        <f t="shared" si="202"/>
        <v>1.7999999999999993E-6</v>
      </c>
    </row>
    <row r="1448" spans="1:17" x14ac:dyDescent="0.25">
      <c r="A1448" s="1">
        <v>72.3</v>
      </c>
      <c r="B1448" s="1">
        <v>5.6798999999999999E-3</v>
      </c>
      <c r="C1448" s="1">
        <v>4.1515999999999998E-4</v>
      </c>
      <c r="D1448" s="1">
        <v>3.1973000000000001E-2</v>
      </c>
      <c r="E1448" s="1">
        <v>4.1238000000000004E-3</v>
      </c>
      <c r="F1448" s="1">
        <v>2.4357E-7</v>
      </c>
      <c r="G1448" s="1">
        <v>6.7176</v>
      </c>
      <c r="H1448" s="1">
        <v>1.9527E-7</v>
      </c>
      <c r="I1448" s="1">
        <f t="shared" si="198"/>
        <v>1.9527E-7</v>
      </c>
      <c r="J1448" s="4">
        <f t="shared" si="199"/>
        <v>-5.5335862436463427E-9</v>
      </c>
      <c r="K1448" s="4">
        <f t="shared" si="200"/>
        <v>-1.2688271355290729E-8</v>
      </c>
      <c r="L1448" s="4">
        <f t="shared" si="201"/>
        <v>-3.8802600252342332E-9</v>
      </c>
      <c r="M1448" s="4">
        <f t="shared" si="203"/>
        <v>-4.6195136115893337E-9</v>
      </c>
      <c r="N1448" s="5">
        <f t="shared" si="204"/>
        <v>9.272654549050017E-7</v>
      </c>
      <c r="O1448" s="5">
        <f t="shared" si="205"/>
        <v>6.481454108225833E-7</v>
      </c>
      <c r="P1448" s="5">
        <f t="shared" si="206"/>
        <v>2.2458913427241428E-7</v>
      </c>
      <c r="Q1448" s="1">
        <f t="shared" si="202"/>
        <v>1.7999999999999993E-6</v>
      </c>
    </row>
    <row r="1449" spans="1:17" x14ac:dyDescent="0.25">
      <c r="A1449" s="1">
        <v>72.349999999999994</v>
      </c>
      <c r="B1449" s="1">
        <v>5.6712999999999998E-3</v>
      </c>
      <c r="C1449" s="1">
        <v>4.1316999999999998E-4</v>
      </c>
      <c r="D1449" s="1">
        <v>3.1977999999999999E-2</v>
      </c>
      <c r="E1449" s="1">
        <v>4.1127000000000004E-3</v>
      </c>
      <c r="F1449" s="1">
        <v>2.4242999999999998E-7</v>
      </c>
      <c r="G1449" s="1">
        <v>6.7175000000000002</v>
      </c>
      <c r="H1449" s="1">
        <v>1.9529E-7</v>
      </c>
      <c r="I1449" s="1">
        <f t="shared" si="198"/>
        <v>1.9529E-7</v>
      </c>
      <c r="J1449" s="4">
        <f t="shared" si="199"/>
        <v>-5.5011270191546392E-9</v>
      </c>
      <c r="K1449" s="4">
        <f t="shared" si="200"/>
        <v>-1.2638835511039657E-8</v>
      </c>
      <c r="L1449" s="4">
        <f t="shared" si="201"/>
        <v>-3.8652142113806344E-9</v>
      </c>
      <c r="M1449" s="4">
        <f t="shared" si="203"/>
        <v>-4.6048296261840441E-9</v>
      </c>
      <c r="N1449" s="5">
        <f t="shared" si="204"/>
        <v>9.3053794918550608E-7</v>
      </c>
      <c r="O1449" s="5">
        <f t="shared" si="205"/>
        <v>6.4561253195688226E-7</v>
      </c>
      <c r="P1449" s="5">
        <f t="shared" si="206"/>
        <v>2.2384951885761089E-7</v>
      </c>
      <c r="Q1449" s="1">
        <f t="shared" si="202"/>
        <v>1.7999999999999993E-6</v>
      </c>
    </row>
    <row r="1450" spans="1:17" x14ac:dyDescent="0.25">
      <c r="A1450" s="1">
        <v>72.400000000000006</v>
      </c>
      <c r="B1450" s="1">
        <v>5.6626999999999997E-3</v>
      </c>
      <c r="C1450" s="1">
        <v>4.1119000000000003E-4</v>
      </c>
      <c r="D1450" s="1">
        <v>3.1982999999999998E-2</v>
      </c>
      <c r="E1450" s="1">
        <v>4.1016000000000004E-3</v>
      </c>
      <c r="F1450" s="1">
        <v>2.4129000000000001E-7</v>
      </c>
      <c r="G1450" s="1">
        <v>6.7175000000000002</v>
      </c>
      <c r="H1450" s="1">
        <v>1.9530000000000001E-7</v>
      </c>
      <c r="I1450" s="1">
        <f t="shared" si="198"/>
        <v>1.9530000000000001E-7</v>
      </c>
      <c r="J1450" s="4">
        <f t="shared" si="199"/>
        <v>-5.4689860070563698E-9</v>
      </c>
      <c r="K1450" s="4">
        <f t="shared" si="200"/>
        <v>-1.2589444373162066E-8</v>
      </c>
      <c r="L1450" s="4">
        <f t="shared" si="201"/>
        <v>-3.850308947637093E-9</v>
      </c>
      <c r="M1450" s="4">
        <f t="shared" si="203"/>
        <v>-4.5901351164598405E-9</v>
      </c>
      <c r="N1450" s="5">
        <f t="shared" si="204"/>
        <v>9.3380809860397473E-7</v>
      </c>
      <c r="O1450" s="5">
        <f t="shared" si="205"/>
        <v>6.4308220870723638E-7</v>
      </c>
      <c r="P1450" s="5">
        <f t="shared" si="206"/>
        <v>2.2310969268878815E-7</v>
      </c>
      <c r="Q1450" s="1">
        <f t="shared" si="202"/>
        <v>1.7999999999999993E-6</v>
      </c>
    </row>
    <row r="1451" spans="1:17" x14ac:dyDescent="0.25">
      <c r="A1451" s="1">
        <v>72.45</v>
      </c>
      <c r="B1451" s="1">
        <v>5.6541999999999999E-3</v>
      </c>
      <c r="C1451" s="1">
        <v>4.0922000000000002E-4</v>
      </c>
      <c r="D1451" s="1">
        <v>3.1988999999999997E-2</v>
      </c>
      <c r="E1451" s="1">
        <v>4.0905000000000004E-3</v>
      </c>
      <c r="F1451" s="1">
        <v>2.4016E-7</v>
      </c>
      <c r="G1451" s="1">
        <v>6.7173999999999996</v>
      </c>
      <c r="H1451" s="1">
        <v>1.9532E-7</v>
      </c>
      <c r="I1451" s="1">
        <f t="shared" si="198"/>
        <v>1.9532E-7</v>
      </c>
      <c r="J1451" s="4">
        <f t="shared" si="199"/>
        <v>-5.4367114404298321E-9</v>
      </c>
      <c r="K1451" s="4">
        <f t="shared" si="200"/>
        <v>-1.2540103069790398E-8</v>
      </c>
      <c r="L1451" s="4">
        <f t="shared" si="201"/>
        <v>-3.8352913474606518E-9</v>
      </c>
      <c r="M1451" s="4">
        <f t="shared" si="203"/>
        <v>-4.5751989131223735E-9</v>
      </c>
      <c r="N1451" s="5">
        <f t="shared" si="204"/>
        <v>9.3707619888587465E-7</v>
      </c>
      <c r="O1451" s="5">
        <f t="shared" si="205"/>
        <v>6.4055401599099817E-7</v>
      </c>
      <c r="P1451" s="5">
        <f t="shared" si="206"/>
        <v>2.2236978512312642E-7</v>
      </c>
      <c r="Q1451" s="1">
        <f t="shared" si="202"/>
        <v>1.7999999999999991E-6</v>
      </c>
    </row>
    <row r="1452" spans="1:17" x14ac:dyDescent="0.25">
      <c r="A1452" s="1">
        <v>72.5</v>
      </c>
      <c r="B1452" s="1">
        <v>5.6455999999999998E-3</v>
      </c>
      <c r="C1452" s="1">
        <v>4.0726E-4</v>
      </c>
      <c r="D1452" s="1">
        <v>3.1994000000000002E-2</v>
      </c>
      <c r="E1452" s="1">
        <v>4.0794999999999998E-3</v>
      </c>
      <c r="F1452" s="1">
        <v>2.3904E-7</v>
      </c>
      <c r="G1452" s="1">
        <v>6.7173999999999996</v>
      </c>
      <c r="H1452" s="1">
        <v>1.9534E-7</v>
      </c>
      <c r="I1452" s="1">
        <f t="shared" si="198"/>
        <v>1.9534E-7</v>
      </c>
      <c r="J1452" s="4">
        <f t="shared" si="199"/>
        <v>-5.4047580497048438E-9</v>
      </c>
      <c r="K1452" s="4">
        <f t="shared" si="200"/>
        <v>-1.2490803311823754E-8</v>
      </c>
      <c r="L1452" s="4">
        <f t="shared" si="201"/>
        <v>-3.8203229359434667E-9</v>
      </c>
      <c r="M1452" s="4">
        <f t="shared" si="203"/>
        <v>-4.5604929751758912E-9</v>
      </c>
      <c r="N1452" s="5">
        <f t="shared" si="204"/>
        <v>9.4034192121205009E-7</v>
      </c>
      <c r="O1452" s="5">
        <f t="shared" si="205"/>
        <v>6.3802846370405515E-7</v>
      </c>
      <c r="P1452" s="5">
        <f t="shared" si="206"/>
        <v>2.2162961508389399E-7</v>
      </c>
      <c r="Q1452" s="1">
        <f t="shared" si="202"/>
        <v>1.7999999999999993E-6</v>
      </c>
    </row>
    <row r="1453" spans="1:17" x14ac:dyDescent="0.25">
      <c r="A1453" s="1">
        <v>72.55</v>
      </c>
      <c r="B1453" s="1">
        <v>5.6370999999999999E-3</v>
      </c>
      <c r="C1453" s="1">
        <v>4.0530999999999998E-4</v>
      </c>
      <c r="D1453" s="1">
        <v>3.1999E-2</v>
      </c>
      <c r="E1453" s="1">
        <v>4.0683999999999998E-3</v>
      </c>
      <c r="F1453" s="1">
        <v>2.3792E-7</v>
      </c>
      <c r="G1453" s="1">
        <v>6.7172999999999998</v>
      </c>
      <c r="H1453" s="1">
        <v>1.9536E-7</v>
      </c>
      <c r="I1453" s="1">
        <f t="shared" si="198"/>
        <v>1.9536E-7</v>
      </c>
      <c r="J1453" s="4">
        <f t="shared" si="199"/>
        <v>-5.3731251723631113E-9</v>
      </c>
      <c r="K1453" s="4">
        <f t="shared" si="200"/>
        <v>-1.244155504222837E-8</v>
      </c>
      <c r="L1453" s="4">
        <f t="shared" si="201"/>
        <v>-3.8054972466415463E-9</v>
      </c>
      <c r="M1453" s="4">
        <f t="shared" si="203"/>
        <v>-4.5457785461009663E-9</v>
      </c>
      <c r="N1453" s="5">
        <f t="shared" si="204"/>
        <v>9.4360485383527378E-7</v>
      </c>
      <c r="O1453" s="5">
        <f t="shared" si="205"/>
        <v>6.355058123802908E-7</v>
      </c>
      <c r="P1453" s="5">
        <f t="shared" si="206"/>
        <v>2.2088933378443457E-7</v>
      </c>
      <c r="Q1453" s="1">
        <f t="shared" si="202"/>
        <v>1.7999999999999991E-6</v>
      </c>
    </row>
    <row r="1454" spans="1:17" x14ac:dyDescent="0.25">
      <c r="A1454" s="1">
        <v>72.599999999999994</v>
      </c>
      <c r="B1454" s="1">
        <v>5.6286000000000001E-3</v>
      </c>
      <c r="C1454" s="1">
        <v>4.0337000000000001E-4</v>
      </c>
      <c r="D1454" s="1">
        <v>3.2003999999999998E-2</v>
      </c>
      <c r="E1454" s="1">
        <v>4.0575000000000003E-3</v>
      </c>
      <c r="F1454" s="1">
        <v>2.3680999999999999E-7</v>
      </c>
      <c r="G1454" s="1">
        <v>6.7172999999999998</v>
      </c>
      <c r="H1454" s="1">
        <v>1.9537999999999999E-7</v>
      </c>
      <c r="I1454" s="1">
        <f t="shared" si="198"/>
        <v>1.9537999999999999E-7</v>
      </c>
      <c r="J1454" s="4">
        <f t="shared" si="199"/>
        <v>-5.3413626906879236E-9</v>
      </c>
      <c r="K1454" s="4">
        <f t="shared" si="200"/>
        <v>-1.2392363341414967E-8</v>
      </c>
      <c r="L1454" s="4">
        <f t="shared" si="201"/>
        <v>-3.79046821951909E-9</v>
      </c>
      <c r="M1454" s="4">
        <f t="shared" si="203"/>
        <v>-4.5310587260530922E-9</v>
      </c>
      <c r="N1454" s="5">
        <f t="shared" si="204"/>
        <v>9.4686538626648175E-7</v>
      </c>
      <c r="O1454" s="5">
        <f t="shared" si="205"/>
        <v>6.329858704556168E-7</v>
      </c>
      <c r="P1454" s="5">
        <f t="shared" si="206"/>
        <v>2.2014874327790057E-7</v>
      </c>
      <c r="Q1454" s="1">
        <f t="shared" si="202"/>
        <v>1.7999999999999993E-6</v>
      </c>
    </row>
    <row r="1455" spans="1:17" x14ac:dyDescent="0.25">
      <c r="A1455" s="1">
        <v>72.650000000000006</v>
      </c>
      <c r="B1455" s="1">
        <v>5.6201999999999997E-3</v>
      </c>
      <c r="C1455" s="1">
        <v>4.0144999999999997E-4</v>
      </c>
      <c r="D1455" s="1">
        <v>3.2009999999999997E-2</v>
      </c>
      <c r="E1455" s="1">
        <v>4.0464999999999997E-3</v>
      </c>
      <c r="F1455" s="1">
        <v>2.357E-7</v>
      </c>
      <c r="G1455" s="1">
        <v>6.7172000000000001</v>
      </c>
      <c r="H1455" s="1">
        <v>1.9539999999999999E-7</v>
      </c>
      <c r="I1455" s="1">
        <f t="shared" si="198"/>
        <v>1.9539999999999999E-7</v>
      </c>
      <c r="J1455" s="4">
        <f t="shared" si="199"/>
        <v>-5.3099241366367358E-9</v>
      </c>
      <c r="K1455" s="4">
        <f t="shared" si="200"/>
        <v>-1.2343224473887333E-8</v>
      </c>
      <c r="L1455" s="4">
        <f t="shared" si="201"/>
        <v>-3.7756776029422227E-9</v>
      </c>
      <c r="M1455" s="4">
        <f t="shared" si="203"/>
        <v>-4.516329453472829E-9</v>
      </c>
      <c r="N1455" s="5">
        <f t="shared" si="204"/>
        <v>9.5012300900079001E-7</v>
      </c>
      <c r="O1455" s="5">
        <f t="shared" si="205"/>
        <v>6.3046889957183902E-7</v>
      </c>
      <c r="P1455" s="5">
        <f t="shared" si="206"/>
        <v>2.1940809142736996E-7</v>
      </c>
      <c r="Q1455" s="1">
        <f t="shared" si="202"/>
        <v>1.7999999999999991E-6</v>
      </c>
    </row>
    <row r="1456" spans="1:17" x14ac:dyDescent="0.25">
      <c r="A1456" s="1">
        <v>72.7</v>
      </c>
      <c r="B1456" s="1">
        <v>5.6116999999999998E-3</v>
      </c>
      <c r="C1456" s="1">
        <v>3.9952999999999999E-4</v>
      </c>
      <c r="D1456" s="1">
        <v>3.2015000000000002E-2</v>
      </c>
      <c r="E1456" s="1">
        <v>4.0356000000000003E-3</v>
      </c>
      <c r="F1456" s="1">
        <v>2.346E-7</v>
      </c>
      <c r="G1456" s="1">
        <v>6.7172000000000001</v>
      </c>
      <c r="H1456" s="1">
        <v>1.9542000000000001E-7</v>
      </c>
      <c r="I1456" s="1">
        <f t="shared" si="198"/>
        <v>1.9542000000000001E-7</v>
      </c>
      <c r="J1456" s="4">
        <f t="shared" si="199"/>
        <v>-5.2783599202301295E-9</v>
      </c>
      <c r="K1456" s="4">
        <f t="shared" si="200"/>
        <v>-1.2294143541650162E-8</v>
      </c>
      <c r="L1456" s="4">
        <f t="shared" si="201"/>
        <v>-3.760685879568373E-9</v>
      </c>
      <c r="M1456" s="4">
        <f t="shared" si="203"/>
        <v>-4.5015958118150936E-9</v>
      </c>
      <c r="N1456" s="5">
        <f t="shared" si="204"/>
        <v>9.5337810674264168E-7</v>
      </c>
      <c r="O1456" s="5">
        <f t="shared" si="205"/>
        <v>6.2795471176223415E-7</v>
      </c>
      <c r="P1456" s="5">
        <f t="shared" si="206"/>
        <v>2.1866718149512324E-7</v>
      </c>
      <c r="Q1456" s="1">
        <f t="shared" si="202"/>
        <v>1.7999999999999993E-6</v>
      </c>
    </row>
    <row r="1457" spans="1:17" x14ac:dyDescent="0.25">
      <c r="A1457" s="1">
        <v>72.75</v>
      </c>
      <c r="B1457" s="1">
        <v>5.6033000000000003E-3</v>
      </c>
      <c r="C1457" s="1">
        <v>3.9763E-4</v>
      </c>
      <c r="D1457" s="1">
        <v>3.202E-2</v>
      </c>
      <c r="E1457" s="1">
        <v>4.0247E-3</v>
      </c>
      <c r="F1457" s="1">
        <v>2.3351E-7</v>
      </c>
      <c r="G1457" s="1">
        <v>6.7171000000000003</v>
      </c>
      <c r="H1457" s="1">
        <v>1.9544000000000001E-7</v>
      </c>
      <c r="I1457" s="1">
        <f t="shared" si="198"/>
        <v>1.9544000000000001E-7</v>
      </c>
      <c r="J1457" s="4">
        <f t="shared" si="199"/>
        <v>-5.2471223401288872E-9</v>
      </c>
      <c r="K1457" s="4">
        <f t="shared" si="200"/>
        <v>-1.224511687936287E-8</v>
      </c>
      <c r="L1457" s="4">
        <f t="shared" si="201"/>
        <v>-3.7458414620916526E-9</v>
      </c>
      <c r="M1457" s="4">
        <f t="shared" si="203"/>
        <v>-4.4868537638163287E-9</v>
      </c>
      <c r="N1457" s="5">
        <f t="shared" si="204"/>
        <v>9.5663025981978416E-7</v>
      </c>
      <c r="O1457" s="5">
        <f t="shared" si="205"/>
        <v>6.2544357098681641E-7</v>
      </c>
      <c r="P1457" s="5">
        <f t="shared" si="206"/>
        <v>2.1792616919339855E-7</v>
      </c>
      <c r="Q1457" s="1">
        <f t="shared" si="202"/>
        <v>1.7999999999999991E-6</v>
      </c>
    </row>
    <row r="1458" spans="1:17" x14ac:dyDescent="0.25">
      <c r="A1458" s="1">
        <v>72.8</v>
      </c>
      <c r="B1458" s="1">
        <v>5.5948999999999999E-3</v>
      </c>
      <c r="C1458" s="1">
        <v>3.9574E-4</v>
      </c>
      <c r="D1458" s="1">
        <v>3.2024999999999998E-2</v>
      </c>
      <c r="E1458" s="1">
        <v>4.0138999999999999E-3</v>
      </c>
      <c r="F1458" s="1">
        <v>2.3242000000000001E-7</v>
      </c>
      <c r="G1458" s="1">
        <v>6.7171000000000003</v>
      </c>
      <c r="H1458" s="1">
        <v>1.9546E-7</v>
      </c>
      <c r="I1458" s="1">
        <f t="shared" si="198"/>
        <v>1.9546E-7</v>
      </c>
      <c r="J1458" s="4">
        <f t="shared" si="199"/>
        <v>-5.2162101742432652E-9</v>
      </c>
      <c r="K1458" s="4">
        <f t="shared" si="200"/>
        <v>-1.2196149634242227E-8</v>
      </c>
      <c r="L1458" s="4">
        <f t="shared" si="201"/>
        <v>-3.7310511976510215E-9</v>
      </c>
      <c r="M1458" s="4">
        <f t="shared" si="203"/>
        <v>-4.4721065032513164E-9</v>
      </c>
      <c r="N1458" s="5">
        <f t="shared" si="204"/>
        <v>9.5987914808213199E-7</v>
      </c>
      <c r="O1458" s="5">
        <f t="shared" si="205"/>
        <v>6.2293573803006876E-7</v>
      </c>
      <c r="P1458" s="5">
        <f t="shared" si="206"/>
        <v>2.1718511388779827E-7</v>
      </c>
      <c r="Q1458" s="1">
        <f t="shared" si="202"/>
        <v>1.7999999999999991E-6</v>
      </c>
    </row>
    <row r="1459" spans="1:17" x14ac:dyDescent="0.25">
      <c r="A1459" s="1">
        <v>72.849999999999994</v>
      </c>
      <c r="B1459" s="1">
        <v>5.5865000000000003E-3</v>
      </c>
      <c r="C1459" s="1">
        <v>3.9386E-4</v>
      </c>
      <c r="D1459" s="1">
        <v>3.2030000000000003E-2</v>
      </c>
      <c r="E1459" s="1">
        <v>4.0030999999999999E-3</v>
      </c>
      <c r="F1459" s="1">
        <v>2.3134000000000001E-7</v>
      </c>
      <c r="G1459" s="1">
        <v>6.7171000000000003</v>
      </c>
      <c r="H1459" s="1">
        <v>1.9548E-7</v>
      </c>
      <c r="I1459" s="1">
        <f t="shared" si="198"/>
        <v>1.9548E-7</v>
      </c>
      <c r="J1459" s="4">
        <f t="shared" si="199"/>
        <v>-5.1851765837429701E-9</v>
      </c>
      <c r="K1459" s="4">
        <f t="shared" si="200"/>
        <v>-1.2147246891585651E-8</v>
      </c>
      <c r="L1459" s="4">
        <f t="shared" si="201"/>
        <v>-3.7162480940266112E-9</v>
      </c>
      <c r="M1459" s="4">
        <f t="shared" si="203"/>
        <v>-4.4573552478531964E-9</v>
      </c>
      <c r="N1459" s="5">
        <f t="shared" si="204"/>
        <v>9.6312497029594832E-7</v>
      </c>
      <c r="O1459" s="5">
        <f t="shared" si="205"/>
        <v>6.2043102297007931E-7</v>
      </c>
      <c r="P1459" s="5">
        <f t="shared" si="206"/>
        <v>2.164440067339717E-7</v>
      </c>
      <c r="Q1459" s="1">
        <f t="shared" si="202"/>
        <v>1.7999999999999993E-6</v>
      </c>
    </row>
    <row r="1460" spans="1:17" x14ac:dyDescent="0.25">
      <c r="A1460" s="1">
        <v>72.900000000000006</v>
      </c>
      <c r="B1460" s="1">
        <v>5.5782000000000002E-3</v>
      </c>
      <c r="C1460" s="1">
        <v>3.9198E-4</v>
      </c>
      <c r="D1460" s="1">
        <v>3.2035000000000001E-2</v>
      </c>
      <c r="E1460" s="1">
        <v>3.9922999999999998E-3</v>
      </c>
      <c r="F1460" s="1">
        <v>2.3027000000000001E-7</v>
      </c>
      <c r="G1460" s="1">
        <v>6.7169999999999996</v>
      </c>
      <c r="H1460" s="1">
        <v>1.955E-7</v>
      </c>
      <c r="I1460" s="1">
        <f t="shared" si="198"/>
        <v>1.955E-7</v>
      </c>
      <c r="J1460" s="4">
        <f t="shared" si="199"/>
        <v>-5.1544710547554479E-9</v>
      </c>
      <c r="K1460" s="4">
        <f t="shared" si="200"/>
        <v>-1.2098404947919298E-8</v>
      </c>
      <c r="L1460" s="4">
        <f t="shared" si="201"/>
        <v>-3.7015013304685676E-9</v>
      </c>
      <c r="M1460" s="4">
        <f t="shared" si="203"/>
        <v>-4.4425998158184729E-9</v>
      </c>
      <c r="N1460" s="5">
        <f t="shared" si="204"/>
        <v>9.6636740285864353E-7</v>
      </c>
      <c r="O1460" s="5">
        <f t="shared" si="205"/>
        <v>6.1792968889273393E-7</v>
      </c>
      <c r="P1460" s="5">
        <f t="shared" si="206"/>
        <v>2.1570290824862179E-7</v>
      </c>
      <c r="Q1460" s="1">
        <f t="shared" si="202"/>
        <v>1.7999999999999993E-6</v>
      </c>
    </row>
    <row r="1461" spans="1:17" x14ac:dyDescent="0.25">
      <c r="A1461" s="1">
        <v>72.95</v>
      </c>
      <c r="B1461" s="1">
        <v>5.5697999999999998E-3</v>
      </c>
      <c r="C1461" s="1">
        <v>3.9011999999999999E-4</v>
      </c>
      <c r="D1461" s="1">
        <v>3.2039999999999999E-2</v>
      </c>
      <c r="E1461" s="1">
        <v>3.9814999999999998E-3</v>
      </c>
      <c r="F1461" s="1">
        <v>2.2919999999999999E-7</v>
      </c>
      <c r="G1461" s="1">
        <v>6.7169999999999996</v>
      </c>
      <c r="H1461" s="1">
        <v>1.9551999999999999E-7</v>
      </c>
      <c r="I1461" s="1">
        <f t="shared" si="198"/>
        <v>1.9551999999999999E-7</v>
      </c>
      <c r="J1461" s="4">
        <f t="shared" si="199"/>
        <v>-5.1240928890838041E-9</v>
      </c>
      <c r="K1461" s="4">
        <f t="shared" si="200"/>
        <v>-1.2049628933407627E-8</v>
      </c>
      <c r="L1461" s="4">
        <f t="shared" si="201"/>
        <v>-3.6868112029582869E-9</v>
      </c>
      <c r="M1461" s="4">
        <f t="shared" si="203"/>
        <v>-4.4278414490733318E-9</v>
      </c>
      <c r="N1461" s="5">
        <f t="shared" si="204"/>
        <v>9.6960612770000888E-7</v>
      </c>
      <c r="O1461" s="5">
        <f t="shared" si="205"/>
        <v>6.1543199429748346E-7</v>
      </c>
      <c r="P1461" s="5">
        <f t="shared" si="206"/>
        <v>2.1496187800250674E-7</v>
      </c>
      <c r="Q1461" s="1">
        <f t="shared" si="202"/>
        <v>1.7999999999999993E-6</v>
      </c>
    </row>
    <row r="1462" spans="1:17" x14ac:dyDescent="0.25">
      <c r="A1462" s="1">
        <v>73</v>
      </c>
      <c r="B1462" s="1">
        <v>5.5614999999999996E-3</v>
      </c>
      <c r="C1462" s="1">
        <v>3.8828000000000002E-4</v>
      </c>
      <c r="D1462" s="1">
        <v>3.2045999999999998E-2</v>
      </c>
      <c r="E1462" s="1">
        <v>3.9708E-3</v>
      </c>
      <c r="F1462" s="1">
        <v>2.2812999999999999E-7</v>
      </c>
      <c r="G1462" s="1">
        <v>6.7168999999999999</v>
      </c>
      <c r="H1462" s="1">
        <v>1.9553E-7</v>
      </c>
      <c r="I1462" s="1">
        <f t="shared" si="198"/>
        <v>1.9553E-7</v>
      </c>
      <c r="J1462" s="4">
        <f t="shared" si="199"/>
        <v>-5.0935969648255702E-9</v>
      </c>
      <c r="K1462" s="4">
        <f t="shared" si="200"/>
        <v>-1.2000923888800244E-8</v>
      </c>
      <c r="L1462" s="4">
        <f t="shared" si="201"/>
        <v>-3.672017831986473E-9</v>
      </c>
      <c r="M1462" s="4">
        <f t="shared" si="203"/>
        <v>-4.4130813706400107E-9</v>
      </c>
      <c r="N1462" s="5">
        <f t="shared" si="204"/>
        <v>9.7284143679199697E-7</v>
      </c>
      <c r="O1462" s="5">
        <f t="shared" si="205"/>
        <v>6.1293774874414885E-7</v>
      </c>
      <c r="P1462" s="5">
        <f t="shared" si="206"/>
        <v>2.142208144638532E-7</v>
      </c>
      <c r="Q1462" s="1">
        <f t="shared" si="202"/>
        <v>1.7999999999999991E-6</v>
      </c>
    </row>
    <row r="1463" spans="1:17" x14ac:dyDescent="0.25">
      <c r="A1463" s="1">
        <v>73.05</v>
      </c>
      <c r="B1463" s="1">
        <v>5.5532000000000003E-3</v>
      </c>
      <c r="C1463" s="1">
        <v>3.8643999999999999E-4</v>
      </c>
      <c r="D1463" s="1">
        <v>3.2051000000000003E-2</v>
      </c>
      <c r="E1463" s="1">
        <v>3.9601000000000003E-3</v>
      </c>
      <c r="F1463" s="1">
        <v>2.2707999999999999E-7</v>
      </c>
      <c r="G1463" s="1">
        <v>6.7168999999999999</v>
      </c>
      <c r="H1463" s="1">
        <v>1.9555E-7</v>
      </c>
      <c r="I1463" s="1">
        <f t="shared" si="198"/>
        <v>1.9555E-7</v>
      </c>
      <c r="J1463" s="4">
        <f t="shared" si="199"/>
        <v>-5.0629875731585596E-9</v>
      </c>
      <c r="K1463" s="4">
        <f t="shared" si="200"/>
        <v>-1.1952286100510225E-8</v>
      </c>
      <c r="L1463" s="4">
        <f t="shared" si="201"/>
        <v>-3.6572156612596654E-9</v>
      </c>
      <c r="M1463" s="4">
        <f t="shared" si="203"/>
        <v>-4.398092564472058E-9</v>
      </c>
      <c r="N1463" s="5">
        <f t="shared" si="204"/>
        <v>9.7607351965808873E-7</v>
      </c>
      <c r="O1463" s="5">
        <f t="shared" si="205"/>
        <v>6.1044654278126928E-7</v>
      </c>
      <c r="P1463" s="5">
        <f t="shared" si="206"/>
        <v>2.1347993756064082E-7</v>
      </c>
      <c r="Q1463" s="1">
        <f t="shared" si="202"/>
        <v>1.7999999999999989E-6</v>
      </c>
    </row>
    <row r="1464" spans="1:17" x14ac:dyDescent="0.25">
      <c r="A1464" s="1">
        <v>73.099999999999994</v>
      </c>
      <c r="B1464" s="1">
        <v>5.5449999999999996E-3</v>
      </c>
      <c r="C1464" s="1">
        <v>3.8461000000000002E-4</v>
      </c>
      <c r="D1464" s="1">
        <v>3.2056000000000001E-2</v>
      </c>
      <c r="E1464" s="1">
        <v>3.9494999999999999E-3</v>
      </c>
      <c r="F1464" s="1">
        <v>2.2602999999999999E-7</v>
      </c>
      <c r="G1464" s="1">
        <v>6.7168000000000001</v>
      </c>
      <c r="H1464" s="1">
        <v>1.9557E-7</v>
      </c>
      <c r="I1464" s="1">
        <f t="shared" si="198"/>
        <v>1.9557E-7</v>
      </c>
      <c r="J1464" s="4">
        <f t="shared" si="199"/>
        <v>-5.03315496315633E-9</v>
      </c>
      <c r="K1464" s="4">
        <f t="shared" si="200"/>
        <v>-1.1903707584234075E-8</v>
      </c>
      <c r="L1464" s="4">
        <f t="shared" si="201"/>
        <v>-3.6426350811969719E-9</v>
      </c>
      <c r="M1464" s="4">
        <f t="shared" si="203"/>
        <v>-4.3833301879479988E-9</v>
      </c>
      <c r="N1464" s="5">
        <f t="shared" si="204"/>
        <v>9.7930143719796951E-7</v>
      </c>
      <c r="O1464" s="5">
        <f t="shared" si="205"/>
        <v>6.0795932034813961E-7</v>
      </c>
      <c r="P1464" s="5">
        <f t="shared" si="206"/>
        <v>2.1273924245388979E-7</v>
      </c>
      <c r="Q1464" s="1">
        <f t="shared" si="202"/>
        <v>1.7999999999999989E-6</v>
      </c>
    </row>
    <row r="1465" spans="1:17" x14ac:dyDescent="0.25">
      <c r="A1465" s="1">
        <v>73.150000000000006</v>
      </c>
      <c r="B1465" s="1">
        <v>5.5367000000000003E-3</v>
      </c>
      <c r="C1465" s="1">
        <v>3.8278999999999999E-4</v>
      </c>
      <c r="D1465" s="1">
        <v>3.2060999999999999E-2</v>
      </c>
      <c r="E1465" s="1">
        <v>3.9388000000000001E-3</v>
      </c>
      <c r="F1465" s="1">
        <v>2.2497999999999999E-7</v>
      </c>
      <c r="G1465" s="1">
        <v>6.7168000000000001</v>
      </c>
      <c r="H1465" s="1">
        <v>1.9558999999999999E-7</v>
      </c>
      <c r="I1465" s="1">
        <f t="shared" si="198"/>
        <v>1.9558999999999999E-7</v>
      </c>
      <c r="J1465" s="4">
        <f t="shared" si="199"/>
        <v>-5.0032080415194552E-9</v>
      </c>
      <c r="K1465" s="4">
        <f t="shared" si="200"/>
        <v>-1.1855206746791419E-8</v>
      </c>
      <c r="L1465" s="4">
        <f t="shared" si="201"/>
        <v>-3.6280452224891179E-9</v>
      </c>
      <c r="M1465" s="4">
        <f t="shared" si="203"/>
        <v>-4.3685684329052521E-9</v>
      </c>
      <c r="N1465" s="5">
        <f t="shared" si="204"/>
        <v>9.8252539068075244E-7</v>
      </c>
      <c r="O1465" s="5">
        <f t="shared" si="205"/>
        <v>6.0547589007577288E-7</v>
      </c>
      <c r="P1465" s="5">
        <f t="shared" si="206"/>
        <v>2.1199871924347367E-7</v>
      </c>
      <c r="Q1465" s="1">
        <f t="shared" si="202"/>
        <v>1.7999999999999989E-6</v>
      </c>
    </row>
    <row r="1466" spans="1:17" x14ac:dyDescent="0.25">
      <c r="A1466" s="1">
        <v>73.2</v>
      </c>
      <c r="B1466" s="1">
        <v>5.5285000000000004E-3</v>
      </c>
      <c r="C1466" s="1">
        <v>3.8099E-4</v>
      </c>
      <c r="D1466" s="1">
        <v>3.2065999999999997E-2</v>
      </c>
      <c r="E1466" s="1">
        <v>3.9281999999999997E-3</v>
      </c>
      <c r="F1466" s="1">
        <v>2.2394000000000001E-7</v>
      </c>
      <c r="G1466" s="1">
        <v>6.7167000000000003</v>
      </c>
      <c r="H1466" s="1">
        <v>1.9560999999999999E-7</v>
      </c>
      <c r="I1466" s="1">
        <f t="shared" si="198"/>
        <v>1.9560999999999999E-7</v>
      </c>
      <c r="J1466" s="4">
        <f t="shared" si="199"/>
        <v>-4.9731505567704296E-9</v>
      </c>
      <c r="K1466" s="4">
        <f t="shared" si="200"/>
        <v>-1.18067798564769E-8</v>
      </c>
      <c r="L1466" s="4">
        <f t="shared" si="201"/>
        <v>-3.6132642218855265E-9</v>
      </c>
      <c r="M1466" s="4">
        <f t="shared" si="203"/>
        <v>-4.3538070971670092E-9</v>
      </c>
      <c r="N1466" s="5">
        <f t="shared" si="204"/>
        <v>9.8574575575857349E-7</v>
      </c>
      <c r="O1466" s="5">
        <f t="shared" si="205"/>
        <v>6.0299606787323338E-7</v>
      </c>
      <c r="P1466" s="5">
        <f t="shared" si="206"/>
        <v>2.1125817636819217E-7</v>
      </c>
      <c r="Q1466" s="1">
        <f t="shared" si="202"/>
        <v>1.7999999999999991E-6</v>
      </c>
    </row>
    <row r="1467" spans="1:17" x14ac:dyDescent="0.25">
      <c r="A1467" s="1">
        <v>73.25</v>
      </c>
      <c r="B1467" s="1">
        <v>5.5202999999999997E-3</v>
      </c>
      <c r="C1467" s="1">
        <v>3.7919000000000001E-4</v>
      </c>
      <c r="D1467" s="1">
        <v>3.2071000000000002E-2</v>
      </c>
      <c r="E1467" s="1">
        <v>3.9176999999999997E-3</v>
      </c>
      <c r="F1467" s="1">
        <v>2.2291E-7</v>
      </c>
      <c r="G1467" s="1">
        <v>6.7167000000000003</v>
      </c>
      <c r="H1467" s="1">
        <v>1.9563000000000001E-7</v>
      </c>
      <c r="I1467" s="1">
        <f t="shared" si="198"/>
        <v>1.9563000000000001E-7</v>
      </c>
      <c r="J1467" s="4">
        <f t="shared" si="199"/>
        <v>-4.9434285743709305E-9</v>
      </c>
      <c r="K1467" s="4">
        <f t="shared" si="200"/>
        <v>-1.1758423323527383E-8</v>
      </c>
      <c r="L1467" s="4">
        <f t="shared" si="201"/>
        <v>-3.5986389623225927E-9</v>
      </c>
      <c r="M1467" s="4">
        <f t="shared" si="203"/>
        <v>-4.3390422473348706E-9</v>
      </c>
      <c r="N1467" s="5">
        <f t="shared" si="204"/>
        <v>9.8896211154540734E-7</v>
      </c>
      <c r="O1467" s="5">
        <f t="shared" si="205"/>
        <v>6.005201153714118E-7</v>
      </c>
      <c r="P1467" s="5">
        <f t="shared" si="206"/>
        <v>2.1051777308317988E-7</v>
      </c>
      <c r="Q1467" s="1">
        <f t="shared" si="202"/>
        <v>1.7999999999999989E-6</v>
      </c>
    </row>
    <row r="1468" spans="1:17" x14ac:dyDescent="0.25">
      <c r="A1468" s="1">
        <v>73.3</v>
      </c>
      <c r="B1468" s="1">
        <v>5.5120999999999998E-3</v>
      </c>
      <c r="C1468" s="1">
        <v>3.7741000000000001E-4</v>
      </c>
      <c r="D1468" s="1">
        <v>3.2076E-2</v>
      </c>
      <c r="E1468" s="1">
        <v>3.9072000000000004E-3</v>
      </c>
      <c r="F1468" s="1">
        <v>2.2188E-7</v>
      </c>
      <c r="G1468" s="1">
        <v>6.7167000000000003</v>
      </c>
      <c r="H1468" s="1">
        <v>1.9565000000000001E-7</v>
      </c>
      <c r="I1468" s="1">
        <f t="shared" si="198"/>
        <v>1.9565000000000001E-7</v>
      </c>
      <c r="J1468" s="4">
        <f t="shared" si="199"/>
        <v>-4.9140407916474436E-9</v>
      </c>
      <c r="K1468" s="4">
        <f t="shared" si="200"/>
        <v>-1.1710142249741865E-8</v>
      </c>
      <c r="L1468" s="4">
        <f t="shared" si="201"/>
        <v>-3.5841689955212568E-9</v>
      </c>
      <c r="M1468" s="4">
        <f t="shared" si="203"/>
        <v>-4.3242771545673152E-9</v>
      </c>
      <c r="N1468" s="5">
        <f t="shared" si="204"/>
        <v>9.9217404400798061E-7</v>
      </c>
      <c r="O1468" s="5">
        <f t="shared" si="205"/>
        <v>5.9804829106788469E-7</v>
      </c>
      <c r="P1468" s="5">
        <f t="shared" si="206"/>
        <v>2.0977766492413382E-7</v>
      </c>
      <c r="Q1468" s="1">
        <f t="shared" si="202"/>
        <v>1.7999999999999991E-6</v>
      </c>
    </row>
    <row r="1469" spans="1:17" x14ac:dyDescent="0.25">
      <c r="A1469" s="1">
        <v>73.349999999999994</v>
      </c>
      <c r="B1469" s="1">
        <v>5.5040000000000002E-3</v>
      </c>
      <c r="C1469" s="1">
        <v>3.7563000000000001E-4</v>
      </c>
      <c r="D1469" s="1">
        <v>3.2080999999999998E-2</v>
      </c>
      <c r="E1469" s="1">
        <v>3.8966999999999999E-3</v>
      </c>
      <c r="F1469" s="1">
        <v>2.2086000000000001E-7</v>
      </c>
      <c r="G1469" s="1">
        <v>6.7165999999999997</v>
      </c>
      <c r="H1469" s="1">
        <v>1.9565999999999999E-7</v>
      </c>
      <c r="I1469" s="1">
        <f t="shared" si="198"/>
        <v>1.9565999999999999E-7</v>
      </c>
      <c r="J1469" s="4">
        <f t="shared" si="199"/>
        <v>-4.8845456839128032E-9</v>
      </c>
      <c r="K1469" s="4">
        <f t="shared" si="200"/>
        <v>-1.1661941675823089E-8</v>
      </c>
      <c r="L1469" s="4">
        <f t="shared" si="201"/>
        <v>-3.5696016819525886E-9</v>
      </c>
      <c r="M1469" s="4">
        <f t="shared" si="203"/>
        <v>-4.3095150149524669E-9</v>
      </c>
      <c r="N1469" s="5">
        <f t="shared" si="204"/>
        <v>9.9538183831793848E-7</v>
      </c>
      <c r="O1469" s="5">
        <f t="shared" si="205"/>
        <v>5.9558041009092692E-7</v>
      </c>
      <c r="P1469" s="5">
        <f t="shared" si="206"/>
        <v>2.0903775159113394E-7</v>
      </c>
      <c r="Q1469" s="1">
        <f t="shared" si="202"/>
        <v>1.7999999999999993E-6</v>
      </c>
    </row>
    <row r="1470" spans="1:17" x14ac:dyDescent="0.25">
      <c r="A1470" s="1">
        <v>73.400000000000006</v>
      </c>
      <c r="B1470" s="1">
        <v>5.4958000000000003E-3</v>
      </c>
      <c r="C1470" s="1">
        <v>3.7387E-4</v>
      </c>
      <c r="D1470" s="1">
        <v>3.2086000000000003E-2</v>
      </c>
      <c r="E1470" s="1">
        <v>3.8861999999999998E-3</v>
      </c>
      <c r="F1470" s="1">
        <v>2.1985E-7</v>
      </c>
      <c r="G1470" s="1">
        <v>6.7165999999999997</v>
      </c>
      <c r="H1470" s="1">
        <v>1.9567999999999999E-7</v>
      </c>
      <c r="I1470" s="1">
        <f t="shared" si="198"/>
        <v>1.9567999999999999E-7</v>
      </c>
      <c r="J1470" s="4">
        <f t="shared" si="199"/>
        <v>-4.8553869646626395E-9</v>
      </c>
      <c r="K1470" s="4">
        <f t="shared" si="200"/>
        <v>-1.1613817996775717E-8</v>
      </c>
      <c r="L1470" s="4">
        <f t="shared" si="201"/>
        <v>-3.5551002217958778E-9</v>
      </c>
      <c r="M1470" s="4">
        <f t="shared" si="203"/>
        <v>-4.2945342800147094E-9</v>
      </c>
      <c r="N1470" s="5">
        <f t="shared" si="204"/>
        <v>9.9858516912825577E-7</v>
      </c>
      <c r="O1470" s="5">
        <f t="shared" si="205"/>
        <v>5.9311651333882849E-7</v>
      </c>
      <c r="P1470" s="5">
        <f t="shared" si="206"/>
        <v>2.0829831753291508E-7</v>
      </c>
      <c r="Q1470" s="1">
        <f t="shared" si="202"/>
        <v>1.7999999999999995E-6</v>
      </c>
    </row>
    <row r="1471" spans="1:17" x14ac:dyDescent="0.25">
      <c r="A1471" s="1">
        <v>73.45</v>
      </c>
      <c r="B1471" s="1">
        <v>5.4876999999999999E-3</v>
      </c>
      <c r="C1471" s="1">
        <v>3.7211999999999998E-4</v>
      </c>
      <c r="D1471" s="1">
        <v>3.2091000000000001E-2</v>
      </c>
      <c r="E1471" s="1">
        <v>3.8758E-3</v>
      </c>
      <c r="F1471" s="1">
        <v>2.1883999999999999E-7</v>
      </c>
      <c r="G1471" s="1">
        <v>6.7164999999999999</v>
      </c>
      <c r="H1471" s="1">
        <v>1.9570000000000001E-7</v>
      </c>
      <c r="I1471" s="1">
        <f t="shared" si="198"/>
        <v>1.9570000000000001E-7</v>
      </c>
      <c r="J1471" s="4">
        <f t="shared" si="199"/>
        <v>-4.826563803280867E-9</v>
      </c>
      <c r="K1471" s="4">
        <f t="shared" si="200"/>
        <v>-1.1565772010106499E-8</v>
      </c>
      <c r="L1471" s="4">
        <f t="shared" si="201"/>
        <v>-3.5406649009364089E-9</v>
      </c>
      <c r="M1471" s="4">
        <f t="shared" si="203"/>
        <v>-4.2797805513580424E-9</v>
      </c>
      <c r="N1471" s="5">
        <f t="shared" si="204"/>
        <v>1.0017837124341451E-6</v>
      </c>
      <c r="O1471" s="5">
        <f t="shared" si="205"/>
        <v>5.9065708568336086E-7</v>
      </c>
      <c r="P1471" s="5">
        <f t="shared" si="206"/>
        <v>2.0755920188249345E-7</v>
      </c>
      <c r="Q1471" s="1">
        <f t="shared" si="202"/>
        <v>1.7999999999999995E-6</v>
      </c>
    </row>
    <row r="1472" spans="1:17" x14ac:dyDescent="0.25">
      <c r="A1472" s="1">
        <v>73.5</v>
      </c>
      <c r="B1472" s="1">
        <v>5.4796000000000003E-3</v>
      </c>
      <c r="C1472" s="1">
        <v>3.7038000000000001E-4</v>
      </c>
      <c r="D1472" s="1">
        <v>3.2094999999999999E-2</v>
      </c>
      <c r="E1472" s="1">
        <v>3.8654000000000002E-3</v>
      </c>
      <c r="F1472" s="1">
        <v>2.1784E-7</v>
      </c>
      <c r="G1472" s="1">
        <v>6.7164999999999999</v>
      </c>
      <c r="H1472" s="1">
        <v>1.9572000000000001E-7</v>
      </c>
      <c r="I1472" s="1">
        <f t="shared" si="198"/>
        <v>1.9572000000000001E-7</v>
      </c>
      <c r="J1472" s="4">
        <f t="shared" si="199"/>
        <v>-4.7976369275146959E-9</v>
      </c>
      <c r="K1472" s="4">
        <f t="shared" si="200"/>
        <v>-1.1517813170824883E-8</v>
      </c>
      <c r="L1472" s="4">
        <f t="shared" si="201"/>
        <v>-3.5262258725642042E-9</v>
      </c>
      <c r="M1472" s="4">
        <f t="shared" si="203"/>
        <v>-4.2650302598821748E-9</v>
      </c>
      <c r="N1472" s="5">
        <f t="shared" si="204"/>
        <v>1.0049776628048911E-6</v>
      </c>
      <c r="O1472" s="5">
        <f t="shared" si="205"/>
        <v>5.8820193969993284E-7</v>
      </c>
      <c r="P1472" s="5">
        <f t="shared" si="206"/>
        <v>2.0682039749517549E-7</v>
      </c>
      <c r="Q1472" s="1">
        <f t="shared" si="202"/>
        <v>1.7999999999999995E-6</v>
      </c>
    </row>
    <row r="1473" spans="1:17" x14ac:dyDescent="0.25">
      <c r="A1473" s="1">
        <v>73.55</v>
      </c>
      <c r="B1473" s="1">
        <v>5.4714999999999998E-3</v>
      </c>
      <c r="C1473" s="1">
        <v>3.6864999999999999E-4</v>
      </c>
      <c r="D1473" s="1">
        <v>3.2099999999999997E-2</v>
      </c>
      <c r="E1473" s="1">
        <v>3.8549999999999999E-3</v>
      </c>
      <c r="F1473" s="1">
        <v>2.1684E-7</v>
      </c>
      <c r="G1473" s="1">
        <v>6.7164000000000001</v>
      </c>
      <c r="H1473" s="1">
        <v>1.9574E-7</v>
      </c>
      <c r="I1473" s="1">
        <f t="shared" si="198"/>
        <v>1.9574E-7</v>
      </c>
      <c r="J1473" s="4">
        <f t="shared" si="199"/>
        <v>-4.7690476932807828E-9</v>
      </c>
      <c r="K1473" s="4">
        <f t="shared" si="200"/>
        <v>-1.1469937824148039E-8</v>
      </c>
      <c r="L1473" s="4">
        <f t="shared" si="201"/>
        <v>-3.5118550017201291E-9</v>
      </c>
      <c r="M1473" s="4">
        <f t="shared" si="203"/>
        <v>-4.2502832607641122E-9</v>
      </c>
      <c r="N1473" s="5">
        <f t="shared" si="204"/>
        <v>1.0081666979340382E-6</v>
      </c>
      <c r="O1473" s="5">
        <f t="shared" si="205"/>
        <v>5.8575133282982974E-7</v>
      </c>
      <c r="P1473" s="5">
        <f t="shared" si="206"/>
        <v>2.060819692361315E-7</v>
      </c>
      <c r="Q1473" s="1">
        <f t="shared" si="202"/>
        <v>1.7999999999999995E-6</v>
      </c>
    </row>
    <row r="1474" spans="1:17" x14ac:dyDescent="0.25">
      <c r="A1474" s="1">
        <v>73.599999999999994</v>
      </c>
      <c r="B1474" s="1">
        <v>5.4634999999999996E-3</v>
      </c>
      <c r="C1474" s="1">
        <v>3.6693000000000001E-4</v>
      </c>
      <c r="D1474" s="1">
        <v>3.2105000000000002E-2</v>
      </c>
      <c r="E1474" s="1">
        <v>3.8446000000000001E-3</v>
      </c>
      <c r="F1474" s="1">
        <v>2.1584999999999999E-7</v>
      </c>
      <c r="G1474" s="1">
        <v>6.7164000000000001</v>
      </c>
      <c r="H1474" s="1">
        <v>1.9574999999999999E-7</v>
      </c>
      <c r="I1474" s="1">
        <f t="shared" si="198"/>
        <v>1.9574999999999999E-7</v>
      </c>
      <c r="J1474" s="4">
        <f t="shared" si="199"/>
        <v>-4.7403580352576163E-9</v>
      </c>
      <c r="K1474" s="4">
        <f t="shared" si="200"/>
        <v>-1.142215099018103E-8</v>
      </c>
      <c r="L1474" s="4">
        <f t="shared" si="201"/>
        <v>-3.4973912994632062E-9</v>
      </c>
      <c r="M1474" s="4">
        <f t="shared" si="203"/>
        <v>-4.2355408891191991E-9</v>
      </c>
      <c r="N1474" s="5">
        <f t="shared" si="204"/>
        <v>1.0113510995894984E-6</v>
      </c>
      <c r="O1474" s="5">
        <f t="shared" si="205"/>
        <v>5.8330508076402562E-7</v>
      </c>
      <c r="P1474" s="5">
        <f t="shared" si="206"/>
        <v>2.0534381964647552E-7</v>
      </c>
      <c r="Q1474" s="1">
        <f t="shared" si="202"/>
        <v>1.7999999999999995E-6</v>
      </c>
    </row>
    <row r="1475" spans="1:17" x14ac:dyDescent="0.25">
      <c r="A1475" s="1">
        <v>73.650000000000006</v>
      </c>
      <c r="B1475" s="1">
        <v>5.4554E-3</v>
      </c>
      <c r="C1475" s="1">
        <v>3.6521999999999998E-4</v>
      </c>
      <c r="D1475" s="1">
        <v>3.211E-2</v>
      </c>
      <c r="E1475" s="1">
        <v>3.8343000000000001E-3</v>
      </c>
      <c r="F1475" s="1">
        <v>2.1486999999999999E-7</v>
      </c>
      <c r="G1475" s="1">
        <v>6.7164000000000001</v>
      </c>
      <c r="H1475" s="1">
        <v>1.9577000000000001E-7</v>
      </c>
      <c r="I1475" s="1">
        <f t="shared" ref="I1475:I1538" si="207">H1475</f>
        <v>1.9577000000000001E-7</v>
      </c>
      <c r="J1475" s="4">
        <f t="shared" ref="J1475:J1538" si="208">(-$T$4*F1474^2*N1474)*(A1475-A1474)</f>
        <v>-4.7120084106604693E-9</v>
      </c>
      <c r="K1475" s="4">
        <f t="shared" ref="K1475:K1538" si="209">-O1474*$T$7*(A1475-A1474)</f>
        <v>-1.1374449074901086E-8</v>
      </c>
      <c r="L1475" s="4">
        <f t="shared" ref="L1475:L1538" si="210">-$T$5*F1474*E1474*(A1475-A1474)*N1474</f>
        <v>-3.4829982984871325E-9</v>
      </c>
      <c r="M1475" s="4">
        <f t="shared" si="203"/>
        <v>-4.2205855330597055E-9</v>
      </c>
      <c r="N1475" s="5">
        <f t="shared" si="204"/>
        <v>1.0145305419552519E-6</v>
      </c>
      <c r="O1475" s="5">
        <f t="shared" si="205"/>
        <v>5.8086322563284471E-7</v>
      </c>
      <c r="P1475" s="5">
        <f t="shared" si="206"/>
        <v>2.0460623241190296E-7</v>
      </c>
      <c r="Q1475" s="1">
        <f t="shared" ref="Q1475:Q1538" si="211">N1475+O1475+P1475</f>
        <v>1.7999999999999995E-6</v>
      </c>
    </row>
    <row r="1476" spans="1:17" x14ac:dyDescent="0.25">
      <c r="A1476" s="1">
        <v>73.7</v>
      </c>
      <c r="B1476" s="1">
        <v>5.4473999999999998E-3</v>
      </c>
      <c r="C1476" s="1">
        <v>3.6351999999999999E-4</v>
      </c>
      <c r="D1476" s="1">
        <v>3.2114999999999998E-2</v>
      </c>
      <c r="E1476" s="1">
        <v>3.8241E-3</v>
      </c>
      <c r="F1476" s="1">
        <v>2.1388999999999999E-7</v>
      </c>
      <c r="G1476" s="1">
        <v>6.7163000000000004</v>
      </c>
      <c r="H1476" s="1">
        <v>1.9579000000000001E-7</v>
      </c>
      <c r="I1476" s="1">
        <f t="shared" si="207"/>
        <v>1.9579000000000001E-7</v>
      </c>
      <c r="J1476" s="4">
        <f t="shared" si="208"/>
        <v>-4.6839979190149724E-9</v>
      </c>
      <c r="K1476" s="4">
        <f t="shared" si="209"/>
        <v>-1.1326832899839829E-8</v>
      </c>
      <c r="L1476" s="4">
        <f t="shared" si="210"/>
        <v>-3.4687667364754634E-9</v>
      </c>
      <c r="M1476" s="4">
        <f t="shared" ref="M1476:M1539" si="212">-P1475*$T$8*I1475*(A1476-A1475)</f>
        <v>-4.2058550225239766E-9</v>
      </c>
      <c r="N1476" s="5">
        <f t="shared" ref="N1476:N1539" si="213">N1475+J1476-K1476+L1476</f>
        <v>1.0177046101996014E-6</v>
      </c>
      <c r="O1476" s="5">
        <f t="shared" ref="O1476:O1539" si="214">-J1476+O1475+K1476-M1476</f>
        <v>5.7842624567454375E-7</v>
      </c>
      <c r="P1476" s="5">
        <f t="shared" ref="P1476:P1539" si="215">P1475-L1476+M1476</f>
        <v>2.0386914412585446E-7</v>
      </c>
      <c r="Q1476" s="1">
        <f t="shared" si="211"/>
        <v>1.7999999999999997E-6</v>
      </c>
    </row>
    <row r="1477" spans="1:17" x14ac:dyDescent="0.25">
      <c r="A1477" s="1">
        <v>73.75</v>
      </c>
      <c r="B1477" s="1">
        <v>5.4393999999999996E-3</v>
      </c>
      <c r="C1477" s="1">
        <v>3.6183E-4</v>
      </c>
      <c r="D1477" s="1">
        <v>3.2120000000000003E-2</v>
      </c>
      <c r="E1477" s="1">
        <v>3.8138E-3</v>
      </c>
      <c r="F1477" s="1">
        <v>2.1292E-7</v>
      </c>
      <c r="G1477" s="1">
        <v>6.7163000000000004</v>
      </c>
      <c r="H1477" s="1">
        <v>1.9581E-7</v>
      </c>
      <c r="I1477" s="1">
        <f t="shared" si="207"/>
        <v>1.9581E-7</v>
      </c>
      <c r="J1477" s="4">
        <f t="shared" si="208"/>
        <v>-4.6558899109875883E-9</v>
      </c>
      <c r="K1477" s="4">
        <f t="shared" si="209"/>
        <v>-1.1279311790652961E-8</v>
      </c>
      <c r="L1477" s="4">
        <f t="shared" si="210"/>
        <v>-3.4545347012820463E-9</v>
      </c>
      <c r="M1477" s="4">
        <f t="shared" si="212"/>
        <v>-4.1911316714818721E-9</v>
      </c>
      <c r="N1477" s="5">
        <f t="shared" si="213"/>
        <v>1.0208734973779848E-6</v>
      </c>
      <c r="O1477" s="5">
        <f t="shared" si="214"/>
        <v>5.7599395546636021E-7</v>
      </c>
      <c r="P1477" s="5">
        <f t="shared" si="215"/>
        <v>2.0313254715565463E-7</v>
      </c>
      <c r="Q1477" s="1">
        <f t="shared" si="211"/>
        <v>1.7999999999999995E-6</v>
      </c>
    </row>
    <row r="1478" spans="1:17" x14ac:dyDescent="0.25">
      <c r="A1478" s="1">
        <v>73.8</v>
      </c>
      <c r="B1478" s="1">
        <v>5.4314999999999997E-3</v>
      </c>
      <c r="C1478" s="1">
        <v>3.6015E-4</v>
      </c>
      <c r="D1478" s="1">
        <v>3.2125000000000001E-2</v>
      </c>
      <c r="E1478" s="1">
        <v>3.8035999999999999E-3</v>
      </c>
      <c r="F1478" s="1">
        <v>2.1194999999999999E-7</v>
      </c>
      <c r="G1478" s="1">
        <v>6.7161999999999997</v>
      </c>
      <c r="H1478" s="1">
        <v>1.9583E-7</v>
      </c>
      <c r="I1478" s="1">
        <f t="shared" si="207"/>
        <v>1.9583E-7</v>
      </c>
      <c r="J1478" s="4">
        <f t="shared" si="208"/>
        <v>-4.6281224867338902E-9</v>
      </c>
      <c r="K1478" s="4">
        <f t="shared" si="209"/>
        <v>-1.1231882131593386E-8</v>
      </c>
      <c r="L1478" s="4">
        <f t="shared" si="210"/>
        <v>-3.4402848107556218E-9</v>
      </c>
      <c r="M1478" s="4">
        <f t="shared" si="212"/>
        <v>-4.1764153261473798E-9</v>
      </c>
      <c r="N1478" s="5">
        <f t="shared" si="213"/>
        <v>1.0240369722120887E-6</v>
      </c>
      <c r="O1478" s="5">
        <f t="shared" si="214"/>
        <v>5.7356661114764812E-7</v>
      </c>
      <c r="P1478" s="5">
        <f t="shared" si="215"/>
        <v>2.0239641664026287E-7</v>
      </c>
      <c r="Q1478" s="1">
        <f t="shared" si="211"/>
        <v>1.7999999999999997E-6</v>
      </c>
    </row>
    <row r="1479" spans="1:17" x14ac:dyDescent="0.25">
      <c r="A1479" s="1">
        <v>73.849999999999994</v>
      </c>
      <c r="B1479" s="1">
        <v>5.4235000000000004E-3</v>
      </c>
      <c r="C1479" s="1">
        <v>3.5848E-4</v>
      </c>
      <c r="D1479" s="1">
        <v>3.2128999999999998E-2</v>
      </c>
      <c r="E1479" s="1">
        <v>3.7934000000000002E-3</v>
      </c>
      <c r="F1479" s="1">
        <v>2.1099000000000001E-7</v>
      </c>
      <c r="G1479" s="1">
        <v>6.7161999999999997</v>
      </c>
      <c r="H1479" s="1">
        <v>1.9584000000000001E-7</v>
      </c>
      <c r="I1479" s="1">
        <f t="shared" si="207"/>
        <v>1.9584000000000001E-7</v>
      </c>
      <c r="J1479" s="4">
        <f t="shared" si="208"/>
        <v>-4.6002610655379032E-9</v>
      </c>
      <c r="K1479" s="4">
        <f t="shared" si="209"/>
        <v>-1.1184548917378503E-8</v>
      </c>
      <c r="L1479" s="4">
        <f t="shared" si="210"/>
        <v>-3.4260365606912888E-9</v>
      </c>
      <c r="M1479" s="4">
        <f t="shared" si="212"/>
        <v>-4.1617054784193449E-9</v>
      </c>
      <c r="N1479" s="5">
        <f t="shared" si="213"/>
        <v>1.027195223503238E-6</v>
      </c>
      <c r="O1479" s="5">
        <f t="shared" si="214"/>
        <v>5.7114402877422694E-7</v>
      </c>
      <c r="P1479" s="5">
        <f t="shared" si="215"/>
        <v>2.016607477225348E-7</v>
      </c>
      <c r="Q1479" s="1">
        <f t="shared" si="211"/>
        <v>1.7999999999999997E-6</v>
      </c>
    </row>
    <row r="1480" spans="1:17" x14ac:dyDescent="0.25">
      <c r="A1480" s="1">
        <v>73.900000000000006</v>
      </c>
      <c r="B1480" s="1">
        <v>5.4155999999999996E-3</v>
      </c>
      <c r="C1480" s="1">
        <v>3.5682999999999998E-4</v>
      </c>
      <c r="D1480" s="1">
        <v>3.2134000000000003E-2</v>
      </c>
      <c r="E1480" s="1">
        <v>3.7832999999999999E-3</v>
      </c>
      <c r="F1480" s="1">
        <v>2.1003000000000001E-7</v>
      </c>
      <c r="G1480" s="1">
        <v>6.7161</v>
      </c>
      <c r="H1480" s="1">
        <v>1.9586000000000001E-7</v>
      </c>
      <c r="I1480" s="1">
        <f t="shared" si="207"/>
        <v>1.9586000000000001E-7</v>
      </c>
      <c r="J1480" s="4">
        <f t="shared" si="208"/>
        <v>-4.5727423884474405E-9</v>
      </c>
      <c r="K1480" s="4">
        <f t="shared" si="209"/>
        <v>-1.1137308561099957E-8</v>
      </c>
      <c r="L1480" s="4">
        <f t="shared" si="210"/>
        <v>-3.4118631239298806E-9</v>
      </c>
      <c r="M1480" s="4">
        <f t="shared" si="212"/>
        <v>-4.1467902875689701E-9</v>
      </c>
      <c r="N1480" s="5">
        <f t="shared" si="213"/>
        <v>1.0303479265519609E-6</v>
      </c>
      <c r="O1480" s="5">
        <f t="shared" si="214"/>
        <v>5.687262528891434E-7</v>
      </c>
      <c r="P1480" s="5">
        <f t="shared" si="215"/>
        <v>2.009258205588957E-7</v>
      </c>
      <c r="Q1480" s="1">
        <f t="shared" si="211"/>
        <v>1.8000000000000001E-6</v>
      </c>
    </row>
    <row r="1481" spans="1:17" x14ac:dyDescent="0.25">
      <c r="A1481" s="1">
        <v>73.95</v>
      </c>
      <c r="B1481" s="1">
        <v>5.4076999999999997E-3</v>
      </c>
      <c r="C1481" s="1">
        <v>3.5518000000000002E-4</v>
      </c>
      <c r="D1481" s="1">
        <v>3.2139000000000001E-2</v>
      </c>
      <c r="E1481" s="1">
        <v>3.7731000000000002E-3</v>
      </c>
      <c r="F1481" s="1">
        <v>2.0907999999999999E-7</v>
      </c>
      <c r="G1481" s="1">
        <v>6.7161</v>
      </c>
      <c r="H1481" s="1">
        <v>1.9588E-7</v>
      </c>
      <c r="I1481" s="1">
        <f t="shared" si="207"/>
        <v>1.9588E-7</v>
      </c>
      <c r="J1481" s="4">
        <f t="shared" si="208"/>
        <v>-4.5451326872126575E-9</v>
      </c>
      <c r="K1481" s="4">
        <f t="shared" si="209"/>
        <v>-1.1090161931337665E-8</v>
      </c>
      <c r="L1481" s="4">
        <f t="shared" si="210"/>
        <v>-3.3976928084776626E-9</v>
      </c>
      <c r="M1481" s="4">
        <f t="shared" si="212"/>
        <v>-4.1320997775396225E-9</v>
      </c>
      <c r="N1481" s="5">
        <f t="shared" si="213"/>
        <v>1.0334952629876083E-6</v>
      </c>
      <c r="O1481" s="5">
        <f t="shared" si="214"/>
        <v>5.6631332342255798E-7</v>
      </c>
      <c r="P1481" s="5">
        <f t="shared" si="215"/>
        <v>2.0019141358983373E-7</v>
      </c>
      <c r="Q1481" s="1">
        <f t="shared" si="211"/>
        <v>1.8000000000000001E-6</v>
      </c>
    </row>
    <row r="1482" spans="1:17" x14ac:dyDescent="0.25">
      <c r="A1482" s="1">
        <v>74</v>
      </c>
      <c r="B1482" s="1">
        <v>5.3997999999999997E-3</v>
      </c>
      <c r="C1482" s="1">
        <v>3.5354000000000001E-4</v>
      </c>
      <c r="D1482" s="1">
        <v>3.2143999999999999E-2</v>
      </c>
      <c r="E1482" s="1">
        <v>3.7629999999999999E-3</v>
      </c>
      <c r="F1482" s="1">
        <v>2.0814000000000001E-7</v>
      </c>
      <c r="G1482" s="1">
        <v>6.7161</v>
      </c>
      <c r="H1482" s="1">
        <v>1.959E-7</v>
      </c>
      <c r="I1482" s="1">
        <f t="shared" si="207"/>
        <v>1.959E-7</v>
      </c>
      <c r="J1482" s="4">
        <f t="shared" si="208"/>
        <v>-4.5178673278523138E-9</v>
      </c>
      <c r="K1482" s="4">
        <f t="shared" si="209"/>
        <v>-1.1043109806739254E-8</v>
      </c>
      <c r="L1482" s="4">
        <f t="shared" si="210"/>
        <v>-3.3835094528929689E-9</v>
      </c>
      <c r="M1482" s="4">
        <f t="shared" si="212"/>
        <v>-4.1174168798673126E-9</v>
      </c>
      <c r="N1482" s="5">
        <f t="shared" si="213"/>
        <v>1.0366369960136024E-6</v>
      </c>
      <c r="O1482" s="5">
        <f t="shared" si="214"/>
        <v>5.6390549782353831E-7</v>
      </c>
      <c r="P1482" s="5">
        <f t="shared" si="215"/>
        <v>1.9945750616285939E-7</v>
      </c>
      <c r="Q1482" s="1">
        <f t="shared" si="211"/>
        <v>1.8000000000000001E-6</v>
      </c>
    </row>
    <row r="1483" spans="1:17" x14ac:dyDescent="0.25">
      <c r="A1483" s="1">
        <v>74.05</v>
      </c>
      <c r="B1483" s="1">
        <v>5.3918999999999998E-3</v>
      </c>
      <c r="C1483" s="1">
        <v>3.5190999999999998E-4</v>
      </c>
      <c r="D1483" s="1">
        <v>3.2148999999999997E-2</v>
      </c>
      <c r="E1483" s="1">
        <v>3.7529999999999998E-3</v>
      </c>
      <c r="F1483" s="1">
        <v>2.072E-7</v>
      </c>
      <c r="G1483" s="1">
        <v>6.7160000000000002</v>
      </c>
      <c r="H1483" s="1">
        <v>1.9592E-7</v>
      </c>
      <c r="I1483" s="1">
        <f t="shared" si="207"/>
        <v>1.9592E-7</v>
      </c>
      <c r="J1483" s="4">
        <f t="shared" si="208"/>
        <v>-4.4909457052262896E-9</v>
      </c>
      <c r="K1483" s="4">
        <f t="shared" si="209"/>
        <v>-1.0996157207558373E-8</v>
      </c>
      <c r="L1483" s="4">
        <f t="shared" si="210"/>
        <v>-3.3694930843846013E-9</v>
      </c>
      <c r="M1483" s="4">
        <f t="shared" si="212"/>
        <v>-4.1027411730167032E-9</v>
      </c>
      <c r="N1483" s="5">
        <f t="shared" si="213"/>
        <v>1.0397727144315498E-6</v>
      </c>
      <c r="O1483" s="5">
        <f t="shared" si="214"/>
        <v>5.6150302749422299E-7</v>
      </c>
      <c r="P1483" s="5">
        <f t="shared" si="215"/>
        <v>1.9872425807422728E-7</v>
      </c>
      <c r="Q1483" s="1">
        <f t="shared" si="211"/>
        <v>1.8000000000000001E-6</v>
      </c>
    </row>
    <row r="1484" spans="1:17" x14ac:dyDescent="0.25">
      <c r="A1484" s="1">
        <v>74.099999999999994</v>
      </c>
      <c r="B1484" s="1">
        <v>5.3841000000000002E-3</v>
      </c>
      <c r="C1484" s="1">
        <v>3.503E-4</v>
      </c>
      <c r="D1484" s="1">
        <v>3.2153000000000001E-2</v>
      </c>
      <c r="E1484" s="1">
        <v>3.7429E-3</v>
      </c>
      <c r="F1484" s="1">
        <v>2.0627000000000001E-7</v>
      </c>
      <c r="G1484" s="1">
        <v>6.7160000000000002</v>
      </c>
      <c r="H1484" s="1">
        <v>1.9593000000000001E-7</v>
      </c>
      <c r="I1484" s="1">
        <f t="shared" si="207"/>
        <v>1.9593000000000001E-7</v>
      </c>
      <c r="J1484" s="4">
        <f t="shared" si="208"/>
        <v>-4.4639355812338457E-9</v>
      </c>
      <c r="K1484" s="4">
        <f t="shared" si="209"/>
        <v>-1.0949309036136727E-8</v>
      </c>
      <c r="L1484" s="4">
        <f t="shared" si="210"/>
        <v>-3.35548134560512E-9</v>
      </c>
      <c r="M1484" s="4">
        <f t="shared" si="212"/>
        <v>-4.0880759473995412E-9</v>
      </c>
      <c r="N1484" s="5">
        <f t="shared" si="213"/>
        <v>1.0429026065408476E-6</v>
      </c>
      <c r="O1484" s="5">
        <f t="shared" si="214"/>
        <v>5.5910572998671959E-7</v>
      </c>
      <c r="P1484" s="5">
        <f t="shared" si="215"/>
        <v>1.9799166347243288E-7</v>
      </c>
      <c r="Q1484" s="1">
        <f t="shared" si="211"/>
        <v>1.7999999999999999E-6</v>
      </c>
    </row>
    <row r="1485" spans="1:17" x14ac:dyDescent="0.25">
      <c r="A1485" s="1">
        <v>74.150000000000006</v>
      </c>
      <c r="B1485" s="1">
        <v>5.3762999999999997E-3</v>
      </c>
      <c r="C1485" s="1">
        <v>3.4869000000000002E-4</v>
      </c>
      <c r="D1485" s="1">
        <v>3.2157999999999999E-2</v>
      </c>
      <c r="E1485" s="1">
        <v>3.7328999999999999E-3</v>
      </c>
      <c r="F1485" s="1">
        <v>2.0535E-7</v>
      </c>
      <c r="G1485" s="1">
        <v>6.7159000000000004</v>
      </c>
      <c r="H1485" s="1">
        <v>1.9595E-7</v>
      </c>
      <c r="I1485" s="1">
        <f t="shared" si="207"/>
        <v>1.9595E-7</v>
      </c>
      <c r="J1485" s="4">
        <f t="shared" si="208"/>
        <v>-4.4372703524729123E-9</v>
      </c>
      <c r="K1485" s="4">
        <f t="shared" si="209"/>
        <v>-1.0902561734743511E-8</v>
      </c>
      <c r="L1485" s="4">
        <f t="shared" si="210"/>
        <v>-3.341459043458771E-9</v>
      </c>
      <c r="M1485" s="4">
        <f t="shared" si="212"/>
        <v>-4.0732131955370723E-9</v>
      </c>
      <c r="N1485" s="5">
        <f t="shared" si="213"/>
        <v>1.0460264388796596E-6</v>
      </c>
      <c r="O1485" s="5">
        <f t="shared" si="214"/>
        <v>5.5671365179998606E-7</v>
      </c>
      <c r="P1485" s="5">
        <f t="shared" si="215"/>
        <v>1.9725990932035458E-7</v>
      </c>
      <c r="Q1485" s="1">
        <f t="shared" si="211"/>
        <v>1.8000000000000001E-6</v>
      </c>
    </row>
    <row r="1486" spans="1:17" x14ac:dyDescent="0.25">
      <c r="A1486" s="1">
        <v>74.2</v>
      </c>
      <c r="B1486" s="1">
        <v>5.3685E-3</v>
      </c>
      <c r="C1486" s="1">
        <v>3.4709999999999998E-4</v>
      </c>
      <c r="D1486" s="1">
        <v>3.2162999999999997E-2</v>
      </c>
      <c r="E1486" s="1">
        <v>3.7230000000000002E-3</v>
      </c>
      <c r="F1486" s="1">
        <v>2.0443000000000001E-7</v>
      </c>
      <c r="G1486" s="1">
        <v>6.7159000000000004</v>
      </c>
      <c r="H1486" s="1">
        <v>1.9597E-7</v>
      </c>
      <c r="I1486" s="1">
        <f t="shared" si="207"/>
        <v>1.9597E-7</v>
      </c>
      <c r="J1486" s="4">
        <f t="shared" si="208"/>
        <v>-4.4109494026133177E-9</v>
      </c>
      <c r="K1486" s="4">
        <f t="shared" si="209"/>
        <v>-1.0855916210099112E-8</v>
      </c>
      <c r="L1486" s="4">
        <f t="shared" si="210"/>
        <v>-3.3276054080259706E-9</v>
      </c>
      <c r="M1486" s="4">
        <f t="shared" si="212"/>
        <v>-4.0585733192887342E-9</v>
      </c>
      <c r="N1486" s="5">
        <f t="shared" si="213"/>
        <v>1.0491438002791193E-6</v>
      </c>
      <c r="O1486" s="5">
        <f t="shared" si="214"/>
        <v>5.5432725831178893E-7</v>
      </c>
      <c r="P1486" s="5">
        <f t="shared" si="215"/>
        <v>1.9652894140909182E-7</v>
      </c>
      <c r="Q1486" s="1">
        <f t="shared" si="211"/>
        <v>1.8000000000000001E-6</v>
      </c>
    </row>
    <row r="1487" spans="1:17" x14ac:dyDescent="0.25">
      <c r="A1487" s="1">
        <v>74.25</v>
      </c>
      <c r="B1487" s="1">
        <v>5.3607000000000004E-3</v>
      </c>
      <c r="C1487" s="1">
        <v>3.4550999999999999E-4</v>
      </c>
      <c r="D1487" s="1">
        <v>3.2167000000000001E-2</v>
      </c>
      <c r="E1487" s="1">
        <v>3.7130000000000002E-3</v>
      </c>
      <c r="F1487" s="1">
        <v>2.0351E-7</v>
      </c>
      <c r="G1487" s="1">
        <v>6.7157999999999998</v>
      </c>
      <c r="H1487" s="1">
        <v>1.9599E-7</v>
      </c>
      <c r="I1487" s="1">
        <f t="shared" si="207"/>
        <v>1.9599E-7</v>
      </c>
      <c r="J1487" s="4">
        <f t="shared" si="208"/>
        <v>-4.3845424167422983E-9</v>
      </c>
      <c r="K1487" s="4">
        <f t="shared" si="209"/>
        <v>-1.0809381537079269E-8</v>
      </c>
      <c r="L1487" s="4">
        <f t="shared" si="210"/>
        <v>-3.3137579309668857E-9</v>
      </c>
      <c r="M1487" s="4">
        <f t="shared" si="212"/>
        <v>-4.043946548033441E-9</v>
      </c>
      <c r="N1487" s="5">
        <f t="shared" si="213"/>
        <v>1.0522548814684895E-6</v>
      </c>
      <c r="O1487" s="5">
        <f t="shared" si="214"/>
        <v>5.519463657394854E-7</v>
      </c>
      <c r="P1487" s="5">
        <f t="shared" si="215"/>
        <v>1.9579875279202527E-7</v>
      </c>
      <c r="Q1487" s="1">
        <f t="shared" si="211"/>
        <v>1.8000000000000001E-6</v>
      </c>
    </row>
    <row r="1488" spans="1:17" x14ac:dyDescent="0.25">
      <c r="A1488" s="1">
        <v>74.3</v>
      </c>
      <c r="B1488" s="1">
        <v>5.3528999999999998E-3</v>
      </c>
      <c r="C1488" s="1">
        <v>3.4393999999999999E-4</v>
      </c>
      <c r="D1488" s="1">
        <v>3.2171999999999999E-2</v>
      </c>
      <c r="E1488" s="1">
        <v>3.7031E-3</v>
      </c>
      <c r="F1488" s="1">
        <v>2.026E-7</v>
      </c>
      <c r="G1488" s="1">
        <v>6.7157999999999998</v>
      </c>
      <c r="H1488" s="1">
        <v>1.9600000000000001E-7</v>
      </c>
      <c r="I1488" s="1">
        <f t="shared" si="207"/>
        <v>1.9600000000000001E-7</v>
      </c>
      <c r="J1488" s="4">
        <f t="shared" si="208"/>
        <v>-4.3580524997684037E-9</v>
      </c>
      <c r="K1488" s="4">
        <f t="shared" si="209"/>
        <v>-1.0762954131919355E-8</v>
      </c>
      <c r="L1488" s="4">
        <f t="shared" si="210"/>
        <v>-3.2997402125844604E-9</v>
      </c>
      <c r="M1488" s="4">
        <f t="shared" si="212"/>
        <v>-4.0293327437692193E-9</v>
      </c>
      <c r="N1488" s="5">
        <f t="shared" si="213"/>
        <v>1.0553600428880558E-6</v>
      </c>
      <c r="O1488" s="5">
        <f t="shared" si="214"/>
        <v>5.4957079685110362E-7</v>
      </c>
      <c r="P1488" s="5">
        <f t="shared" si="215"/>
        <v>1.950691602608405E-7</v>
      </c>
      <c r="Q1488" s="1">
        <f t="shared" si="211"/>
        <v>1.7999999999999997E-6</v>
      </c>
    </row>
    <row r="1489" spans="1:17" x14ac:dyDescent="0.25">
      <c r="A1489" s="1">
        <v>74.349999999999994</v>
      </c>
      <c r="B1489" s="1">
        <v>5.3451999999999996E-3</v>
      </c>
      <c r="C1489" s="1">
        <v>3.4236999999999999E-4</v>
      </c>
      <c r="D1489" s="1">
        <v>3.2176999999999997E-2</v>
      </c>
      <c r="E1489" s="1">
        <v>3.6932000000000002E-3</v>
      </c>
      <c r="F1489" s="1">
        <v>2.0170000000000001E-7</v>
      </c>
      <c r="G1489" s="1">
        <v>6.7157999999999998</v>
      </c>
      <c r="H1489" s="1">
        <v>1.9602E-7</v>
      </c>
      <c r="I1489" s="1">
        <f t="shared" si="207"/>
        <v>1.9602E-7</v>
      </c>
      <c r="J1489" s="4">
        <f t="shared" si="208"/>
        <v>-4.3319110394013275E-9</v>
      </c>
      <c r="K1489" s="4">
        <f t="shared" si="209"/>
        <v>-1.0716630538595912E-8</v>
      </c>
      <c r="L1489" s="4">
        <f t="shared" si="210"/>
        <v>-3.2858945728296778E-9</v>
      </c>
      <c r="M1489" s="4">
        <f t="shared" si="212"/>
        <v>-4.0145233181678692E-9</v>
      </c>
      <c r="N1489" s="5">
        <f t="shared" si="213"/>
        <v>1.0584588678144208E-6</v>
      </c>
      <c r="O1489" s="5">
        <f t="shared" si="214"/>
        <v>5.4720060067007695E-7</v>
      </c>
      <c r="P1489" s="5">
        <f t="shared" si="215"/>
        <v>1.9434053151550229E-7</v>
      </c>
      <c r="Q1489" s="1">
        <f t="shared" si="211"/>
        <v>1.8000000000000001E-6</v>
      </c>
    </row>
    <row r="1490" spans="1:17" x14ac:dyDescent="0.25">
      <c r="A1490" s="1">
        <v>74.400000000000006</v>
      </c>
      <c r="B1490" s="1">
        <v>5.3374E-3</v>
      </c>
      <c r="C1490" s="1">
        <v>3.4081999999999998E-4</v>
      </c>
      <c r="D1490" s="1">
        <v>3.2181000000000001E-2</v>
      </c>
      <c r="E1490" s="1">
        <v>3.6833999999999999E-3</v>
      </c>
      <c r="F1490" s="1">
        <v>2.008E-7</v>
      </c>
      <c r="G1490" s="1">
        <v>6.7157</v>
      </c>
      <c r="H1490" s="1">
        <v>1.9604E-7</v>
      </c>
      <c r="I1490" s="1">
        <f t="shared" si="207"/>
        <v>1.9604E-7</v>
      </c>
      <c r="J1490" s="4">
        <f t="shared" si="208"/>
        <v>-4.3061165688828415E-9</v>
      </c>
      <c r="K1490" s="4">
        <f t="shared" si="209"/>
        <v>-1.0670411713068927E-8</v>
      </c>
      <c r="L1490" s="4">
        <f t="shared" si="210"/>
        <v>-3.2721319437591545E-9</v>
      </c>
      <c r="M1490" s="4">
        <f t="shared" si="212"/>
        <v>-3.9999362537061287E-9</v>
      </c>
      <c r="N1490" s="5">
        <f t="shared" si="213"/>
        <v>1.0615510310148477E-6</v>
      </c>
      <c r="O1490" s="5">
        <f t="shared" si="214"/>
        <v>5.4483624177959697E-7</v>
      </c>
      <c r="P1490" s="5">
        <f t="shared" si="215"/>
        <v>1.9361272720555533E-7</v>
      </c>
      <c r="Q1490" s="1">
        <f t="shared" si="211"/>
        <v>1.7999999999999999E-6</v>
      </c>
    </row>
    <row r="1491" spans="1:17" x14ac:dyDescent="0.25">
      <c r="A1491" s="1">
        <v>74.45</v>
      </c>
      <c r="B1491" s="1">
        <v>5.3296999999999997E-3</v>
      </c>
      <c r="C1491" s="1">
        <v>3.3927000000000002E-4</v>
      </c>
      <c r="D1491" s="1">
        <v>3.2185999999999999E-2</v>
      </c>
      <c r="E1491" s="1">
        <v>3.6736E-3</v>
      </c>
      <c r="F1491" s="1">
        <v>1.9990999999999999E-7</v>
      </c>
      <c r="G1491" s="1">
        <v>6.7157</v>
      </c>
      <c r="H1491" s="1">
        <v>1.9605000000000001E-7</v>
      </c>
      <c r="I1491" s="1">
        <f t="shared" si="207"/>
        <v>1.9605000000000001E-7</v>
      </c>
      <c r="J1491" s="4">
        <f t="shared" si="208"/>
        <v>-4.2802416963176072E-9</v>
      </c>
      <c r="K1491" s="4">
        <f t="shared" si="209"/>
        <v>-1.0624306714701537E-8</v>
      </c>
      <c r="L1491" s="4">
        <f t="shared" si="210"/>
        <v>-3.2583787548056543E-9</v>
      </c>
      <c r="M1491" s="4">
        <f t="shared" si="212"/>
        <v>-3.9853630993443648E-9</v>
      </c>
      <c r="N1491" s="5">
        <f t="shared" si="213"/>
        <v>1.0646367172784259E-6</v>
      </c>
      <c r="O1491" s="5">
        <f t="shared" si="214"/>
        <v>5.4247753986055746E-7</v>
      </c>
      <c r="P1491" s="5">
        <f t="shared" si="215"/>
        <v>1.928857428610166E-7</v>
      </c>
      <c r="Q1491" s="1">
        <f t="shared" si="211"/>
        <v>1.8000000000000001E-6</v>
      </c>
    </row>
    <row r="1492" spans="1:17" x14ac:dyDescent="0.25">
      <c r="A1492" s="1">
        <v>74.5</v>
      </c>
      <c r="B1492" s="1">
        <v>5.3220000000000003E-3</v>
      </c>
      <c r="C1492" s="1">
        <v>3.3774E-4</v>
      </c>
      <c r="D1492" s="1">
        <v>3.2190999999999997E-2</v>
      </c>
      <c r="E1492" s="1">
        <v>3.6638E-3</v>
      </c>
      <c r="F1492" s="1">
        <v>1.9903E-7</v>
      </c>
      <c r="G1492" s="1">
        <v>6.7156000000000002</v>
      </c>
      <c r="H1492" s="1">
        <v>1.9607000000000001E-7</v>
      </c>
      <c r="I1492" s="1">
        <f t="shared" si="207"/>
        <v>1.9607000000000001E-7</v>
      </c>
      <c r="J1492" s="4">
        <f t="shared" si="208"/>
        <v>-4.2547150392870003E-9</v>
      </c>
      <c r="K1492" s="4">
        <f t="shared" si="209"/>
        <v>-1.057831202728027E-8</v>
      </c>
      <c r="L1492" s="4">
        <f t="shared" si="210"/>
        <v>-3.2447102620453004E-9</v>
      </c>
      <c r="M1492" s="4">
        <f t="shared" si="212"/>
        <v>-3.9706012382295167E-9</v>
      </c>
      <c r="N1492" s="5">
        <f t="shared" si="213"/>
        <v>1.0677156040043739E-6</v>
      </c>
      <c r="O1492" s="5">
        <f t="shared" si="214"/>
        <v>5.4012454411079383E-7</v>
      </c>
      <c r="P1492" s="5">
        <f t="shared" si="215"/>
        <v>1.9215985188483239E-7</v>
      </c>
      <c r="Q1492" s="1">
        <f t="shared" si="211"/>
        <v>1.8000000000000001E-6</v>
      </c>
    </row>
    <row r="1493" spans="1:17" x14ac:dyDescent="0.25">
      <c r="A1493" s="1">
        <v>74.55</v>
      </c>
      <c r="B1493" s="1">
        <v>5.3144000000000004E-3</v>
      </c>
      <c r="C1493" s="1">
        <v>3.3620999999999998E-4</v>
      </c>
      <c r="D1493" s="1">
        <v>3.2195000000000001E-2</v>
      </c>
      <c r="E1493" s="1">
        <v>3.6540000000000001E-3</v>
      </c>
      <c r="F1493" s="1">
        <v>1.9815000000000001E-7</v>
      </c>
      <c r="G1493" s="1">
        <v>6.7156000000000002</v>
      </c>
      <c r="H1493" s="1">
        <v>1.9609E-7</v>
      </c>
      <c r="I1493" s="1">
        <f t="shared" si="207"/>
        <v>1.9609E-7</v>
      </c>
      <c r="J1493" s="4">
        <f t="shared" si="208"/>
        <v>-4.2295355119430658E-9</v>
      </c>
      <c r="K1493" s="4">
        <f t="shared" si="209"/>
        <v>-1.0532428610159881E-8</v>
      </c>
      <c r="L1493" s="4">
        <f t="shared" si="210"/>
        <v>-3.2311266977805644E-9</v>
      </c>
      <c r="M1493" s="4">
        <f t="shared" si="212"/>
        <v>-3.9560621267009798E-9</v>
      </c>
      <c r="N1493" s="5">
        <f t="shared" si="213"/>
        <v>1.0707873704048101E-6</v>
      </c>
      <c r="O1493" s="5">
        <f t="shared" si="214"/>
        <v>5.3777771313927795E-7</v>
      </c>
      <c r="P1493" s="5">
        <f t="shared" si="215"/>
        <v>1.9143491645591197E-7</v>
      </c>
      <c r="Q1493" s="1">
        <f t="shared" si="211"/>
        <v>1.7999999999999999E-6</v>
      </c>
    </row>
    <row r="1494" spans="1:17" x14ac:dyDescent="0.25">
      <c r="A1494" s="1">
        <v>74.599999999999994</v>
      </c>
      <c r="B1494" s="1">
        <v>5.3067000000000001E-3</v>
      </c>
      <c r="C1494" s="1">
        <v>3.347E-4</v>
      </c>
      <c r="D1494" s="1">
        <v>3.2199999999999999E-2</v>
      </c>
      <c r="E1494" s="1">
        <v>3.6443000000000001E-3</v>
      </c>
      <c r="F1494" s="1">
        <v>1.9726999999999999E-7</v>
      </c>
      <c r="G1494" s="1">
        <v>6.7156000000000002</v>
      </c>
      <c r="H1494" s="1">
        <v>1.9611E-7</v>
      </c>
      <c r="I1494" s="1">
        <f t="shared" si="207"/>
        <v>1.9611E-7</v>
      </c>
      <c r="J1494" s="4">
        <f t="shared" si="208"/>
        <v>-4.204277693186567E-9</v>
      </c>
      <c r="K1494" s="4">
        <f t="shared" si="209"/>
        <v>-1.0486665406215325E-8</v>
      </c>
      <c r="L1494" s="4">
        <f t="shared" si="210"/>
        <v>-3.2174659281983559E-9</v>
      </c>
      <c r="M1494" s="4">
        <f t="shared" si="212"/>
        <v>-3.9415396406229527E-9</v>
      </c>
      <c r="N1494" s="5">
        <f t="shared" si="213"/>
        <v>1.0738522921896405E-6</v>
      </c>
      <c r="O1494" s="5">
        <f t="shared" si="214"/>
        <v>5.3543686506687218E-7</v>
      </c>
      <c r="P1494" s="5">
        <f t="shared" si="215"/>
        <v>1.9071084274348738E-7</v>
      </c>
      <c r="Q1494" s="1">
        <f t="shared" si="211"/>
        <v>1.8000000000000001E-6</v>
      </c>
    </row>
    <row r="1495" spans="1:17" x14ac:dyDescent="0.25">
      <c r="A1495" s="1">
        <v>74.650000000000006</v>
      </c>
      <c r="B1495" s="1">
        <v>5.2991000000000002E-3</v>
      </c>
      <c r="C1495" s="1">
        <v>3.3319000000000003E-4</v>
      </c>
      <c r="D1495" s="1">
        <v>3.2204000000000003E-2</v>
      </c>
      <c r="E1495" s="1">
        <v>3.6346E-3</v>
      </c>
      <c r="F1495" s="1">
        <v>1.9640000000000001E-7</v>
      </c>
      <c r="G1495" s="1">
        <v>6.7154999999999996</v>
      </c>
      <c r="H1495" s="1">
        <v>1.9612000000000001E-7</v>
      </c>
      <c r="I1495" s="1">
        <f t="shared" si="207"/>
        <v>1.9612000000000001E-7</v>
      </c>
      <c r="J1495" s="4">
        <f t="shared" si="208"/>
        <v>-4.178944829827249E-9</v>
      </c>
      <c r="K1495" s="4">
        <f t="shared" si="209"/>
        <v>-1.0441018868806382E-8</v>
      </c>
      <c r="L1495" s="4">
        <f t="shared" si="210"/>
        <v>-3.2038178065523747E-9</v>
      </c>
      <c r="M1495" s="4">
        <f t="shared" si="212"/>
        <v>-3.9270318538955504E-9</v>
      </c>
      <c r="N1495" s="5">
        <f t="shared" si="213"/>
        <v>1.0769105484220671E-6</v>
      </c>
      <c r="O1495" s="5">
        <f t="shared" si="214"/>
        <v>5.3310182288178858E-7</v>
      </c>
      <c r="P1495" s="5">
        <f t="shared" si="215"/>
        <v>1.8998762869614421E-7</v>
      </c>
      <c r="Q1495" s="1">
        <f t="shared" si="211"/>
        <v>1.7999999999999999E-6</v>
      </c>
    </row>
    <row r="1496" spans="1:17" x14ac:dyDescent="0.25">
      <c r="A1496" s="1">
        <v>74.7</v>
      </c>
      <c r="B1496" s="1">
        <v>5.2915000000000002E-3</v>
      </c>
      <c r="C1496" s="1">
        <v>3.3169999999999999E-4</v>
      </c>
      <c r="D1496" s="1">
        <v>3.2209000000000002E-2</v>
      </c>
      <c r="E1496" s="1">
        <v>3.6248999999999999E-3</v>
      </c>
      <c r="F1496" s="1">
        <v>1.9553999999999999E-7</v>
      </c>
      <c r="G1496" s="1">
        <v>6.7154999999999996</v>
      </c>
      <c r="H1496" s="1">
        <v>1.9614000000000001E-7</v>
      </c>
      <c r="I1496" s="1">
        <f t="shared" si="207"/>
        <v>1.9614000000000001E-7</v>
      </c>
      <c r="J1496" s="4">
        <f t="shared" si="208"/>
        <v>-4.1539627507860102E-9</v>
      </c>
      <c r="K1496" s="4">
        <f t="shared" si="209"/>
        <v>-1.0395485546194287E-8</v>
      </c>
      <c r="L1496" s="4">
        <f t="shared" si="210"/>
        <v>-3.1902581979698758E-9</v>
      </c>
      <c r="M1496" s="4">
        <f t="shared" si="212"/>
        <v>-3.9123392426879975E-9</v>
      </c>
      <c r="N1496" s="5">
        <f t="shared" si="213"/>
        <v>1.0799618130195056E-6</v>
      </c>
      <c r="O1496" s="5">
        <f t="shared" si="214"/>
        <v>5.3077263932906841E-7</v>
      </c>
      <c r="P1496" s="5">
        <f t="shared" si="215"/>
        <v>1.8926554765142609E-7</v>
      </c>
      <c r="Q1496" s="1">
        <f t="shared" si="211"/>
        <v>1.8000000000000001E-6</v>
      </c>
    </row>
    <row r="1497" spans="1:17" x14ac:dyDescent="0.25">
      <c r="A1497" s="1">
        <v>74.75</v>
      </c>
      <c r="B1497" s="1">
        <v>5.2839000000000002E-3</v>
      </c>
      <c r="C1497" s="1">
        <v>3.3021999999999999E-4</v>
      </c>
      <c r="D1497" s="1">
        <v>3.2212999999999999E-2</v>
      </c>
      <c r="E1497" s="1">
        <v>3.6153000000000001E-3</v>
      </c>
      <c r="F1497" s="1">
        <v>1.9467999999999999E-7</v>
      </c>
      <c r="G1497" s="1">
        <v>6.7153999999999998</v>
      </c>
      <c r="H1497" s="1">
        <v>1.9616E-7</v>
      </c>
      <c r="I1497" s="1">
        <f t="shared" si="207"/>
        <v>1.9616E-7</v>
      </c>
      <c r="J1497" s="4">
        <f t="shared" si="208"/>
        <v>-4.1293302814750928E-9</v>
      </c>
      <c r="K1497" s="4">
        <f t="shared" si="209"/>
        <v>-1.0350066466916246E-8</v>
      </c>
      <c r="L1497" s="4">
        <f t="shared" si="210"/>
        <v>-3.1767872941533254E-9</v>
      </c>
      <c r="M1497" s="4">
        <f t="shared" si="212"/>
        <v>-3.8978671742166035E-9</v>
      </c>
      <c r="N1497" s="5">
        <f t="shared" si="213"/>
        <v>1.0830057619107932E-6</v>
      </c>
      <c r="O1497" s="5">
        <f t="shared" si="214"/>
        <v>5.2844977031784383E-7</v>
      </c>
      <c r="P1497" s="5">
        <f t="shared" si="215"/>
        <v>1.8854446777136283E-7</v>
      </c>
      <c r="Q1497" s="1">
        <f t="shared" si="211"/>
        <v>1.7999999999999999E-6</v>
      </c>
    </row>
    <row r="1498" spans="1:17" x14ac:dyDescent="0.25">
      <c r="A1498" s="1">
        <v>74.8</v>
      </c>
      <c r="B1498" s="1">
        <v>5.2763999999999997E-3</v>
      </c>
      <c r="C1498" s="1">
        <v>3.2874E-4</v>
      </c>
      <c r="D1498" s="1">
        <v>3.2217999999999997E-2</v>
      </c>
      <c r="E1498" s="1">
        <v>3.6056E-3</v>
      </c>
      <c r="F1498" s="1">
        <v>1.9383000000000001E-7</v>
      </c>
      <c r="G1498" s="1">
        <v>6.7153999999999998</v>
      </c>
      <c r="H1498" s="1">
        <v>1.9616999999999999E-7</v>
      </c>
      <c r="I1498" s="1">
        <f t="shared" si="207"/>
        <v>1.9616999999999999E-7</v>
      </c>
      <c r="J1498" s="4">
        <f t="shared" si="208"/>
        <v>-4.104624587735913E-9</v>
      </c>
      <c r="K1498" s="4">
        <f t="shared" si="209"/>
        <v>-1.030477052119737E-8</v>
      </c>
      <c r="L1498" s="4">
        <f t="shared" si="210"/>
        <v>-3.1633303101999606E-9</v>
      </c>
      <c r="M1498" s="4">
        <f t="shared" si="212"/>
        <v>-3.8834126937929855E-9</v>
      </c>
      <c r="N1498" s="5">
        <f t="shared" si="213"/>
        <v>1.0860425775340547E-6</v>
      </c>
      <c r="O1498" s="5">
        <f t="shared" si="214"/>
        <v>5.2613303707817534E-7</v>
      </c>
      <c r="P1498" s="5">
        <f t="shared" si="215"/>
        <v>1.878243853877698E-7</v>
      </c>
      <c r="Q1498" s="1">
        <f t="shared" si="211"/>
        <v>1.7999999999999999E-6</v>
      </c>
    </row>
    <row r="1499" spans="1:17" x14ac:dyDescent="0.25">
      <c r="A1499" s="1">
        <v>74.849999999999994</v>
      </c>
      <c r="B1499" s="1">
        <v>5.2687999999999997E-3</v>
      </c>
      <c r="C1499" s="1">
        <v>3.2728E-4</v>
      </c>
      <c r="D1499" s="1">
        <v>3.2222000000000001E-2</v>
      </c>
      <c r="E1499" s="1">
        <v>3.5961000000000001E-3</v>
      </c>
      <c r="F1499" s="1">
        <v>1.9299000000000001E-7</v>
      </c>
      <c r="G1499" s="1">
        <v>6.7153999999999998</v>
      </c>
      <c r="H1499" s="1">
        <v>1.9619000000000001E-7</v>
      </c>
      <c r="I1499" s="1">
        <f t="shared" si="207"/>
        <v>1.9619000000000001E-7</v>
      </c>
      <c r="J1499" s="4">
        <f t="shared" si="208"/>
        <v>-4.0802694466285713E-9</v>
      </c>
      <c r="K1499" s="4">
        <f t="shared" si="209"/>
        <v>-1.0259594223023836E-8</v>
      </c>
      <c r="L1499" s="4">
        <f t="shared" si="210"/>
        <v>-3.1498762314693547E-9</v>
      </c>
      <c r="M1499" s="4">
        <f t="shared" si="212"/>
        <v>-3.8687785165592537E-9</v>
      </c>
      <c r="N1499" s="5">
        <f t="shared" si="213"/>
        <v>1.0890720260789806E-6</v>
      </c>
      <c r="O1499" s="5">
        <f t="shared" si="214"/>
        <v>5.238224908183393E-7</v>
      </c>
      <c r="P1499" s="5">
        <f t="shared" si="215"/>
        <v>1.8710548310267989E-7</v>
      </c>
      <c r="Q1499" s="1">
        <f t="shared" si="211"/>
        <v>1.7999999999999997E-6</v>
      </c>
    </row>
    <row r="1500" spans="1:17" x14ac:dyDescent="0.25">
      <c r="A1500" s="1">
        <v>74.900000000000006</v>
      </c>
      <c r="B1500" s="1">
        <v>5.2613E-3</v>
      </c>
      <c r="C1500" s="1">
        <v>3.2581999999999999E-4</v>
      </c>
      <c r="D1500" s="1">
        <v>3.2226999999999999E-2</v>
      </c>
      <c r="E1500" s="1">
        <v>3.5864999999999998E-3</v>
      </c>
      <c r="F1500" s="1">
        <v>1.9215000000000001E-7</v>
      </c>
      <c r="G1500" s="1">
        <v>6.7153</v>
      </c>
      <c r="H1500" s="1">
        <v>1.9621000000000001E-7</v>
      </c>
      <c r="I1500" s="1">
        <f t="shared" si="207"/>
        <v>1.9621000000000001E-7</v>
      </c>
      <c r="J1500" s="4">
        <f t="shared" si="208"/>
        <v>-4.0562640190311717E-9</v>
      </c>
      <c r="K1500" s="4">
        <f t="shared" si="209"/>
        <v>-1.0214538570959938E-8</v>
      </c>
      <c r="L1500" s="4">
        <f t="shared" si="210"/>
        <v>-3.1366875906097558E-9</v>
      </c>
      <c r="M1500" s="4">
        <f t="shared" si="212"/>
        <v>-3.8543635966419274E-9</v>
      </c>
      <c r="N1500" s="5">
        <f t="shared" si="213"/>
        <v>1.0920936130402994E-6</v>
      </c>
      <c r="O1500" s="5">
        <f t="shared" si="214"/>
        <v>5.2151857986305241E-7</v>
      </c>
      <c r="P1500" s="5">
        <f t="shared" si="215"/>
        <v>1.8638780709664771E-7</v>
      </c>
      <c r="Q1500" s="1">
        <f t="shared" si="211"/>
        <v>1.7999999999999995E-6</v>
      </c>
    </row>
    <row r="1501" spans="1:17" x14ac:dyDescent="0.25">
      <c r="A1501" s="1">
        <v>74.95</v>
      </c>
      <c r="B1501" s="1">
        <v>5.2538000000000003E-3</v>
      </c>
      <c r="C1501" s="1">
        <v>3.2437999999999998E-4</v>
      </c>
      <c r="D1501" s="1">
        <v>3.2231000000000003E-2</v>
      </c>
      <c r="E1501" s="1">
        <v>3.5769999999999999E-3</v>
      </c>
      <c r="F1501" s="1">
        <v>1.9131000000000001E-7</v>
      </c>
      <c r="G1501" s="1">
        <v>6.7153</v>
      </c>
      <c r="H1501" s="1">
        <v>1.9621999999999999E-7</v>
      </c>
      <c r="I1501" s="1">
        <f t="shared" si="207"/>
        <v>1.9621999999999999E-7</v>
      </c>
      <c r="J1501" s="4">
        <f t="shared" si="208"/>
        <v>-4.0321868115332719E-9</v>
      </c>
      <c r="K1501" s="4">
        <f t="shared" si="209"/>
        <v>-1.0169612307328944E-8</v>
      </c>
      <c r="L1501" s="4">
        <f t="shared" si="210"/>
        <v>-3.1233394586620318E-9</v>
      </c>
      <c r="M1501" s="4">
        <f t="shared" si="212"/>
        <v>-3.839970921195273E-9</v>
      </c>
      <c r="N1501" s="5">
        <f t="shared" si="213"/>
        <v>1.095107699077433E-6</v>
      </c>
      <c r="O1501" s="5">
        <f t="shared" si="214"/>
        <v>5.192211252884519E-7</v>
      </c>
      <c r="P1501" s="5">
        <f t="shared" si="215"/>
        <v>1.8567117563411446E-7</v>
      </c>
      <c r="Q1501" s="1">
        <f t="shared" si="211"/>
        <v>1.7999999999999993E-6</v>
      </c>
    </row>
    <row r="1502" spans="1:17" x14ac:dyDescent="0.25">
      <c r="A1502" s="1">
        <v>75</v>
      </c>
      <c r="B1502" s="1">
        <v>5.2462999999999997E-3</v>
      </c>
      <c r="C1502" s="1">
        <v>3.2294000000000002E-4</v>
      </c>
      <c r="D1502" s="1">
        <v>3.2236000000000001E-2</v>
      </c>
      <c r="E1502" s="1">
        <v>3.5674999999999999E-3</v>
      </c>
      <c r="F1502" s="1">
        <v>1.9048E-7</v>
      </c>
      <c r="G1502" s="1">
        <v>6.7152000000000003</v>
      </c>
      <c r="H1502" s="1">
        <v>1.9623999999999999E-7</v>
      </c>
      <c r="I1502" s="1">
        <f t="shared" si="207"/>
        <v>1.9623999999999999E-7</v>
      </c>
      <c r="J1502" s="4">
        <f t="shared" si="208"/>
        <v>-4.0080411863616191E-9</v>
      </c>
      <c r="K1502" s="4">
        <f t="shared" si="209"/>
        <v>-1.0124811943124237E-8</v>
      </c>
      <c r="L1502" s="4">
        <f t="shared" si="210"/>
        <v>-3.110008248026991E-9</v>
      </c>
      <c r="M1502" s="4">
        <f t="shared" si="212"/>
        <v>-3.8254017987070061E-9</v>
      </c>
      <c r="N1502" s="5">
        <f t="shared" si="213"/>
        <v>1.0981144615861686E-6</v>
      </c>
      <c r="O1502" s="5">
        <f t="shared" si="214"/>
        <v>5.1692975633039624E-7</v>
      </c>
      <c r="P1502" s="5">
        <f t="shared" si="215"/>
        <v>1.8495578208343442E-7</v>
      </c>
      <c r="Q1502" s="1">
        <f t="shared" si="211"/>
        <v>1.7999999999999993E-6</v>
      </c>
    </row>
    <row r="1503" spans="1:17" x14ac:dyDescent="0.25">
      <c r="A1503" s="1">
        <v>75.05</v>
      </c>
      <c r="B1503" s="1">
        <v>5.2388000000000001E-3</v>
      </c>
      <c r="C1503" s="1">
        <v>3.2151E-4</v>
      </c>
      <c r="D1503" s="1">
        <v>3.2239999999999998E-2</v>
      </c>
      <c r="E1503" s="1">
        <v>3.558E-3</v>
      </c>
      <c r="F1503" s="1">
        <v>1.8965999999999999E-7</v>
      </c>
      <c r="G1503" s="1">
        <v>6.7152000000000003</v>
      </c>
      <c r="H1503" s="1">
        <v>1.9626000000000001E-7</v>
      </c>
      <c r="I1503" s="1">
        <f t="shared" si="207"/>
        <v>1.9626000000000001E-7</v>
      </c>
      <c r="J1503" s="4">
        <f t="shared" si="208"/>
        <v>-3.9842481146623686E-9</v>
      </c>
      <c r="K1503" s="4">
        <f t="shared" si="209"/>
        <v>-1.0080130248442155E-8</v>
      </c>
      <c r="L1503" s="4">
        <f t="shared" si="210"/>
        <v>-3.0967708614337831E-9</v>
      </c>
      <c r="M1503" s="4">
        <f t="shared" si="212"/>
        <v>-3.8110508809853667E-9</v>
      </c>
      <c r="N1503" s="5">
        <f t="shared" si="213"/>
        <v>1.1011135728585147E-6</v>
      </c>
      <c r="O1503" s="5">
        <f t="shared" si="214"/>
        <v>5.146449250776018E-7</v>
      </c>
      <c r="P1503" s="5">
        <f t="shared" si="215"/>
        <v>1.8424150206388284E-7</v>
      </c>
      <c r="Q1503" s="1">
        <f t="shared" si="211"/>
        <v>1.7999999999999995E-6</v>
      </c>
    </row>
    <row r="1504" spans="1:17" x14ac:dyDescent="0.25">
      <c r="A1504" s="1">
        <v>75.099999999999994</v>
      </c>
      <c r="B1504" s="1">
        <v>5.2313999999999998E-3</v>
      </c>
      <c r="C1504" s="1">
        <v>3.2009999999999997E-4</v>
      </c>
      <c r="D1504" s="1">
        <v>3.2245000000000003E-2</v>
      </c>
      <c r="E1504" s="1">
        <v>3.5485999999999998E-3</v>
      </c>
      <c r="F1504" s="1">
        <v>1.8883999999999999E-7</v>
      </c>
      <c r="G1504" s="1">
        <v>6.7152000000000003</v>
      </c>
      <c r="H1504" s="1">
        <v>1.9627E-7</v>
      </c>
      <c r="I1504" s="1">
        <f t="shared" si="207"/>
        <v>1.9627E-7</v>
      </c>
      <c r="J1504" s="4">
        <f t="shared" si="208"/>
        <v>-3.9608063395305828E-9</v>
      </c>
      <c r="K1504" s="4">
        <f t="shared" si="209"/>
        <v>-1.0035576039012665E-8</v>
      </c>
      <c r="L1504" s="4">
        <f t="shared" si="210"/>
        <v>-3.0836274474115116E-9</v>
      </c>
      <c r="M1504" s="4">
        <f t="shared" si="212"/>
        <v>-3.7967199054808368E-9</v>
      </c>
      <c r="N1504" s="5">
        <f t="shared" si="213"/>
        <v>1.1041047151105852E-6</v>
      </c>
      <c r="O1504" s="5">
        <f t="shared" si="214"/>
        <v>5.1236687528360057E-7</v>
      </c>
      <c r="P1504" s="5">
        <f t="shared" si="215"/>
        <v>1.835284096058135E-7</v>
      </c>
      <c r="Q1504" s="1">
        <f t="shared" si="211"/>
        <v>1.7999999999999993E-6</v>
      </c>
    </row>
    <row r="1505" spans="1:17" x14ac:dyDescent="0.25">
      <c r="A1505" s="1">
        <v>75.150000000000006</v>
      </c>
      <c r="B1505" s="1">
        <v>5.2239000000000001E-3</v>
      </c>
      <c r="C1505" s="1">
        <v>3.1869E-4</v>
      </c>
      <c r="D1505" s="1">
        <v>3.2249E-2</v>
      </c>
      <c r="E1505" s="1">
        <v>3.5390999999999999E-3</v>
      </c>
      <c r="F1505" s="1">
        <v>1.8803E-7</v>
      </c>
      <c r="G1505" s="1">
        <v>6.7150999999999996</v>
      </c>
      <c r="H1505" s="1">
        <v>1.9628999999999999E-7</v>
      </c>
      <c r="I1505" s="1">
        <f t="shared" si="207"/>
        <v>1.9628999999999999E-7</v>
      </c>
      <c r="J1505" s="4">
        <f t="shared" si="208"/>
        <v>-3.9372976540384981E-9</v>
      </c>
      <c r="K1505" s="4">
        <f t="shared" si="209"/>
        <v>-9.991154068032483E-9</v>
      </c>
      <c r="L1505" s="4">
        <f t="shared" si="210"/>
        <v>-3.0705021175996724E-9</v>
      </c>
      <c r="M1505" s="4">
        <f t="shared" si="212"/>
        <v>-3.7822177001008262E-9</v>
      </c>
      <c r="N1505" s="5">
        <f t="shared" si="213"/>
        <v>1.1070880694069794E-6</v>
      </c>
      <c r="O1505" s="5">
        <f t="shared" si="214"/>
        <v>5.1009523656970734E-7</v>
      </c>
      <c r="P1505" s="5">
        <f t="shared" si="215"/>
        <v>1.8281669402331235E-7</v>
      </c>
      <c r="Q1505" s="1">
        <f t="shared" si="211"/>
        <v>1.7999999999999993E-6</v>
      </c>
    </row>
    <row r="1506" spans="1:17" x14ac:dyDescent="0.25">
      <c r="A1506" s="1">
        <v>75.2</v>
      </c>
      <c r="B1506" s="1">
        <v>5.2164999999999998E-3</v>
      </c>
      <c r="C1506" s="1">
        <v>3.1729000000000002E-4</v>
      </c>
      <c r="D1506" s="1">
        <v>3.2253999999999998E-2</v>
      </c>
      <c r="E1506" s="1">
        <v>3.5298E-3</v>
      </c>
      <c r="F1506" s="1">
        <v>1.8722E-7</v>
      </c>
      <c r="G1506" s="1">
        <v>6.7150999999999996</v>
      </c>
      <c r="H1506" s="1">
        <v>1.9630999999999999E-7</v>
      </c>
      <c r="I1506" s="1">
        <f t="shared" si="207"/>
        <v>1.9630999999999999E-7</v>
      </c>
      <c r="J1506" s="4">
        <f t="shared" si="208"/>
        <v>-3.9141409674920234E-9</v>
      </c>
      <c r="K1506" s="4">
        <f t="shared" si="209"/>
        <v>-9.9468571131087287E-9</v>
      </c>
      <c r="L1506" s="4">
        <f t="shared" si="210"/>
        <v>-3.0573858233745527E-9</v>
      </c>
      <c r="M1506" s="4">
        <f t="shared" si="212"/>
        <v>-3.7679343313325635E-9</v>
      </c>
      <c r="N1506" s="5">
        <f t="shared" si="213"/>
        <v>1.1100633997292215E-6</v>
      </c>
      <c r="O1506" s="5">
        <f t="shared" si="214"/>
        <v>5.0783045475542323E-7</v>
      </c>
      <c r="P1506" s="5">
        <f t="shared" si="215"/>
        <v>1.8210614551535433E-7</v>
      </c>
      <c r="Q1506" s="1">
        <f t="shared" si="211"/>
        <v>1.7999999999999993E-6</v>
      </c>
    </row>
    <row r="1507" spans="1:17" x14ac:dyDescent="0.25">
      <c r="A1507" s="1">
        <v>75.25</v>
      </c>
      <c r="B1507" s="1">
        <v>5.2091000000000004E-3</v>
      </c>
      <c r="C1507" s="1">
        <v>3.1590999999999998E-4</v>
      </c>
      <c r="D1507" s="1">
        <v>3.2258000000000002E-2</v>
      </c>
      <c r="E1507" s="1">
        <v>3.5203999999999999E-3</v>
      </c>
      <c r="F1507" s="1">
        <v>1.8642E-7</v>
      </c>
      <c r="G1507" s="1">
        <v>6.7149999999999999</v>
      </c>
      <c r="H1507" s="1">
        <v>1.9632E-7</v>
      </c>
      <c r="I1507" s="1">
        <f t="shared" si="207"/>
        <v>1.9632E-7</v>
      </c>
      <c r="J1507" s="4">
        <f t="shared" si="208"/>
        <v>-3.8909196768727199E-9</v>
      </c>
      <c r="K1507" s="4">
        <f t="shared" si="209"/>
        <v>-9.9026938677301899E-9</v>
      </c>
      <c r="L1507" s="4">
        <f t="shared" si="210"/>
        <v>-3.0443755123926458E-9</v>
      </c>
      <c r="M1507" s="4">
        <f t="shared" si="212"/>
        <v>-3.7536720297423027E-9</v>
      </c>
      <c r="N1507" s="5">
        <f t="shared" si="213"/>
        <v>1.1130307984076864E-6</v>
      </c>
      <c r="O1507" s="5">
        <f t="shared" si="214"/>
        <v>5.0557235259430802E-7</v>
      </c>
      <c r="P1507" s="5">
        <f t="shared" si="215"/>
        <v>1.8139684899800466E-7</v>
      </c>
      <c r="Q1507" s="1">
        <f t="shared" si="211"/>
        <v>1.7999999999999991E-6</v>
      </c>
    </row>
    <row r="1508" spans="1:17" x14ac:dyDescent="0.25">
      <c r="A1508" s="1">
        <v>75.3</v>
      </c>
      <c r="B1508" s="1">
        <v>5.2018000000000003E-3</v>
      </c>
      <c r="C1508" s="1">
        <v>3.1452999999999999E-4</v>
      </c>
      <c r="D1508" s="1">
        <v>3.2261999999999999E-2</v>
      </c>
      <c r="E1508" s="1">
        <v>3.5111000000000001E-3</v>
      </c>
      <c r="F1508" s="1">
        <v>1.8561999999999999E-7</v>
      </c>
      <c r="G1508" s="1">
        <v>6.7149999999999999</v>
      </c>
      <c r="H1508" s="1">
        <v>1.9634E-7</v>
      </c>
      <c r="I1508" s="1">
        <f t="shared" si="207"/>
        <v>1.9634E-7</v>
      </c>
      <c r="J1508" s="4">
        <f t="shared" si="208"/>
        <v>-3.8680509772286169E-9</v>
      </c>
      <c r="K1508" s="4">
        <f t="shared" si="209"/>
        <v>-9.8586608755884462E-9</v>
      </c>
      <c r="L1508" s="4">
        <f t="shared" si="210"/>
        <v>-3.0313759060174787E-9</v>
      </c>
      <c r="M1508" s="4">
        <f t="shared" si="212"/>
        <v>-3.739242086505056E-9</v>
      </c>
      <c r="N1508" s="5">
        <f t="shared" si="213"/>
        <v>1.1159900324000285E-6</v>
      </c>
      <c r="O1508" s="5">
        <f t="shared" si="214"/>
        <v>5.0332098478245326E-7</v>
      </c>
      <c r="P1508" s="5">
        <f t="shared" si="215"/>
        <v>1.8068898281751708E-7</v>
      </c>
      <c r="Q1508" s="1">
        <f t="shared" si="211"/>
        <v>1.7999999999999989E-6</v>
      </c>
    </row>
    <row r="1509" spans="1:17" x14ac:dyDescent="0.25">
      <c r="A1509" s="1">
        <v>75.349999999999994</v>
      </c>
      <c r="B1509" s="1">
        <v>5.1944000000000001E-3</v>
      </c>
      <c r="C1509" s="1">
        <v>3.1315999999999999E-4</v>
      </c>
      <c r="D1509" s="1">
        <v>3.2266999999999997E-2</v>
      </c>
      <c r="E1509" s="1">
        <v>3.5017999999999998E-3</v>
      </c>
      <c r="F1509" s="1">
        <v>1.8482999999999999E-7</v>
      </c>
      <c r="G1509" s="1">
        <v>6.7149999999999999</v>
      </c>
      <c r="H1509" s="1">
        <v>1.9635999999999999E-7</v>
      </c>
      <c r="I1509" s="1">
        <f t="shared" si="207"/>
        <v>1.9635999999999999E-7</v>
      </c>
      <c r="J1509" s="4">
        <f t="shared" si="208"/>
        <v>-3.8451195958889809E-9</v>
      </c>
      <c r="K1509" s="4">
        <f t="shared" si="209"/>
        <v>-9.81475920325728E-9</v>
      </c>
      <c r="L1509" s="4">
        <f t="shared" si="210"/>
        <v>-3.0183971320155195E-9</v>
      </c>
      <c r="M1509" s="4">
        <f t="shared" si="212"/>
        <v>-3.7250298630708746E-9</v>
      </c>
      <c r="N1509" s="5">
        <f t="shared" si="213"/>
        <v>1.1189412748753814E-6</v>
      </c>
      <c r="O1509" s="5">
        <f t="shared" si="214"/>
        <v>5.0107637503815589E-7</v>
      </c>
      <c r="P1509" s="5">
        <f t="shared" si="215"/>
        <v>1.7998235008646174E-7</v>
      </c>
      <c r="Q1509" s="1">
        <f t="shared" si="211"/>
        <v>1.7999999999999993E-6</v>
      </c>
    </row>
    <row r="1510" spans="1:17" x14ac:dyDescent="0.25">
      <c r="A1510" s="1">
        <v>75.400000000000006</v>
      </c>
      <c r="B1510" s="1">
        <v>5.1871E-3</v>
      </c>
      <c r="C1510" s="1">
        <v>3.1179999999999999E-4</v>
      </c>
      <c r="D1510" s="1">
        <v>3.2271000000000001E-2</v>
      </c>
      <c r="E1510" s="1">
        <v>3.4924999999999999E-3</v>
      </c>
      <c r="F1510" s="1">
        <v>1.8404E-7</v>
      </c>
      <c r="G1510" s="1">
        <v>6.7149000000000001</v>
      </c>
      <c r="H1510" s="1">
        <v>1.9637E-7</v>
      </c>
      <c r="I1510" s="1">
        <f t="shared" si="207"/>
        <v>1.9637E-7</v>
      </c>
      <c r="J1510" s="4">
        <f t="shared" si="208"/>
        <v>-3.8225416063831807E-9</v>
      </c>
      <c r="K1510" s="4">
        <f t="shared" si="209"/>
        <v>-9.7709893132462621E-9</v>
      </c>
      <c r="L1510" s="4">
        <f t="shared" si="210"/>
        <v>-3.0055170274584954E-9</v>
      </c>
      <c r="M1510" s="4">
        <f t="shared" si="212"/>
        <v>-3.7108400976134942E-9</v>
      </c>
      <c r="N1510" s="5">
        <f t="shared" si="213"/>
        <v>1.121884205554786E-6</v>
      </c>
      <c r="O1510" s="5">
        <f t="shared" si="214"/>
        <v>4.9883876742890626E-7</v>
      </c>
      <c r="P1510" s="5">
        <f t="shared" si="215"/>
        <v>1.7927702701630672E-7</v>
      </c>
      <c r="Q1510" s="1">
        <f t="shared" si="211"/>
        <v>1.7999999999999991E-6</v>
      </c>
    </row>
    <row r="1511" spans="1:17" x14ac:dyDescent="0.25">
      <c r="A1511" s="1">
        <v>75.45</v>
      </c>
      <c r="B1511" s="1">
        <v>5.1798E-3</v>
      </c>
      <c r="C1511" s="1">
        <v>3.1044999999999998E-4</v>
      </c>
      <c r="D1511" s="1">
        <v>3.2274999999999998E-2</v>
      </c>
      <c r="E1511" s="1">
        <v>3.4832000000000001E-3</v>
      </c>
      <c r="F1511" s="1">
        <v>1.8325999999999999E-7</v>
      </c>
      <c r="G1511" s="1">
        <v>6.7149000000000001</v>
      </c>
      <c r="H1511" s="1">
        <v>1.9639E-7</v>
      </c>
      <c r="I1511" s="1">
        <f t="shared" si="207"/>
        <v>1.9639E-7</v>
      </c>
      <c r="J1511" s="4">
        <f t="shared" si="208"/>
        <v>-3.7999027593781169E-9</v>
      </c>
      <c r="K1511" s="4">
        <f t="shared" si="209"/>
        <v>-9.7273559648631189E-9</v>
      </c>
      <c r="L1511" s="4">
        <f t="shared" si="210"/>
        <v>-2.9925731148979305E-9</v>
      </c>
      <c r="M1511" s="4">
        <f t="shared" si="212"/>
        <v>-3.6964861284949654E-9</v>
      </c>
      <c r="N1511" s="5">
        <f t="shared" si="213"/>
        <v>1.1248190856453731E-6</v>
      </c>
      <c r="O1511" s="5">
        <f t="shared" si="214"/>
        <v>4.9660780035191621E-7</v>
      </c>
      <c r="P1511" s="5">
        <f t="shared" si="215"/>
        <v>1.7857311400270967E-7</v>
      </c>
      <c r="Q1511" s="1">
        <f t="shared" si="211"/>
        <v>1.7999999999999989E-6</v>
      </c>
    </row>
    <row r="1512" spans="1:17" x14ac:dyDescent="0.25">
      <c r="A1512" s="1">
        <v>75.5</v>
      </c>
      <c r="B1512" s="1">
        <v>5.1725E-3</v>
      </c>
      <c r="C1512" s="1">
        <v>3.0911000000000003E-4</v>
      </c>
      <c r="D1512" s="1">
        <v>3.2280000000000003E-2</v>
      </c>
      <c r="E1512" s="1">
        <v>3.4740000000000001E-3</v>
      </c>
      <c r="F1512" s="1">
        <v>1.8248999999999999E-7</v>
      </c>
      <c r="G1512" s="1">
        <v>6.7149000000000001</v>
      </c>
      <c r="H1512" s="1">
        <v>1.9640000000000001E-7</v>
      </c>
      <c r="I1512" s="1">
        <f t="shared" si="207"/>
        <v>1.9640000000000001E-7</v>
      </c>
      <c r="J1512" s="4">
        <f t="shared" si="208"/>
        <v>-3.7776180181135951E-9</v>
      </c>
      <c r="K1512" s="4">
        <f t="shared" si="209"/>
        <v>-9.6838521068618156E-9</v>
      </c>
      <c r="L1512" s="4">
        <f t="shared" si="210"/>
        <v>-2.9797296837758978E-9</v>
      </c>
      <c r="M1512" s="4">
        <f t="shared" si="212"/>
        <v>-3.6823472551939665E-9</v>
      </c>
      <c r="N1512" s="5">
        <f t="shared" si="213"/>
        <v>1.1277455900503455E-6</v>
      </c>
      <c r="O1512" s="5">
        <f t="shared" si="214"/>
        <v>4.9438391351836189E-7</v>
      </c>
      <c r="P1512" s="5">
        <f t="shared" si="215"/>
        <v>1.7787049643129162E-7</v>
      </c>
      <c r="Q1512" s="1">
        <f t="shared" si="211"/>
        <v>1.7999999999999989E-6</v>
      </c>
    </row>
    <row r="1513" spans="1:17" x14ac:dyDescent="0.25">
      <c r="A1513" s="1">
        <v>75.55</v>
      </c>
      <c r="B1513" s="1">
        <v>5.1652E-3</v>
      </c>
      <c r="C1513" s="1">
        <v>3.0778000000000001E-4</v>
      </c>
      <c r="D1513" s="1">
        <v>3.2284E-2</v>
      </c>
      <c r="E1513" s="1">
        <v>3.4648000000000001E-3</v>
      </c>
      <c r="F1513" s="1">
        <v>1.8171999999999999E-7</v>
      </c>
      <c r="G1513" s="1">
        <v>6.7148000000000003</v>
      </c>
      <c r="H1513" s="1">
        <v>1.9642000000000001E-7</v>
      </c>
      <c r="I1513" s="1">
        <f t="shared" si="207"/>
        <v>1.9642000000000001E-7</v>
      </c>
      <c r="J1513" s="4">
        <f t="shared" si="208"/>
        <v>-3.7556860399983051E-9</v>
      </c>
      <c r="K1513" s="4">
        <f t="shared" si="209"/>
        <v>-9.6404863136075083E-9</v>
      </c>
      <c r="L1513" s="4">
        <f t="shared" si="210"/>
        <v>-2.9670722344928257E-9</v>
      </c>
      <c r="M1513" s="4">
        <f t="shared" si="212"/>
        <v>-3.6680453774058876E-9</v>
      </c>
      <c r="N1513" s="5">
        <f t="shared" si="213"/>
        <v>1.1306633180894621E-6</v>
      </c>
      <c r="O1513" s="5">
        <f t="shared" si="214"/>
        <v>4.9216715862215862E-7</v>
      </c>
      <c r="P1513" s="5">
        <f t="shared" si="215"/>
        <v>1.7716952328837857E-7</v>
      </c>
      <c r="Q1513" s="1">
        <f t="shared" si="211"/>
        <v>1.7999999999999993E-6</v>
      </c>
    </row>
    <row r="1514" spans="1:17" x14ac:dyDescent="0.25">
      <c r="A1514" s="1">
        <v>75.599999999999994</v>
      </c>
      <c r="B1514" s="1">
        <v>5.1579E-3</v>
      </c>
      <c r="C1514" s="1">
        <v>3.0645999999999999E-4</v>
      </c>
      <c r="D1514" s="1">
        <v>3.2287999999999997E-2</v>
      </c>
      <c r="E1514" s="1">
        <v>3.4556999999999999E-3</v>
      </c>
      <c r="F1514" s="1">
        <v>1.8096E-7</v>
      </c>
      <c r="G1514" s="1">
        <v>6.7148000000000003</v>
      </c>
      <c r="H1514" s="1">
        <v>1.9644E-7</v>
      </c>
      <c r="I1514" s="1">
        <f t="shared" si="207"/>
        <v>1.9644E-7</v>
      </c>
      <c r="J1514" s="4">
        <f t="shared" si="208"/>
        <v>-3.7336943187017677E-9</v>
      </c>
      <c r="K1514" s="4">
        <f t="shared" si="209"/>
        <v>-9.5972595931315487E-9</v>
      </c>
      <c r="L1514" s="4">
        <f t="shared" si="210"/>
        <v>-2.954352405517677E-9</v>
      </c>
      <c r="M1514" s="4">
        <f t="shared" si="212"/>
        <v>-3.6539619652516408E-9</v>
      </c>
      <c r="N1514" s="5">
        <f t="shared" si="213"/>
        <v>1.1335725309583743E-6</v>
      </c>
      <c r="O1514" s="5">
        <f t="shared" si="214"/>
        <v>4.8995755531298053E-7</v>
      </c>
      <c r="P1514" s="5">
        <f t="shared" si="215"/>
        <v>1.764699137286446E-7</v>
      </c>
      <c r="Q1514" s="1">
        <f t="shared" si="211"/>
        <v>1.7999999999999995E-6</v>
      </c>
    </row>
    <row r="1515" spans="1:17" x14ac:dyDescent="0.25">
      <c r="A1515" s="1">
        <v>75.650000000000006</v>
      </c>
      <c r="B1515" s="1">
        <v>5.1507000000000002E-3</v>
      </c>
      <c r="C1515" s="1">
        <v>3.0515000000000002E-4</v>
      </c>
      <c r="D1515" s="1">
        <v>3.2293000000000002E-2</v>
      </c>
      <c r="E1515" s="1">
        <v>3.4464999999999999E-3</v>
      </c>
      <c r="F1515" s="1">
        <v>1.8020000000000001E-7</v>
      </c>
      <c r="G1515" s="1">
        <v>6.7146999999999997</v>
      </c>
      <c r="H1515" s="1">
        <v>1.9644999999999999E-7</v>
      </c>
      <c r="I1515" s="1">
        <f t="shared" si="207"/>
        <v>1.9644999999999999E-7</v>
      </c>
      <c r="J1515" s="4">
        <f t="shared" si="208"/>
        <v>-3.7120557370203517E-9</v>
      </c>
      <c r="K1515" s="4">
        <f t="shared" si="209"/>
        <v>-9.554172328605293E-9</v>
      </c>
      <c r="L1515" s="4">
        <f t="shared" si="210"/>
        <v>-2.941819556435018E-9</v>
      </c>
      <c r="M1515" s="4">
        <f t="shared" si="212"/>
        <v>-3.6399037345505969E-9</v>
      </c>
      <c r="N1515" s="5">
        <f t="shared" si="213"/>
        <v>1.1364728279935242E-6</v>
      </c>
      <c r="O1515" s="5">
        <f t="shared" si="214"/>
        <v>4.877553424559462E-7</v>
      </c>
      <c r="P1515" s="5">
        <f t="shared" si="215"/>
        <v>1.7577182955052902E-7</v>
      </c>
      <c r="Q1515" s="1">
        <f t="shared" si="211"/>
        <v>1.7999999999999993E-6</v>
      </c>
    </row>
    <row r="1516" spans="1:17" x14ac:dyDescent="0.25">
      <c r="A1516" s="1">
        <v>75.7</v>
      </c>
      <c r="B1516" s="1">
        <v>5.1434999999999996E-3</v>
      </c>
      <c r="C1516" s="1">
        <v>3.0384999999999999E-4</v>
      </c>
      <c r="D1516" s="1">
        <v>3.2296999999999999E-2</v>
      </c>
      <c r="E1516" s="1">
        <v>3.4374000000000002E-3</v>
      </c>
      <c r="F1516" s="1">
        <v>1.7944E-7</v>
      </c>
      <c r="G1516" s="1">
        <v>6.7146999999999997</v>
      </c>
      <c r="H1516" s="1">
        <v>1.9647000000000001E-7</v>
      </c>
      <c r="I1516" s="1">
        <f t="shared" si="207"/>
        <v>1.9647000000000001E-7</v>
      </c>
      <c r="J1516" s="4">
        <f t="shared" si="208"/>
        <v>-3.6903591129516745E-9</v>
      </c>
      <c r="K1516" s="4">
        <f t="shared" si="209"/>
        <v>-9.5112291778904104E-9</v>
      </c>
      <c r="L1516" s="4">
        <f t="shared" si="210"/>
        <v>-2.9291406289439495E-9</v>
      </c>
      <c r="M1516" s="4">
        <f t="shared" si="212"/>
        <v>-3.6256894710959436E-9</v>
      </c>
      <c r="N1516" s="5">
        <f t="shared" si="213"/>
        <v>1.1393645574295187E-6</v>
      </c>
      <c r="O1516" s="5">
        <f t="shared" si="214"/>
        <v>4.8556016186210343E-7</v>
      </c>
      <c r="P1516" s="5">
        <f t="shared" si="215"/>
        <v>1.7507528070837702E-7</v>
      </c>
      <c r="Q1516" s="1">
        <f t="shared" si="211"/>
        <v>1.7999999999999991E-6</v>
      </c>
    </row>
    <row r="1517" spans="1:17" x14ac:dyDescent="0.25">
      <c r="A1517" s="1">
        <v>75.75</v>
      </c>
      <c r="B1517" s="1">
        <v>5.1362999999999999E-3</v>
      </c>
      <c r="C1517" s="1">
        <v>3.0255000000000001E-4</v>
      </c>
      <c r="D1517" s="1">
        <v>3.2301000000000003E-2</v>
      </c>
      <c r="E1517" s="1">
        <v>3.4283999999999999E-3</v>
      </c>
      <c r="F1517" s="1">
        <v>1.7868999999999999E-7</v>
      </c>
      <c r="G1517" s="1">
        <v>6.7146999999999997</v>
      </c>
      <c r="H1517" s="1">
        <v>1.9648E-7</v>
      </c>
      <c r="I1517" s="1">
        <f t="shared" si="207"/>
        <v>1.9648E-7</v>
      </c>
      <c r="J1517" s="4">
        <f t="shared" si="208"/>
        <v>-3.668607307066174E-9</v>
      </c>
      <c r="K1517" s="4">
        <f t="shared" si="209"/>
        <v>-9.468423156310479E-9</v>
      </c>
      <c r="L1517" s="4">
        <f t="shared" si="210"/>
        <v>-2.9164876082720388E-9</v>
      </c>
      <c r="M1517" s="4">
        <f t="shared" si="212"/>
        <v>-3.6116892420811528E-9</v>
      </c>
      <c r="N1517" s="5">
        <f t="shared" si="213"/>
        <v>1.1422478856704907E-6</v>
      </c>
      <c r="O1517" s="5">
        <f t="shared" si="214"/>
        <v>4.8337203525494028E-7</v>
      </c>
      <c r="P1517" s="5">
        <f t="shared" si="215"/>
        <v>1.7438007907456791E-7</v>
      </c>
      <c r="Q1517" s="1">
        <f t="shared" si="211"/>
        <v>1.7999999999999989E-6</v>
      </c>
    </row>
    <row r="1518" spans="1:17" x14ac:dyDescent="0.25">
      <c r="A1518" s="1">
        <v>75.8</v>
      </c>
      <c r="B1518" s="1">
        <v>5.1291000000000002E-3</v>
      </c>
      <c r="C1518" s="1">
        <v>3.0127000000000002E-4</v>
      </c>
      <c r="D1518" s="1">
        <v>3.2305E-2</v>
      </c>
      <c r="E1518" s="1">
        <v>3.4193000000000001E-3</v>
      </c>
      <c r="F1518" s="1">
        <v>1.7795E-7</v>
      </c>
      <c r="G1518" s="1">
        <v>6.7145999999999999</v>
      </c>
      <c r="H1518" s="1">
        <v>1.9649999999999999E-7</v>
      </c>
      <c r="I1518" s="1">
        <f t="shared" si="207"/>
        <v>1.9649999999999999E-7</v>
      </c>
      <c r="J1518" s="4">
        <f t="shared" si="208"/>
        <v>-3.6472107604436219E-9</v>
      </c>
      <c r="K1518" s="4">
        <f t="shared" si="209"/>
        <v>-9.4257546874708002E-9</v>
      </c>
      <c r="L1518" s="4">
        <f t="shared" si="210"/>
        <v>-2.9040239571372428E-9</v>
      </c>
      <c r="M1518" s="4">
        <f t="shared" si="212"/>
        <v>-3.5975307833397614E-9</v>
      </c>
      <c r="N1518" s="5">
        <f t="shared" si="213"/>
        <v>1.145122405640381E-6</v>
      </c>
      <c r="O1518" s="5">
        <f t="shared" si="214"/>
        <v>4.8119102211125289E-7</v>
      </c>
      <c r="P1518" s="5">
        <f t="shared" si="215"/>
        <v>1.7368657224836538E-7</v>
      </c>
      <c r="Q1518" s="1">
        <f t="shared" si="211"/>
        <v>1.7999999999999993E-6</v>
      </c>
    </row>
    <row r="1519" spans="1:17" x14ac:dyDescent="0.25">
      <c r="A1519" s="1">
        <v>75.849999999999994</v>
      </c>
      <c r="B1519" s="1">
        <v>5.1219000000000004E-3</v>
      </c>
      <c r="C1519" s="1">
        <v>2.9998999999999998E-4</v>
      </c>
      <c r="D1519" s="1">
        <v>3.2309999999999998E-2</v>
      </c>
      <c r="E1519" s="1">
        <v>3.4102999999999998E-3</v>
      </c>
      <c r="F1519" s="1">
        <v>1.7721000000000001E-7</v>
      </c>
      <c r="G1519" s="1">
        <v>6.7145999999999999</v>
      </c>
      <c r="H1519" s="1">
        <v>1.9651999999999999E-7</v>
      </c>
      <c r="I1519" s="1">
        <f t="shared" si="207"/>
        <v>1.9651999999999999E-7</v>
      </c>
      <c r="J1519" s="4">
        <f t="shared" si="208"/>
        <v>-3.6261677984293381E-9</v>
      </c>
      <c r="K1519" s="4">
        <f t="shared" si="209"/>
        <v>-9.3832249311688976E-9</v>
      </c>
      <c r="L1519" s="4">
        <f t="shared" si="210"/>
        <v>-2.8915799688481689E-9</v>
      </c>
      <c r="M1519" s="4">
        <f t="shared" si="212"/>
        <v>-3.5835882019141947E-9</v>
      </c>
      <c r="N1519" s="5">
        <f t="shared" si="213"/>
        <v>1.1479878828042723E-6</v>
      </c>
      <c r="O1519" s="5">
        <f t="shared" si="214"/>
        <v>4.7901755318042757E-7</v>
      </c>
      <c r="P1519" s="5">
        <f t="shared" si="215"/>
        <v>1.7299456401529935E-7</v>
      </c>
      <c r="Q1519" s="1">
        <f t="shared" si="211"/>
        <v>1.7999999999999993E-6</v>
      </c>
    </row>
    <row r="1520" spans="1:17" x14ac:dyDescent="0.25">
      <c r="A1520" s="1">
        <v>75.900000000000006</v>
      </c>
      <c r="B1520" s="1">
        <v>5.1148000000000001E-3</v>
      </c>
      <c r="C1520" s="1">
        <v>2.9872999999999998E-4</v>
      </c>
      <c r="D1520" s="1">
        <v>3.2314000000000002E-2</v>
      </c>
      <c r="E1520" s="1">
        <v>3.4012999999999999E-3</v>
      </c>
      <c r="F1520" s="1">
        <v>1.7648E-7</v>
      </c>
      <c r="G1520" s="1">
        <v>6.7145999999999999</v>
      </c>
      <c r="H1520" s="1">
        <v>1.9653E-7</v>
      </c>
      <c r="I1520" s="1">
        <f t="shared" si="207"/>
        <v>1.9653E-7</v>
      </c>
      <c r="J1520" s="4">
        <f t="shared" si="208"/>
        <v>-3.6050704425856547E-9</v>
      </c>
      <c r="K1520" s="4">
        <f t="shared" si="209"/>
        <v>-9.3408422870204626E-9</v>
      </c>
      <c r="L1520" s="4">
        <f t="shared" si="210"/>
        <v>-2.8791627267621415E-9</v>
      </c>
      <c r="M1520" s="4">
        <f t="shared" si="212"/>
        <v>-3.5696736306309076E-9</v>
      </c>
      <c r="N1520" s="5">
        <f t="shared" si="213"/>
        <v>1.150844491921945E-6</v>
      </c>
      <c r="O1520" s="5">
        <f t="shared" si="214"/>
        <v>4.7685145496662364E-7</v>
      </c>
      <c r="P1520" s="5">
        <f t="shared" si="215"/>
        <v>1.7230405311143058E-7</v>
      </c>
      <c r="Q1520" s="1">
        <f t="shared" si="211"/>
        <v>1.7999999999999991E-6</v>
      </c>
    </row>
    <row r="1521" spans="1:17" x14ac:dyDescent="0.25">
      <c r="A1521" s="1">
        <v>75.95</v>
      </c>
      <c r="B1521" s="1">
        <v>5.1076000000000003E-3</v>
      </c>
      <c r="C1521" s="1">
        <v>2.9746999999999998E-4</v>
      </c>
      <c r="D1521" s="1">
        <v>3.2318E-2</v>
      </c>
      <c r="E1521" s="1">
        <v>3.3923E-3</v>
      </c>
      <c r="F1521" s="1">
        <v>1.7575E-7</v>
      </c>
      <c r="G1521" s="1">
        <v>6.7145000000000001</v>
      </c>
      <c r="H1521" s="1">
        <v>1.9655E-7</v>
      </c>
      <c r="I1521" s="1">
        <f t="shared" si="207"/>
        <v>1.9655E-7</v>
      </c>
      <c r="J1521" s="4">
        <f t="shared" si="208"/>
        <v>-3.5843270821698205E-9</v>
      </c>
      <c r="K1521" s="4">
        <f t="shared" si="209"/>
        <v>-9.2986033718486337E-9</v>
      </c>
      <c r="L1521" s="4">
        <f t="shared" si="210"/>
        <v>-2.866851347122873E-9</v>
      </c>
      <c r="M1521" s="4">
        <f t="shared" si="212"/>
        <v>-3.5556061335886902E-9</v>
      </c>
      <c r="N1521" s="5">
        <f t="shared" si="213"/>
        <v>1.1536919168645008E-6</v>
      </c>
      <c r="O1521" s="5">
        <f t="shared" si="214"/>
        <v>4.7469278481053346E-7</v>
      </c>
      <c r="P1521" s="5">
        <f t="shared" si="215"/>
        <v>1.7161529832496476E-7</v>
      </c>
      <c r="Q1521" s="1">
        <f t="shared" si="211"/>
        <v>1.7999999999999991E-6</v>
      </c>
    </row>
    <row r="1522" spans="1:17" x14ac:dyDescent="0.25">
      <c r="A1522" s="1">
        <v>76</v>
      </c>
      <c r="B1522" s="1">
        <v>5.1005E-3</v>
      </c>
      <c r="C1522" s="1">
        <v>2.9621999999999998E-4</v>
      </c>
      <c r="D1522" s="1">
        <v>3.2321999999999997E-2</v>
      </c>
      <c r="E1522" s="1">
        <v>3.3833999999999999E-3</v>
      </c>
      <c r="F1522" s="1">
        <v>1.7503E-7</v>
      </c>
      <c r="G1522" s="1">
        <v>6.7145000000000001</v>
      </c>
      <c r="H1522" s="1">
        <v>1.9656000000000001E-7</v>
      </c>
      <c r="I1522" s="1">
        <f t="shared" si="207"/>
        <v>1.9656000000000001E-7</v>
      </c>
      <c r="J1522" s="4">
        <f t="shared" si="208"/>
        <v>-3.5635308033853486E-9</v>
      </c>
      <c r="K1522" s="4">
        <f t="shared" si="209"/>
        <v>-9.2565093038048775E-9</v>
      </c>
      <c r="L1522" s="4">
        <f t="shared" si="210"/>
        <v>-2.8544834713482264E-9</v>
      </c>
      <c r="M1522" s="4">
        <f t="shared" si="212"/>
        <v>-3.5417536230058404E-9</v>
      </c>
      <c r="N1522" s="5">
        <f t="shared" si="213"/>
        <v>1.1565304118935721E-6</v>
      </c>
      <c r="O1522" s="5">
        <f t="shared" si="214"/>
        <v>4.7254155993311983E-7</v>
      </c>
      <c r="P1522" s="5">
        <f t="shared" si="215"/>
        <v>1.7092802817330715E-7</v>
      </c>
      <c r="Q1522" s="1">
        <f t="shared" si="211"/>
        <v>1.7999999999999991E-6</v>
      </c>
    </row>
    <row r="1523" spans="1:17" x14ac:dyDescent="0.25">
      <c r="A1523" s="1">
        <v>76.05</v>
      </c>
      <c r="B1523" s="1">
        <v>5.0933999999999997E-3</v>
      </c>
      <c r="C1523" s="1">
        <v>2.9499000000000002E-4</v>
      </c>
      <c r="D1523" s="1">
        <v>3.2326000000000001E-2</v>
      </c>
      <c r="E1523" s="1">
        <v>3.3744999999999999E-3</v>
      </c>
      <c r="F1523" s="1">
        <v>1.7431E-7</v>
      </c>
      <c r="G1523" s="1">
        <v>6.7144000000000004</v>
      </c>
      <c r="H1523" s="1">
        <v>1.9658E-7</v>
      </c>
      <c r="I1523" s="1">
        <f t="shared" si="207"/>
        <v>1.9658E-7</v>
      </c>
      <c r="J1523" s="4">
        <f t="shared" si="208"/>
        <v>-3.5430888474440885E-9</v>
      </c>
      <c r="K1523" s="4">
        <f t="shared" si="209"/>
        <v>-9.2145604186953131E-9</v>
      </c>
      <c r="L1523" s="4">
        <f t="shared" si="210"/>
        <v>-2.8423070471768079E-9</v>
      </c>
      <c r="M1523" s="4">
        <f t="shared" si="212"/>
        <v>-3.5277493878630512E-9</v>
      </c>
      <c r="N1523" s="5">
        <f t="shared" si="213"/>
        <v>1.1593595764176465E-6</v>
      </c>
      <c r="O1523" s="5">
        <f t="shared" si="214"/>
        <v>4.703978377497317E-7</v>
      </c>
      <c r="P1523" s="5">
        <f t="shared" si="215"/>
        <v>1.7024258583262092E-7</v>
      </c>
      <c r="Q1523" s="1">
        <f t="shared" si="211"/>
        <v>1.7999999999999993E-6</v>
      </c>
    </row>
    <row r="1524" spans="1:17" x14ac:dyDescent="0.25">
      <c r="A1524" s="1">
        <v>76.099999999999994</v>
      </c>
      <c r="B1524" s="1">
        <v>5.0863999999999996E-3</v>
      </c>
      <c r="C1524" s="1">
        <v>2.9376000000000001E-4</v>
      </c>
      <c r="D1524" s="1">
        <v>3.2330999999999999E-2</v>
      </c>
      <c r="E1524" s="1">
        <v>3.3655999999999998E-3</v>
      </c>
      <c r="F1524" s="1">
        <v>1.7359999999999999E-7</v>
      </c>
      <c r="G1524" s="1">
        <v>6.7144000000000004</v>
      </c>
      <c r="H1524" s="1">
        <v>1.9658999999999999E-7</v>
      </c>
      <c r="I1524" s="1">
        <f t="shared" si="207"/>
        <v>1.9658999999999999E-7</v>
      </c>
      <c r="J1524" s="4">
        <f t="shared" si="208"/>
        <v>-3.5225953661177888E-9</v>
      </c>
      <c r="K1524" s="4">
        <f t="shared" si="209"/>
        <v>-9.1727578361192461E-9</v>
      </c>
      <c r="L1524" s="4">
        <f t="shared" si="210"/>
        <v>-2.8300752659802985E-9</v>
      </c>
      <c r="M1524" s="4">
        <f t="shared" si="212"/>
        <v>-3.5139601899123461E-9</v>
      </c>
      <c r="N1524" s="5">
        <f t="shared" si="213"/>
        <v>1.1621796636216674E-6</v>
      </c>
      <c r="O1524" s="5">
        <f t="shared" si="214"/>
        <v>4.6826163546964254E-7</v>
      </c>
      <c r="P1524" s="5">
        <f t="shared" si="215"/>
        <v>1.6955870090868886E-7</v>
      </c>
      <c r="Q1524" s="1">
        <f t="shared" si="211"/>
        <v>1.7999999999999989E-6</v>
      </c>
    </row>
    <row r="1525" spans="1:17" x14ac:dyDescent="0.25">
      <c r="A1525" s="1">
        <v>76.150000000000006</v>
      </c>
      <c r="B1525" s="1">
        <v>5.0793000000000001E-3</v>
      </c>
      <c r="C1525" s="1">
        <v>2.9252999999999999E-4</v>
      </c>
      <c r="D1525" s="1">
        <v>3.2335000000000003E-2</v>
      </c>
      <c r="E1525" s="1">
        <v>3.3566999999999998E-3</v>
      </c>
      <c r="F1525" s="1">
        <v>1.7289999999999999E-7</v>
      </c>
      <c r="G1525" s="1">
        <v>6.7144000000000004</v>
      </c>
      <c r="H1525" s="1">
        <v>1.9661000000000001E-7</v>
      </c>
      <c r="I1525" s="1">
        <f t="shared" si="207"/>
        <v>1.9661000000000001E-7</v>
      </c>
      <c r="J1525" s="4">
        <f t="shared" si="208"/>
        <v>-3.5024562035387605E-9</v>
      </c>
      <c r="K1525" s="4">
        <f t="shared" si="209"/>
        <v>-9.1311018916601056E-9</v>
      </c>
      <c r="L1525" s="4">
        <f t="shared" si="210"/>
        <v>-2.8179519806632904E-9</v>
      </c>
      <c r="M1525" s="4">
        <f t="shared" si="212"/>
        <v>-3.5000222262229058E-9</v>
      </c>
      <c r="N1525" s="5">
        <f t="shared" si="213"/>
        <v>1.1649903573291256E-6</v>
      </c>
      <c r="O1525" s="5">
        <f t="shared" si="214"/>
        <v>4.6613301200774408E-7</v>
      </c>
      <c r="P1525" s="5">
        <f t="shared" si="215"/>
        <v>1.6887663066312925E-7</v>
      </c>
      <c r="Q1525" s="1">
        <f t="shared" si="211"/>
        <v>1.7999999999999989E-6</v>
      </c>
    </row>
    <row r="1526" spans="1:17" x14ac:dyDescent="0.25">
      <c r="A1526" s="1">
        <v>76.2</v>
      </c>
      <c r="B1526" s="1">
        <v>5.0723000000000001E-3</v>
      </c>
      <c r="C1526" s="1">
        <v>2.9132000000000002E-4</v>
      </c>
      <c r="D1526" s="1">
        <v>3.2339E-2</v>
      </c>
      <c r="E1526" s="1">
        <v>3.3479E-3</v>
      </c>
      <c r="F1526" s="1">
        <v>1.7219000000000001E-7</v>
      </c>
      <c r="G1526" s="1">
        <v>6.7142999999999997</v>
      </c>
      <c r="H1526" s="1">
        <v>1.9662E-7</v>
      </c>
      <c r="I1526" s="1">
        <f t="shared" si="207"/>
        <v>1.9662E-7</v>
      </c>
      <c r="J1526" s="4">
        <f t="shared" si="208"/>
        <v>-3.4826699388041409E-9</v>
      </c>
      <c r="K1526" s="4">
        <f t="shared" si="209"/>
        <v>-9.0895937341504926E-9</v>
      </c>
      <c r="L1526" s="4">
        <f t="shared" si="210"/>
        <v>-2.805937215839966E-9</v>
      </c>
      <c r="M1526" s="4">
        <f t="shared" si="212"/>
        <v>-3.4862976072409756E-9</v>
      </c>
      <c r="N1526" s="5">
        <f t="shared" si="213"/>
        <v>1.167791343908632E-6</v>
      </c>
      <c r="O1526" s="5">
        <f t="shared" si="214"/>
        <v>4.6401238581963869E-7</v>
      </c>
      <c r="P1526" s="5">
        <f t="shared" si="215"/>
        <v>1.6819627027172825E-7</v>
      </c>
      <c r="Q1526" s="1">
        <f t="shared" si="211"/>
        <v>1.7999999999999991E-6</v>
      </c>
    </row>
    <row r="1527" spans="1:17" x14ac:dyDescent="0.25">
      <c r="A1527" s="1">
        <v>76.25</v>
      </c>
      <c r="B1527" s="1">
        <v>5.0653E-3</v>
      </c>
      <c r="C1527" s="1">
        <v>2.9011999999999999E-4</v>
      </c>
      <c r="D1527" s="1">
        <v>3.2342999999999997E-2</v>
      </c>
      <c r="E1527" s="1">
        <v>3.3390999999999998E-3</v>
      </c>
      <c r="F1527" s="1">
        <v>1.7149999999999999E-7</v>
      </c>
      <c r="G1527" s="1">
        <v>6.7142999999999997</v>
      </c>
      <c r="H1527" s="1">
        <v>1.9663999999999999E-7</v>
      </c>
      <c r="I1527" s="1">
        <f t="shared" si="207"/>
        <v>1.9663999999999999E-7</v>
      </c>
      <c r="J1527" s="4">
        <f t="shared" si="208"/>
        <v>-3.4624308117696389E-9</v>
      </c>
      <c r="K1527" s="4">
        <f t="shared" si="209"/>
        <v>-9.0482415234824402E-9</v>
      </c>
      <c r="L1527" s="4">
        <f t="shared" si="210"/>
        <v>-2.7937899573786418E-9</v>
      </c>
      <c r="M1527" s="4">
        <f t="shared" si="212"/>
        <v>-3.4724288193866595E-9</v>
      </c>
      <c r="N1527" s="5">
        <f t="shared" si="213"/>
        <v>1.1705833646629662E-6</v>
      </c>
      <c r="O1527" s="5">
        <f t="shared" si="214"/>
        <v>4.6189900392731257E-7</v>
      </c>
      <c r="P1527" s="5">
        <f t="shared" si="215"/>
        <v>1.6751763140972026E-7</v>
      </c>
      <c r="Q1527" s="1">
        <f t="shared" si="211"/>
        <v>1.7999999999999989E-6</v>
      </c>
    </row>
    <row r="1528" spans="1:17" x14ac:dyDescent="0.25">
      <c r="A1528" s="1">
        <v>76.3</v>
      </c>
      <c r="B1528" s="1">
        <v>5.0582999999999999E-3</v>
      </c>
      <c r="C1528" s="1">
        <v>2.8893000000000001E-4</v>
      </c>
      <c r="D1528" s="1">
        <v>3.2347000000000001E-2</v>
      </c>
      <c r="E1528" s="1">
        <v>3.3303E-3</v>
      </c>
      <c r="F1528" s="1">
        <v>1.7081000000000001E-7</v>
      </c>
      <c r="G1528" s="1">
        <v>6.7142999999999997</v>
      </c>
      <c r="H1528" s="1">
        <v>1.9665999999999999E-7</v>
      </c>
      <c r="I1528" s="1">
        <f t="shared" si="207"/>
        <v>1.9665999999999999E-7</v>
      </c>
      <c r="J1528" s="4">
        <f t="shared" si="208"/>
        <v>-3.4429490567306368E-9</v>
      </c>
      <c r="K1528" s="4">
        <f t="shared" si="209"/>
        <v>-9.0070305765820841E-9</v>
      </c>
      <c r="L1528" s="4">
        <f t="shared" si="210"/>
        <v>-2.7819158869164121E-9</v>
      </c>
      <c r="M1528" s="4">
        <f t="shared" si="212"/>
        <v>-3.4587700392425795E-9</v>
      </c>
      <c r="N1528" s="5">
        <f t="shared" si="213"/>
        <v>1.1733655302959012E-6</v>
      </c>
      <c r="O1528" s="5">
        <f t="shared" si="214"/>
        <v>4.5979369244670375E-7</v>
      </c>
      <c r="P1528" s="5">
        <f t="shared" si="215"/>
        <v>1.6684077725739409E-7</v>
      </c>
      <c r="Q1528" s="1">
        <f t="shared" si="211"/>
        <v>1.7999999999999991E-6</v>
      </c>
    </row>
    <row r="1529" spans="1:17" x14ac:dyDescent="0.25">
      <c r="A1529" s="1">
        <v>76.349999999999994</v>
      </c>
      <c r="B1529" s="1">
        <v>5.0512999999999999E-3</v>
      </c>
      <c r="C1529" s="1">
        <v>2.8773999999999998E-4</v>
      </c>
      <c r="D1529" s="1">
        <v>3.2350999999999998E-2</v>
      </c>
      <c r="E1529" s="1">
        <v>3.3214999999999998E-3</v>
      </c>
      <c r="F1529" s="1">
        <v>1.7011999999999999E-7</v>
      </c>
      <c r="G1529" s="1">
        <v>6.7141999999999999</v>
      </c>
      <c r="H1529" s="1">
        <v>1.9667E-7</v>
      </c>
      <c r="I1529" s="1">
        <f t="shared" si="207"/>
        <v>1.9667E-7</v>
      </c>
      <c r="J1529" s="4">
        <f t="shared" si="208"/>
        <v>-3.4234178537717516E-9</v>
      </c>
      <c r="K1529" s="4">
        <f t="shared" si="209"/>
        <v>-8.9659770027102142E-9</v>
      </c>
      <c r="L1529" s="4">
        <f t="shared" si="210"/>
        <v>-2.7699891801081124E-9</v>
      </c>
      <c r="M1529" s="4">
        <f t="shared" si="212"/>
        <v>-3.4451452618209114E-9</v>
      </c>
      <c r="N1529" s="5">
        <f t="shared" si="213"/>
        <v>1.1761381002647317E-6</v>
      </c>
      <c r="O1529" s="5">
        <f t="shared" si="214"/>
        <v>4.576962785595862E-7</v>
      </c>
      <c r="P1529" s="5">
        <f t="shared" si="215"/>
        <v>1.6616562117568129E-7</v>
      </c>
      <c r="Q1529" s="1">
        <f t="shared" si="211"/>
        <v>1.7999999999999993E-6</v>
      </c>
    </row>
    <row r="1530" spans="1:17" x14ac:dyDescent="0.25">
      <c r="A1530" s="1">
        <v>76.400000000000006</v>
      </c>
      <c r="B1530" s="1">
        <v>5.0442999999999998E-3</v>
      </c>
      <c r="C1530" s="1">
        <v>2.8655999999999999E-4</v>
      </c>
      <c r="D1530" s="1">
        <v>3.2355000000000002E-2</v>
      </c>
      <c r="E1530" s="1">
        <v>3.3127999999999999E-3</v>
      </c>
      <c r="F1530" s="1">
        <v>1.6943999999999999E-7</v>
      </c>
      <c r="G1530" s="1">
        <v>6.7141999999999999</v>
      </c>
      <c r="H1530" s="1">
        <v>1.9669E-7</v>
      </c>
      <c r="I1530" s="1">
        <f t="shared" si="207"/>
        <v>1.9669E-7</v>
      </c>
      <c r="J1530" s="4">
        <f t="shared" si="208"/>
        <v>-3.4038394468537928E-9</v>
      </c>
      <c r="K1530" s="4">
        <f t="shared" si="209"/>
        <v>-8.9250774319139602E-9</v>
      </c>
      <c r="L1530" s="4">
        <f t="shared" si="210"/>
        <v>-2.7580113331359166E-9</v>
      </c>
      <c r="M1530" s="4">
        <f t="shared" si="212"/>
        <v>-3.43137823524601E-9</v>
      </c>
      <c r="N1530" s="5">
        <f t="shared" si="213"/>
        <v>1.1789013269166559E-6</v>
      </c>
      <c r="O1530" s="5">
        <f t="shared" si="214"/>
        <v>4.5560641880977209E-7</v>
      </c>
      <c r="P1530" s="5">
        <f t="shared" si="215"/>
        <v>1.6549225427357119E-7</v>
      </c>
      <c r="Q1530" s="1">
        <f t="shared" si="211"/>
        <v>1.7999999999999991E-6</v>
      </c>
    </row>
    <row r="1531" spans="1:17" x14ac:dyDescent="0.25">
      <c r="A1531" s="1">
        <v>76.45</v>
      </c>
      <c r="B1531" s="1">
        <v>5.0374E-3</v>
      </c>
      <c r="C1531" s="1">
        <v>2.8539E-4</v>
      </c>
      <c r="D1531" s="1">
        <v>3.2358999999999999E-2</v>
      </c>
      <c r="E1531" s="1">
        <v>3.3040999999999999E-3</v>
      </c>
      <c r="F1531" s="1">
        <v>1.6876000000000001E-7</v>
      </c>
      <c r="G1531" s="1">
        <v>6.7141000000000002</v>
      </c>
      <c r="H1531" s="1">
        <v>1.9670000000000001E-7</v>
      </c>
      <c r="I1531" s="1">
        <f t="shared" si="207"/>
        <v>1.9670000000000001E-7</v>
      </c>
      <c r="J1531" s="4">
        <f t="shared" si="208"/>
        <v>-3.3846155238700614E-9</v>
      </c>
      <c r="K1531" s="4">
        <f t="shared" si="209"/>
        <v>-8.8843251667900515E-9</v>
      </c>
      <c r="L1531" s="4">
        <f t="shared" si="210"/>
        <v>-2.7462287757335032E-9</v>
      </c>
      <c r="M1531" s="4">
        <f t="shared" si="212"/>
        <v>-3.4178205067720208E-9</v>
      </c>
      <c r="N1531" s="5">
        <f t="shared" si="213"/>
        <v>1.1816548077838425E-6</v>
      </c>
      <c r="O1531" s="5">
        <f t="shared" si="214"/>
        <v>4.5352452967362415E-7</v>
      </c>
      <c r="P1531" s="5">
        <f t="shared" si="215"/>
        <v>1.6482066254253266E-7</v>
      </c>
      <c r="Q1531" s="1">
        <f t="shared" si="211"/>
        <v>1.7999999999999995E-6</v>
      </c>
    </row>
    <row r="1532" spans="1:17" x14ac:dyDescent="0.25">
      <c r="A1532" s="1">
        <v>76.5</v>
      </c>
      <c r="B1532" s="1">
        <v>5.0304E-3</v>
      </c>
      <c r="C1532" s="1">
        <v>2.8424E-4</v>
      </c>
      <c r="D1532" s="1">
        <v>3.2363000000000003E-2</v>
      </c>
      <c r="E1532" s="1">
        <v>3.2954E-3</v>
      </c>
      <c r="F1532" s="1">
        <v>1.6808999999999999E-7</v>
      </c>
      <c r="G1532" s="1">
        <v>6.7141000000000002</v>
      </c>
      <c r="H1532" s="1">
        <v>1.9672E-7</v>
      </c>
      <c r="I1532" s="1">
        <f t="shared" si="207"/>
        <v>1.9672E-7</v>
      </c>
      <c r="J1532" s="4">
        <f t="shared" si="208"/>
        <v>-3.3653455190421919E-9</v>
      </c>
      <c r="K1532" s="4">
        <f t="shared" si="209"/>
        <v>-8.8437283286351688E-9</v>
      </c>
      <c r="L1532" s="4">
        <f t="shared" si="210"/>
        <v>-2.7343960794791015E-9</v>
      </c>
      <c r="M1532" s="4">
        <f t="shared" si="212"/>
        <v>-3.4041235538220049E-9</v>
      </c>
      <c r="N1532" s="5">
        <f t="shared" si="213"/>
        <v>1.1843987945139566E-6</v>
      </c>
      <c r="O1532" s="5">
        <f t="shared" si="214"/>
        <v>4.5145027041785322E-7</v>
      </c>
      <c r="P1532" s="5">
        <f t="shared" si="215"/>
        <v>1.6415093506818975E-7</v>
      </c>
      <c r="Q1532" s="1">
        <f t="shared" si="211"/>
        <v>1.7999999999999997E-6</v>
      </c>
    </row>
    <row r="1533" spans="1:17" x14ac:dyDescent="0.25">
      <c r="A1533" s="1">
        <v>76.55</v>
      </c>
      <c r="B1533" s="1">
        <v>5.0235000000000002E-3</v>
      </c>
      <c r="C1533" s="1">
        <v>2.8308000000000001E-4</v>
      </c>
      <c r="D1533" s="1">
        <v>3.2367E-2</v>
      </c>
      <c r="E1533" s="1">
        <v>3.2867999999999999E-3</v>
      </c>
      <c r="F1533" s="1">
        <v>1.6742E-7</v>
      </c>
      <c r="G1533" s="1">
        <v>6.7141000000000002</v>
      </c>
      <c r="H1533" s="1">
        <v>1.9672999999999999E-7</v>
      </c>
      <c r="I1533" s="1">
        <f t="shared" si="207"/>
        <v>1.9672999999999999E-7</v>
      </c>
      <c r="J1533" s="4">
        <f t="shared" si="208"/>
        <v>-3.346429738953634E-9</v>
      </c>
      <c r="K1533" s="4">
        <f t="shared" si="209"/>
        <v>-8.8032802731476373E-9</v>
      </c>
      <c r="L1533" s="4">
        <f t="shared" si="210"/>
        <v>-2.7226766572225235E-9</v>
      </c>
      <c r="M1533" s="4">
        <f t="shared" si="212"/>
        <v>-3.3906360543943078E-9</v>
      </c>
      <c r="N1533" s="5">
        <f t="shared" si="213"/>
        <v>1.1871329683909281E-6</v>
      </c>
      <c r="O1533" s="5">
        <f t="shared" si="214"/>
        <v>4.4938405593805348E-7</v>
      </c>
      <c r="P1533" s="5">
        <f t="shared" si="215"/>
        <v>1.6348297567101799E-7</v>
      </c>
      <c r="Q1533" s="1">
        <f t="shared" si="211"/>
        <v>1.7999999999999995E-6</v>
      </c>
    </row>
    <row r="1534" spans="1:17" x14ac:dyDescent="0.25">
      <c r="A1534" s="1">
        <v>76.599999999999994</v>
      </c>
      <c r="B1534" s="1">
        <v>5.0166000000000004E-3</v>
      </c>
      <c r="C1534" s="1">
        <v>2.8194E-4</v>
      </c>
      <c r="D1534" s="1">
        <v>3.2370999999999997E-2</v>
      </c>
      <c r="E1534" s="1">
        <v>3.2782000000000002E-3</v>
      </c>
      <c r="F1534" s="1">
        <v>1.6675999999999999E-7</v>
      </c>
      <c r="G1534" s="1">
        <v>6.7140000000000004</v>
      </c>
      <c r="H1534" s="1">
        <v>1.9675000000000001E-7</v>
      </c>
      <c r="I1534" s="1">
        <f t="shared" si="207"/>
        <v>1.9675000000000001E-7</v>
      </c>
      <c r="J1534" s="4">
        <f t="shared" si="208"/>
        <v>-3.3274691778514206E-9</v>
      </c>
      <c r="K1534" s="4">
        <f t="shared" si="209"/>
        <v>-8.7629890907915461E-9</v>
      </c>
      <c r="L1534" s="4">
        <f t="shared" si="210"/>
        <v>-2.7109910183438363E-9</v>
      </c>
      <c r="M1534" s="4">
        <f t="shared" si="212"/>
        <v>-3.3770106093945416E-9</v>
      </c>
      <c r="N1534" s="5">
        <f t="shared" si="213"/>
        <v>1.1898574972855243E-6</v>
      </c>
      <c r="O1534" s="5">
        <f t="shared" si="214"/>
        <v>4.4732554663450789E-7</v>
      </c>
      <c r="P1534" s="5">
        <f t="shared" si="215"/>
        <v>1.6281695607996729E-7</v>
      </c>
      <c r="Q1534" s="1">
        <f t="shared" si="211"/>
        <v>1.7999999999999995E-6</v>
      </c>
    </row>
    <row r="1535" spans="1:17" x14ac:dyDescent="0.25">
      <c r="A1535" s="1">
        <v>76.650000000000006</v>
      </c>
      <c r="B1535" s="1">
        <v>5.0096999999999997E-3</v>
      </c>
      <c r="C1535" s="1">
        <v>2.8080999999999999E-4</v>
      </c>
      <c r="D1535" s="1">
        <v>3.2375000000000001E-2</v>
      </c>
      <c r="E1535" s="1">
        <v>3.2696000000000001E-3</v>
      </c>
      <c r="F1535" s="1">
        <v>1.6610000000000001E-7</v>
      </c>
      <c r="G1535" s="1">
        <v>6.7140000000000004</v>
      </c>
      <c r="H1535" s="1">
        <v>1.9676E-7</v>
      </c>
      <c r="I1535" s="1">
        <f t="shared" si="207"/>
        <v>1.9676E-7</v>
      </c>
      <c r="J1535" s="4">
        <f t="shared" si="208"/>
        <v>-3.3088625300612941E-9</v>
      </c>
      <c r="K1535" s="4">
        <f t="shared" si="209"/>
        <v>-8.722848159374888E-9</v>
      </c>
      <c r="L1535" s="4">
        <f t="shared" si="210"/>
        <v>-2.6994194984465569E-9</v>
      </c>
      <c r="M1535" s="4">
        <f t="shared" si="212"/>
        <v>-3.3635947914177892E-9</v>
      </c>
      <c r="N1535" s="5">
        <f t="shared" si="213"/>
        <v>1.1925720634163912E-6</v>
      </c>
      <c r="O1535" s="5">
        <f t="shared" si="214"/>
        <v>4.4527515579661207E-7</v>
      </c>
      <c r="P1535" s="5">
        <f t="shared" si="215"/>
        <v>1.6215278078699605E-7</v>
      </c>
      <c r="Q1535" s="1">
        <f t="shared" si="211"/>
        <v>1.7999999999999993E-6</v>
      </c>
    </row>
    <row r="1536" spans="1:17" x14ac:dyDescent="0.25">
      <c r="A1536" s="1">
        <v>76.7</v>
      </c>
      <c r="B1536" s="1">
        <v>5.0029000000000002E-3</v>
      </c>
      <c r="C1536" s="1">
        <v>2.7967999999999998E-4</v>
      </c>
      <c r="D1536" s="1">
        <v>3.2378999999999998E-2</v>
      </c>
      <c r="E1536" s="1">
        <v>3.261E-3</v>
      </c>
      <c r="F1536" s="1">
        <v>1.6544999999999999E-7</v>
      </c>
      <c r="G1536" s="1">
        <v>6.7140000000000004</v>
      </c>
      <c r="H1536" s="1">
        <v>1.9677999999999999E-7</v>
      </c>
      <c r="I1536" s="1">
        <f t="shared" si="207"/>
        <v>1.9677999999999999E-7</v>
      </c>
      <c r="J1536" s="4">
        <f t="shared" si="208"/>
        <v>-3.2902121097726271E-9</v>
      </c>
      <c r="K1536" s="4">
        <f t="shared" si="209"/>
        <v>-8.6828655380334428E-9</v>
      </c>
      <c r="L1536" s="4">
        <f t="shared" si="210"/>
        <v>-2.6878002217680439E-9</v>
      </c>
      <c r="M1536" s="4">
        <f t="shared" si="212"/>
        <v>-3.3500440205029902E-9</v>
      </c>
      <c r="N1536" s="5">
        <f t="shared" si="213"/>
        <v>1.195276916622884E-6</v>
      </c>
      <c r="O1536" s="5">
        <f t="shared" si="214"/>
        <v>4.4323254638885425E-7</v>
      </c>
      <c r="P1536" s="5">
        <f t="shared" si="215"/>
        <v>1.6149053698826109E-7</v>
      </c>
      <c r="Q1536" s="1">
        <f t="shared" si="211"/>
        <v>1.7999999999999995E-6</v>
      </c>
    </row>
    <row r="1537" spans="1:17" x14ac:dyDescent="0.25">
      <c r="A1537" s="1">
        <v>76.75</v>
      </c>
      <c r="B1537" s="1">
        <v>4.9959999999999996E-3</v>
      </c>
      <c r="C1537" s="1">
        <v>2.7857000000000001E-4</v>
      </c>
      <c r="D1537" s="1">
        <v>3.2383000000000002E-2</v>
      </c>
      <c r="E1537" s="1">
        <v>3.2523999999999999E-3</v>
      </c>
      <c r="F1537" s="1">
        <v>1.6479999999999999E-7</v>
      </c>
      <c r="G1537" s="1">
        <v>6.7138999999999998</v>
      </c>
      <c r="H1537" s="1">
        <v>1.9679E-7</v>
      </c>
      <c r="I1537" s="1">
        <f t="shared" si="207"/>
        <v>1.9679E-7</v>
      </c>
      <c r="J1537" s="4">
        <f t="shared" si="208"/>
        <v>-3.2719154720750267E-9</v>
      </c>
      <c r="K1537" s="4">
        <f t="shared" si="209"/>
        <v>-8.6430346545821673E-9</v>
      </c>
      <c r="L1537" s="4">
        <f t="shared" si="210"/>
        <v>-2.6762963355039075E-9</v>
      </c>
      <c r="M1537" s="4">
        <f t="shared" si="212"/>
        <v>-3.3367013261975618E-9</v>
      </c>
      <c r="N1537" s="5">
        <f t="shared" si="213"/>
        <v>1.1979717394698872E-6</v>
      </c>
      <c r="O1537" s="5">
        <f t="shared" si="214"/>
        <v>4.4119812853254464E-7</v>
      </c>
      <c r="P1537" s="5">
        <f t="shared" si="215"/>
        <v>1.6083013199756745E-7</v>
      </c>
      <c r="Q1537" s="1">
        <f t="shared" si="211"/>
        <v>1.7999999999999991E-6</v>
      </c>
    </row>
    <row r="1538" spans="1:17" x14ac:dyDescent="0.25">
      <c r="A1538" s="1">
        <v>76.8</v>
      </c>
      <c r="B1538" s="1">
        <v>4.9892000000000001E-3</v>
      </c>
      <c r="C1538" s="1">
        <v>2.7745999999999999E-4</v>
      </c>
      <c r="D1538" s="1">
        <v>3.2386999999999999E-2</v>
      </c>
      <c r="E1538" s="1">
        <v>3.2439000000000001E-3</v>
      </c>
      <c r="F1538" s="1">
        <v>1.6416000000000001E-7</v>
      </c>
      <c r="G1538" s="1">
        <v>6.7138999999999998</v>
      </c>
      <c r="H1538" s="1">
        <v>1.9681E-7</v>
      </c>
      <c r="I1538" s="1">
        <f t="shared" si="207"/>
        <v>1.9681E-7</v>
      </c>
      <c r="J1538" s="4">
        <f t="shared" si="208"/>
        <v>-3.2535762391130395E-9</v>
      </c>
      <c r="K1538" s="4">
        <f t="shared" si="209"/>
        <v>-8.6033635063841314E-9</v>
      </c>
      <c r="L1538" s="4">
        <f t="shared" si="210"/>
        <v>-2.6647460645860855E-9</v>
      </c>
      <c r="M1538" s="4">
        <f t="shared" si="212"/>
        <v>-3.3232249759589475E-9</v>
      </c>
      <c r="N1538" s="5">
        <f t="shared" si="213"/>
        <v>1.2006567806725722E-6</v>
      </c>
      <c r="O1538" s="5">
        <f t="shared" si="214"/>
        <v>4.3917156624123249E-7</v>
      </c>
      <c r="P1538" s="5">
        <f t="shared" si="215"/>
        <v>1.6017165308619457E-7</v>
      </c>
      <c r="Q1538" s="1">
        <f t="shared" si="211"/>
        <v>1.7999999999999993E-6</v>
      </c>
    </row>
    <row r="1539" spans="1:17" x14ac:dyDescent="0.25">
      <c r="A1539" s="1">
        <v>76.849999999999994</v>
      </c>
      <c r="B1539" s="1">
        <v>4.9823999999999997E-3</v>
      </c>
      <c r="C1539" s="1">
        <v>2.7636000000000002E-4</v>
      </c>
      <c r="D1539" s="1">
        <v>3.2391000000000003E-2</v>
      </c>
      <c r="E1539" s="1">
        <v>3.2353999999999998E-3</v>
      </c>
      <c r="F1539" s="1">
        <v>1.6352E-7</v>
      </c>
      <c r="G1539" s="1">
        <v>6.7138999999999998</v>
      </c>
      <c r="H1539" s="1">
        <v>1.9682000000000001E-7</v>
      </c>
      <c r="I1539" s="1">
        <f t="shared" ref="I1539:I1602" si="216">H1539</f>
        <v>1.9682000000000001E-7</v>
      </c>
      <c r="J1539" s="4">
        <f t="shared" ref="J1539:J1602" si="217">(-$T$4*F1538^2*N1538)*(A1539-A1538)</f>
        <v>-3.2355905977630949E-9</v>
      </c>
      <c r="K1539" s="4">
        <f t="shared" ref="K1539:K1602" si="218">-O1538*$T$7*(A1539-A1538)</f>
        <v>-8.5638455417035466E-9</v>
      </c>
      <c r="L1539" s="4">
        <f t="shared" ref="L1539:L1602" si="219">-$T$5*F1538*E1538*(A1539-A1538)*N1538</f>
        <v>-2.6533942014709651E-9</v>
      </c>
      <c r="M1539" s="4">
        <f t="shared" si="212"/>
        <v>-3.3099552196086768E-9</v>
      </c>
      <c r="N1539" s="5">
        <f t="shared" si="213"/>
        <v>1.2033316414150416E-6</v>
      </c>
      <c r="O1539" s="5">
        <f t="shared" si="214"/>
        <v>4.371532665169007E-7</v>
      </c>
      <c r="P1539" s="5">
        <f t="shared" si="215"/>
        <v>1.5951509206805685E-7</v>
      </c>
      <c r="Q1539" s="1">
        <f t="shared" ref="Q1539:Q1602" si="220">N1539+O1539+P1539</f>
        <v>1.7999999999999991E-6</v>
      </c>
    </row>
    <row r="1540" spans="1:17" x14ac:dyDescent="0.25">
      <c r="A1540" s="1">
        <v>76.900000000000006</v>
      </c>
      <c r="B1540" s="1">
        <v>4.9756000000000002E-3</v>
      </c>
      <c r="C1540" s="1">
        <v>2.7526999999999999E-4</v>
      </c>
      <c r="D1540" s="1">
        <v>3.2395E-2</v>
      </c>
      <c r="E1540" s="1">
        <v>3.2269999999999998E-3</v>
      </c>
      <c r="F1540" s="1">
        <v>1.6289E-7</v>
      </c>
      <c r="G1540" s="1">
        <v>6.7138</v>
      </c>
      <c r="H1540" s="1">
        <v>1.9684000000000001E-7</v>
      </c>
      <c r="I1540" s="1">
        <f t="shared" si="216"/>
        <v>1.9684000000000001E-7</v>
      </c>
      <c r="J1540" s="4">
        <f t="shared" si="217"/>
        <v>-3.217563254149207E-9</v>
      </c>
      <c r="K1540" s="4">
        <f t="shared" si="218"/>
        <v>-8.524488697081501E-9</v>
      </c>
      <c r="L1540" s="4">
        <f t="shared" si="219"/>
        <v>-2.6419968341957272E-9</v>
      </c>
      <c r="M1540" s="4">
        <f t="shared" ref="M1540:M1603" si="221">-P1539*$T$8*I1539*(A1540-A1539)</f>
        <v>-3.2965548441884197E-9</v>
      </c>
      <c r="N1540" s="5">
        <f t="shared" ref="N1540:N1603" si="222">N1539+J1540-K1540+L1540</f>
        <v>1.2059965700237781E-6</v>
      </c>
      <c r="O1540" s="5">
        <f t="shared" ref="O1540:O1603" si="223">-J1540+O1539+K1540-M1540</f>
        <v>4.3514289591815686E-7</v>
      </c>
      <c r="P1540" s="5">
        <f t="shared" ref="P1540:P1603" si="224">P1539-L1540+M1540</f>
        <v>1.5886053405806415E-7</v>
      </c>
      <c r="Q1540" s="1">
        <f t="shared" si="220"/>
        <v>1.7999999999999993E-6</v>
      </c>
    </row>
    <row r="1541" spans="1:17" x14ac:dyDescent="0.25">
      <c r="A1541" s="1">
        <v>76.95</v>
      </c>
      <c r="B1541" s="1">
        <v>4.9689000000000001E-3</v>
      </c>
      <c r="C1541" s="1">
        <v>2.7418000000000001E-4</v>
      </c>
      <c r="D1541" s="1">
        <v>3.2398999999999997E-2</v>
      </c>
      <c r="E1541" s="1">
        <v>3.2185E-3</v>
      </c>
      <c r="F1541" s="1">
        <v>1.6226E-7</v>
      </c>
      <c r="G1541" s="1">
        <v>6.7138</v>
      </c>
      <c r="H1541" s="1">
        <v>1.9684999999999999E-7</v>
      </c>
      <c r="I1541" s="1">
        <f t="shared" si="216"/>
        <v>1.9684999999999999E-7</v>
      </c>
      <c r="J1541" s="4">
        <f t="shared" si="217"/>
        <v>-3.199889042451739E-9</v>
      </c>
      <c r="K1541" s="4">
        <f t="shared" si="218"/>
        <v>-8.4852864704035768E-9</v>
      </c>
      <c r="L1541" s="4">
        <f t="shared" si="219"/>
        <v>-2.630798333290306E-9</v>
      </c>
      <c r="M1541" s="4">
        <f t="shared" si="221"/>
        <v>-3.283361290018695E-9</v>
      </c>
      <c r="N1541" s="5">
        <f t="shared" si="222"/>
        <v>1.2086511691184397E-6</v>
      </c>
      <c r="O1541" s="5">
        <f t="shared" si="223"/>
        <v>4.3314085978022377E-7</v>
      </c>
      <c r="P1541" s="5">
        <f t="shared" si="224"/>
        <v>1.5820797110133578E-7</v>
      </c>
      <c r="Q1541" s="1">
        <f t="shared" si="220"/>
        <v>1.7999999999999993E-6</v>
      </c>
    </row>
    <row r="1542" spans="1:17" x14ac:dyDescent="0.25">
      <c r="A1542" s="1">
        <v>77</v>
      </c>
      <c r="B1542" s="1">
        <v>4.9620999999999997E-3</v>
      </c>
      <c r="C1542" s="1">
        <v>2.7311000000000002E-4</v>
      </c>
      <c r="D1542" s="1">
        <v>3.2403000000000001E-2</v>
      </c>
      <c r="E1542" s="1">
        <v>3.2101E-3</v>
      </c>
      <c r="F1542" s="1">
        <v>1.6164000000000001E-7</v>
      </c>
      <c r="G1542" s="1">
        <v>6.7138</v>
      </c>
      <c r="H1542" s="1">
        <v>1.9686999999999999E-7</v>
      </c>
      <c r="I1542" s="1">
        <f t="shared" si="216"/>
        <v>1.9686999999999999E-7</v>
      </c>
      <c r="J1542" s="4">
        <f t="shared" si="217"/>
        <v>-3.1821739761648093E-9</v>
      </c>
      <c r="K1542" s="4">
        <f t="shared" si="218"/>
        <v>-8.446246765713884E-9</v>
      </c>
      <c r="L1542" s="4">
        <f t="shared" si="219"/>
        <v>-2.6194737957900112E-9</v>
      </c>
      <c r="M1542" s="4">
        <f t="shared" si="221"/>
        <v>-3.2700401066860985E-9</v>
      </c>
      <c r="N1542" s="5">
        <f t="shared" si="222"/>
        <v>1.2112957681121987E-6</v>
      </c>
      <c r="O1542" s="5">
        <f t="shared" si="223"/>
        <v>4.311468270973608E-7</v>
      </c>
      <c r="P1542" s="5">
        <f t="shared" si="224"/>
        <v>1.5755740479043971E-7</v>
      </c>
      <c r="Q1542" s="1">
        <f t="shared" si="220"/>
        <v>1.7999999999999993E-6</v>
      </c>
    </row>
    <row r="1543" spans="1:17" x14ac:dyDescent="0.25">
      <c r="A1543" s="1">
        <v>77.05</v>
      </c>
      <c r="B1543" s="1">
        <v>4.9554000000000004E-3</v>
      </c>
      <c r="C1543" s="1">
        <v>2.7203999999999998E-4</v>
      </c>
      <c r="D1543" s="1">
        <v>3.2406999999999998E-2</v>
      </c>
      <c r="E1543" s="1">
        <v>3.2017E-3</v>
      </c>
      <c r="F1543" s="1">
        <v>1.6102E-7</v>
      </c>
      <c r="G1543" s="1">
        <v>6.7137000000000002</v>
      </c>
      <c r="H1543" s="1">
        <v>1.9688E-7</v>
      </c>
      <c r="I1543" s="1">
        <f t="shared" si="216"/>
        <v>1.9688E-7</v>
      </c>
      <c r="J1543" s="4">
        <f t="shared" si="217"/>
        <v>-3.1648117583873683E-9</v>
      </c>
      <c r="K1543" s="4">
        <f t="shared" si="218"/>
        <v>-8.4073631283980588E-9</v>
      </c>
      <c r="L1543" s="4">
        <f t="shared" si="219"/>
        <v>-2.608349000014666E-9</v>
      </c>
      <c r="M1543" s="4">
        <f t="shared" si="221"/>
        <v>-3.2569242595146707E-9</v>
      </c>
      <c r="N1543" s="5">
        <f t="shared" si="222"/>
        <v>1.2139299704821947E-6</v>
      </c>
      <c r="O1543" s="5">
        <f t="shared" si="223"/>
        <v>4.2916119998686477E-7</v>
      </c>
      <c r="P1543" s="5">
        <f t="shared" si="224"/>
        <v>1.5690882953093971E-7</v>
      </c>
      <c r="Q1543" s="1">
        <f t="shared" si="220"/>
        <v>1.7999999999999993E-6</v>
      </c>
    </row>
    <row r="1544" spans="1:17" x14ac:dyDescent="0.25">
      <c r="A1544" s="1">
        <v>77.099999999999994</v>
      </c>
      <c r="B1544" s="1">
        <v>4.9486E-3</v>
      </c>
      <c r="C1544" s="1">
        <v>2.7097999999999998E-4</v>
      </c>
      <c r="D1544" s="1">
        <v>3.2411000000000002E-2</v>
      </c>
      <c r="E1544" s="1">
        <v>3.1933E-3</v>
      </c>
      <c r="F1544" s="1">
        <v>1.6040999999999999E-7</v>
      </c>
      <c r="G1544" s="1">
        <v>6.7137000000000002</v>
      </c>
      <c r="H1544" s="1">
        <v>1.969E-7</v>
      </c>
      <c r="I1544" s="1">
        <f t="shared" si="216"/>
        <v>1.969E-7</v>
      </c>
      <c r="J1544" s="4">
        <f t="shared" si="217"/>
        <v>-3.147409695944907E-9</v>
      </c>
      <c r="K1544" s="4">
        <f t="shared" si="218"/>
        <v>-8.3686433997433879E-9</v>
      </c>
      <c r="L1544" s="4">
        <f t="shared" si="219"/>
        <v>-2.5971808308007238E-9</v>
      </c>
      <c r="M1544" s="4">
        <f t="shared" si="221"/>
        <v>-3.243682087595214E-9</v>
      </c>
      <c r="N1544" s="5">
        <f t="shared" si="222"/>
        <v>1.2165540233551924E-6</v>
      </c>
      <c r="O1544" s="5">
        <f t="shared" si="223"/>
        <v>4.271836483706615E-7</v>
      </c>
      <c r="P1544" s="5">
        <f t="shared" si="224"/>
        <v>1.5626232827414523E-7</v>
      </c>
      <c r="Q1544" s="1">
        <f t="shared" si="220"/>
        <v>1.7999999999999991E-6</v>
      </c>
    </row>
    <row r="1545" spans="1:17" x14ac:dyDescent="0.25">
      <c r="A1545" s="1">
        <v>77.150000000000006</v>
      </c>
      <c r="B1545" s="1">
        <v>4.9418999999999999E-3</v>
      </c>
      <c r="C1545" s="1">
        <v>2.6992999999999999E-4</v>
      </c>
      <c r="D1545" s="1">
        <v>3.2414999999999999E-2</v>
      </c>
      <c r="E1545" s="1">
        <v>3.1849999999999999E-3</v>
      </c>
      <c r="F1545" s="1">
        <v>1.5979999999999999E-7</v>
      </c>
      <c r="G1545" s="1">
        <v>6.7137000000000002</v>
      </c>
      <c r="H1545" s="1">
        <v>1.9691000000000001E-7</v>
      </c>
      <c r="I1545" s="1">
        <f t="shared" si="216"/>
        <v>1.9691000000000001E-7</v>
      </c>
      <c r="J1545" s="4">
        <f t="shared" si="217"/>
        <v>-3.1303599388495573E-9</v>
      </c>
      <c r="K1545" s="4">
        <f t="shared" si="218"/>
        <v>-8.3300811432297924E-9</v>
      </c>
      <c r="L1545" s="4">
        <f t="shared" si="219"/>
        <v>-2.5861318078562684E-9</v>
      </c>
      <c r="M1545" s="4">
        <f t="shared" si="221"/>
        <v>-3.2306455059045496E-9</v>
      </c>
      <c r="N1545" s="5">
        <f t="shared" si="222"/>
        <v>1.2191676127517163E-6</v>
      </c>
      <c r="O1545" s="5">
        <f t="shared" si="223"/>
        <v>4.2521457267218581E-7</v>
      </c>
      <c r="P1545" s="5">
        <f t="shared" si="224"/>
        <v>1.5561781457609694E-7</v>
      </c>
      <c r="Q1545" s="1">
        <f t="shared" si="220"/>
        <v>1.7999999999999989E-6</v>
      </c>
    </row>
    <row r="1546" spans="1:17" x14ac:dyDescent="0.25">
      <c r="A1546" s="1">
        <v>77.2</v>
      </c>
      <c r="B1546" s="1">
        <v>4.9353000000000001E-3</v>
      </c>
      <c r="C1546" s="1">
        <v>2.6888999999999998E-4</v>
      </c>
      <c r="D1546" s="1">
        <v>3.2419000000000003E-2</v>
      </c>
      <c r="E1546" s="1">
        <v>3.1767000000000002E-3</v>
      </c>
      <c r="F1546" s="1">
        <v>1.5919000000000001E-7</v>
      </c>
      <c r="G1546" s="1">
        <v>6.7135999999999996</v>
      </c>
      <c r="H1546" s="1">
        <v>1.9691999999999999E-7</v>
      </c>
      <c r="I1546" s="1">
        <f t="shared" si="216"/>
        <v>1.9691999999999999E-7</v>
      </c>
      <c r="J1546" s="4">
        <f t="shared" si="217"/>
        <v>-3.1132712925930562E-9</v>
      </c>
      <c r="K1546" s="4">
        <f t="shared" si="218"/>
        <v>-8.2916841671071523E-9</v>
      </c>
      <c r="L1546" s="4">
        <f t="shared" si="219"/>
        <v>-2.5751215036090032E-9</v>
      </c>
      <c r="M1546" s="4">
        <f t="shared" si="221"/>
        <v>-3.2174839061586379E-9</v>
      </c>
      <c r="N1546" s="5">
        <f t="shared" si="222"/>
        <v>1.2217709041226214E-6</v>
      </c>
      <c r="O1546" s="5">
        <f t="shared" si="223"/>
        <v>4.2325364370383034E-7</v>
      </c>
      <c r="P1546" s="5">
        <f t="shared" si="224"/>
        <v>1.549754521735473E-7</v>
      </c>
      <c r="Q1546" s="1">
        <f t="shared" si="220"/>
        <v>1.7999999999999989E-6</v>
      </c>
    </row>
    <row r="1547" spans="1:17" x14ac:dyDescent="0.25">
      <c r="A1547" s="1">
        <v>77.25</v>
      </c>
      <c r="B1547" s="1">
        <v>4.9286E-3</v>
      </c>
      <c r="C1547" s="1">
        <v>2.6784999999999998E-4</v>
      </c>
      <c r="D1547" s="1">
        <v>3.2421999999999999E-2</v>
      </c>
      <c r="E1547" s="1">
        <v>3.1684E-3</v>
      </c>
      <c r="F1547" s="1">
        <v>1.5858999999999999E-7</v>
      </c>
      <c r="G1547" s="1">
        <v>6.7135999999999996</v>
      </c>
      <c r="H1547" s="1">
        <v>1.9693999999999999E-7</v>
      </c>
      <c r="I1547" s="1">
        <f t="shared" si="216"/>
        <v>1.9693999999999999E-7</v>
      </c>
      <c r="J1547" s="4">
        <f t="shared" si="217"/>
        <v>-3.0961453731078964E-9</v>
      </c>
      <c r="K1547" s="4">
        <f t="shared" si="218"/>
        <v>-8.2534460522242228E-9</v>
      </c>
      <c r="L1547" s="4">
        <f t="shared" si="219"/>
        <v>-2.5640699025077074E-9</v>
      </c>
      <c r="M1547" s="4">
        <f t="shared" si="221"/>
        <v>-3.2043654344113859E-9</v>
      </c>
      <c r="N1547" s="5">
        <f t="shared" si="222"/>
        <v>1.2243641348992299E-6</v>
      </c>
      <c r="O1547" s="5">
        <f t="shared" si="223"/>
        <v>4.2130070845912539E-7</v>
      </c>
      <c r="P1547" s="5">
        <f t="shared" si="224"/>
        <v>1.5433515664164363E-7</v>
      </c>
      <c r="Q1547" s="1">
        <f t="shared" si="220"/>
        <v>1.7999999999999989E-6</v>
      </c>
    </row>
    <row r="1548" spans="1:17" x14ac:dyDescent="0.25">
      <c r="A1548" s="1">
        <v>77.3</v>
      </c>
      <c r="B1548" s="1">
        <v>4.9218999999999999E-3</v>
      </c>
      <c r="C1548" s="1">
        <v>2.6683000000000002E-4</v>
      </c>
      <c r="D1548" s="1">
        <v>3.2426000000000003E-2</v>
      </c>
      <c r="E1548" s="1">
        <v>3.1600999999999999E-3</v>
      </c>
      <c r="F1548" s="1">
        <v>1.5800000000000001E-7</v>
      </c>
      <c r="G1548" s="1">
        <v>6.7134999999999998</v>
      </c>
      <c r="H1548" s="1">
        <v>1.9695E-7</v>
      </c>
      <c r="I1548" s="1">
        <f t="shared" si="216"/>
        <v>1.9695E-7</v>
      </c>
      <c r="J1548" s="4">
        <f t="shared" si="217"/>
        <v>-3.0793722914088593E-9</v>
      </c>
      <c r="K1548" s="4">
        <f t="shared" si="218"/>
        <v>-8.2153638149524787E-9</v>
      </c>
      <c r="L1548" s="4">
        <f t="shared" si="219"/>
        <v>-2.5531392362453048E-9</v>
      </c>
      <c r="M1548" s="4">
        <f t="shared" si="221"/>
        <v>-3.1914504036453741E-9</v>
      </c>
      <c r="N1548" s="5">
        <f t="shared" si="222"/>
        <v>1.2269469871865282E-6</v>
      </c>
      <c r="O1548" s="5">
        <f t="shared" si="223"/>
        <v>4.1935616733922715E-7</v>
      </c>
      <c r="P1548" s="5">
        <f t="shared" si="224"/>
        <v>1.5369684547424355E-7</v>
      </c>
      <c r="Q1548" s="1">
        <f t="shared" si="220"/>
        <v>1.7999999999999991E-6</v>
      </c>
    </row>
    <row r="1549" spans="1:17" x14ac:dyDescent="0.25">
      <c r="A1549" s="1">
        <v>77.349999999999994</v>
      </c>
      <c r="B1549" s="1">
        <v>4.9153000000000001E-3</v>
      </c>
      <c r="C1549" s="1">
        <v>2.6581E-4</v>
      </c>
      <c r="D1549" s="1">
        <v>3.243E-2</v>
      </c>
      <c r="E1549" s="1">
        <v>3.1519E-3</v>
      </c>
      <c r="F1549" s="1">
        <v>1.5741E-7</v>
      </c>
      <c r="G1549" s="1">
        <v>6.7134999999999998</v>
      </c>
      <c r="H1549" s="1">
        <v>1.9697E-7</v>
      </c>
      <c r="I1549" s="1">
        <f t="shared" si="216"/>
        <v>1.9697E-7</v>
      </c>
      <c r="J1549" s="4">
        <f t="shared" si="217"/>
        <v>-3.0629504588122754E-9</v>
      </c>
      <c r="K1549" s="4">
        <f t="shared" si="218"/>
        <v>-8.1774452631144654E-9</v>
      </c>
      <c r="L1549" s="4">
        <f t="shared" si="219"/>
        <v>-2.5423293317281383E-9</v>
      </c>
      <c r="M1549" s="4">
        <f t="shared" si="221"/>
        <v>-3.1784123401958074E-9</v>
      </c>
      <c r="N1549" s="5">
        <f t="shared" si="222"/>
        <v>1.2295191526591024E-6</v>
      </c>
      <c r="O1549" s="5">
        <f t="shared" si="223"/>
        <v>4.1742008487512075E-7</v>
      </c>
      <c r="P1549" s="5">
        <f t="shared" si="224"/>
        <v>1.5306076246577588E-7</v>
      </c>
      <c r="Q1549" s="1">
        <f t="shared" si="220"/>
        <v>1.7999999999999991E-6</v>
      </c>
    </row>
    <row r="1550" spans="1:17" x14ac:dyDescent="0.25">
      <c r="A1550" s="1">
        <v>77.400000000000006</v>
      </c>
      <c r="B1550" s="1">
        <v>4.9087000000000002E-3</v>
      </c>
      <c r="C1550" s="1">
        <v>2.6479999999999999E-4</v>
      </c>
      <c r="D1550" s="1">
        <v>3.2433999999999998E-2</v>
      </c>
      <c r="E1550" s="1">
        <v>3.1437000000000001E-3</v>
      </c>
      <c r="F1550" s="1">
        <v>1.5682E-7</v>
      </c>
      <c r="G1550" s="1">
        <v>6.7134999999999998</v>
      </c>
      <c r="H1550" s="1">
        <v>1.9698000000000001E-7</v>
      </c>
      <c r="I1550" s="1">
        <f t="shared" si="216"/>
        <v>1.9698000000000001E-7</v>
      </c>
      <c r="J1550" s="4">
        <f t="shared" si="217"/>
        <v>-3.0464912571784039E-9</v>
      </c>
      <c r="K1550" s="4">
        <f t="shared" si="218"/>
        <v>-8.1396916550667052E-9</v>
      </c>
      <c r="L1550" s="4">
        <f t="shared" si="219"/>
        <v>-2.5315595288118631E-9</v>
      </c>
      <c r="M1550" s="4">
        <f t="shared" si="221"/>
        <v>-3.1655797302035265E-9</v>
      </c>
      <c r="N1550" s="5">
        <f t="shared" si="222"/>
        <v>1.232080793528179E-6</v>
      </c>
      <c r="O1550" s="5">
        <f t="shared" si="223"/>
        <v>4.15492464207436E-7</v>
      </c>
      <c r="P1550" s="5">
        <f t="shared" si="224"/>
        <v>1.5242674226438422E-7</v>
      </c>
      <c r="Q1550" s="1">
        <f t="shared" si="220"/>
        <v>1.7999999999999993E-6</v>
      </c>
    </row>
    <row r="1551" spans="1:17" x14ac:dyDescent="0.25">
      <c r="A1551" s="1">
        <v>77.45</v>
      </c>
      <c r="B1551" s="1">
        <v>4.9021000000000004E-3</v>
      </c>
      <c r="C1551" s="1">
        <v>2.6380000000000002E-4</v>
      </c>
      <c r="D1551" s="1">
        <v>3.2438000000000002E-2</v>
      </c>
      <c r="E1551" s="1">
        <v>3.1354999999999998E-3</v>
      </c>
      <c r="F1551" s="1">
        <v>1.5624E-7</v>
      </c>
      <c r="G1551" s="1">
        <v>6.7134</v>
      </c>
      <c r="H1551" s="1">
        <v>1.97E-7</v>
      </c>
      <c r="I1551" s="1">
        <f t="shared" si="216"/>
        <v>1.97E-7</v>
      </c>
      <c r="J1551" s="4">
        <f t="shared" si="217"/>
        <v>-3.0299962192641854E-9</v>
      </c>
      <c r="K1551" s="4">
        <f t="shared" si="218"/>
        <v>-8.1021030520445416E-9</v>
      </c>
      <c r="L1551" s="4">
        <f t="shared" si="219"/>
        <v>-2.520750307688969E-9</v>
      </c>
      <c r="M1551" s="4">
        <f t="shared" si="221"/>
        <v>-3.1526270675798537E-9</v>
      </c>
      <c r="N1551" s="5">
        <f t="shared" si="222"/>
        <v>1.2346321500532703E-6</v>
      </c>
      <c r="O1551" s="5">
        <f t="shared" si="223"/>
        <v>4.1357298444223552E-7</v>
      </c>
      <c r="P1551" s="5">
        <f t="shared" si="224"/>
        <v>1.5179486550449333E-7</v>
      </c>
      <c r="Q1551" s="1">
        <f t="shared" si="220"/>
        <v>1.7999999999999991E-6</v>
      </c>
    </row>
    <row r="1552" spans="1:17" x14ac:dyDescent="0.25">
      <c r="A1552" s="1">
        <v>77.5</v>
      </c>
      <c r="B1552" s="1">
        <v>4.8954999999999997E-3</v>
      </c>
      <c r="C1552" s="1">
        <v>2.6279999999999999E-4</v>
      </c>
      <c r="D1552" s="1">
        <v>3.2441999999999999E-2</v>
      </c>
      <c r="E1552" s="1">
        <v>3.1273E-3</v>
      </c>
      <c r="F1552" s="1">
        <v>1.5566000000000001E-7</v>
      </c>
      <c r="G1552" s="1">
        <v>6.7134</v>
      </c>
      <c r="H1552" s="1">
        <v>1.9700999999999999E-7</v>
      </c>
      <c r="I1552" s="1">
        <f t="shared" si="216"/>
        <v>1.9700999999999999E-7</v>
      </c>
      <c r="J1552" s="4">
        <f t="shared" si="217"/>
        <v>-3.0138528373902503E-9</v>
      </c>
      <c r="K1552" s="4">
        <f t="shared" si="218"/>
        <v>-8.0646731966231342E-9</v>
      </c>
      <c r="L1552" s="4">
        <f t="shared" si="219"/>
        <v>-2.5100635318928628E-9</v>
      </c>
      <c r="M1552" s="4">
        <f t="shared" si="221"/>
        <v>-3.1398767929602657E-9</v>
      </c>
      <c r="N1552" s="5">
        <f t="shared" si="222"/>
        <v>1.2371729068806104E-6</v>
      </c>
      <c r="O1552" s="5">
        <f t="shared" si="223"/>
        <v>4.1166204087596289E-7</v>
      </c>
      <c r="P1552" s="5">
        <f t="shared" si="224"/>
        <v>1.5116505224342593E-7</v>
      </c>
      <c r="Q1552" s="1">
        <f t="shared" si="220"/>
        <v>1.7999999999999993E-6</v>
      </c>
    </row>
    <row r="1553" spans="1:17" x14ac:dyDescent="0.25">
      <c r="A1553" s="1">
        <v>77.55</v>
      </c>
      <c r="B1553" s="1">
        <v>4.8888999999999998E-3</v>
      </c>
      <c r="C1553" s="1">
        <v>2.6181000000000002E-4</v>
      </c>
      <c r="D1553" s="1">
        <v>3.2445000000000002E-2</v>
      </c>
      <c r="E1553" s="1">
        <v>3.1191000000000001E-3</v>
      </c>
      <c r="F1553" s="1">
        <v>1.5508999999999999E-7</v>
      </c>
      <c r="G1553" s="1">
        <v>6.7134</v>
      </c>
      <c r="H1553" s="1">
        <v>1.9703000000000001E-7</v>
      </c>
      <c r="I1553" s="1">
        <f t="shared" si="216"/>
        <v>1.9703000000000001E-7</v>
      </c>
      <c r="J1553" s="4">
        <f t="shared" si="217"/>
        <v>-2.9976743577070967E-9</v>
      </c>
      <c r="K1553" s="4">
        <f t="shared" si="218"/>
        <v>-8.0274097970808213E-9</v>
      </c>
      <c r="L1553" s="4">
        <f t="shared" si="219"/>
        <v>-2.4993384381509848E-9</v>
      </c>
      <c r="M1553" s="4">
        <f t="shared" si="221"/>
        <v>-3.1270078289599436E-9</v>
      </c>
      <c r="N1553" s="5">
        <f t="shared" si="222"/>
        <v>1.2397033038818331E-6</v>
      </c>
      <c r="O1553" s="5">
        <f t="shared" si="223"/>
        <v>4.097593132655491E-7</v>
      </c>
      <c r="P1553" s="5">
        <f t="shared" si="224"/>
        <v>1.5053738285261699E-7</v>
      </c>
      <c r="Q1553" s="1">
        <f t="shared" si="220"/>
        <v>1.7999999999999991E-6</v>
      </c>
    </row>
    <row r="1554" spans="1:17" x14ac:dyDescent="0.25">
      <c r="A1554" s="1">
        <v>77.599999999999994</v>
      </c>
      <c r="B1554" s="1">
        <v>4.8824000000000003E-3</v>
      </c>
      <c r="C1554" s="1">
        <v>2.6082999999999998E-4</v>
      </c>
      <c r="D1554" s="1">
        <v>3.2448999999999999E-2</v>
      </c>
      <c r="E1554" s="1">
        <v>3.1110000000000001E-3</v>
      </c>
      <c r="F1554" s="1">
        <v>1.5452000000000001E-7</v>
      </c>
      <c r="G1554" s="1">
        <v>6.7133000000000003</v>
      </c>
      <c r="H1554" s="1">
        <v>1.9704E-7</v>
      </c>
      <c r="I1554" s="1">
        <f t="shared" si="216"/>
        <v>1.9704E-7</v>
      </c>
      <c r="J1554" s="4">
        <f t="shared" si="217"/>
        <v>-2.9818469639534408E-9</v>
      </c>
      <c r="K1554" s="4">
        <f t="shared" si="218"/>
        <v>-7.9903066086777525E-9</v>
      </c>
      <c r="L1554" s="4">
        <f t="shared" si="219"/>
        <v>-2.4887366877850785E-9</v>
      </c>
      <c r="M1554" s="4">
        <f t="shared" si="221"/>
        <v>-3.1143399570621916E-9</v>
      </c>
      <c r="N1554" s="5">
        <f t="shared" si="222"/>
        <v>1.2422230268387725E-6</v>
      </c>
      <c r="O1554" s="5">
        <f t="shared" si="223"/>
        <v>4.0786519357788695E-7</v>
      </c>
      <c r="P1554" s="5">
        <f t="shared" si="224"/>
        <v>1.4991177958333988E-7</v>
      </c>
      <c r="Q1554" s="1">
        <f t="shared" si="220"/>
        <v>1.7999999999999993E-6</v>
      </c>
    </row>
    <row r="1555" spans="1:17" x14ac:dyDescent="0.25">
      <c r="A1555" s="1">
        <v>77.650000000000006</v>
      </c>
      <c r="B1555" s="1">
        <v>4.8758999999999999E-3</v>
      </c>
      <c r="C1555" s="1">
        <v>2.5986E-4</v>
      </c>
      <c r="D1555" s="1">
        <v>3.2453000000000003E-2</v>
      </c>
      <c r="E1555" s="1">
        <v>3.1029E-3</v>
      </c>
      <c r="F1555" s="1">
        <v>1.5396000000000001E-7</v>
      </c>
      <c r="G1555" s="1">
        <v>6.7133000000000003</v>
      </c>
      <c r="H1555" s="1">
        <v>1.9705000000000001E-7</v>
      </c>
      <c r="I1555" s="1">
        <f t="shared" si="216"/>
        <v>1.9705000000000001E-7</v>
      </c>
      <c r="J1555" s="4">
        <f t="shared" si="217"/>
        <v>-2.9659851641600029E-9</v>
      </c>
      <c r="K1555" s="4">
        <f t="shared" si="218"/>
        <v>-7.9533712747706052E-9</v>
      </c>
      <c r="L1555" s="4">
        <f t="shared" si="219"/>
        <v>-2.4781773465999442E-9</v>
      </c>
      <c r="M1555" s="4">
        <f t="shared" si="221"/>
        <v>-3.1015547901563408E-9</v>
      </c>
      <c r="N1555" s="5">
        <f t="shared" si="222"/>
        <v>1.2447322356027832E-6</v>
      </c>
      <c r="O1555" s="5">
        <f t="shared" si="223"/>
        <v>4.0597936225743264E-7</v>
      </c>
      <c r="P1555" s="5">
        <f t="shared" si="224"/>
        <v>1.4928840213978347E-7</v>
      </c>
      <c r="Q1555" s="1">
        <f t="shared" si="220"/>
        <v>1.7999999999999993E-6</v>
      </c>
    </row>
    <row r="1556" spans="1:17" x14ac:dyDescent="0.25">
      <c r="A1556" s="1">
        <v>77.7</v>
      </c>
      <c r="B1556" s="1">
        <v>4.8693E-3</v>
      </c>
      <c r="C1556" s="1">
        <v>2.589E-4</v>
      </c>
      <c r="D1556" s="1">
        <v>3.2457E-2</v>
      </c>
      <c r="E1556" s="1">
        <v>3.0948999999999998E-3</v>
      </c>
      <c r="F1556" s="1">
        <v>1.5340000000000001E-7</v>
      </c>
      <c r="G1556" s="1">
        <v>6.7133000000000003</v>
      </c>
      <c r="H1556" s="1">
        <v>1.9707E-7</v>
      </c>
      <c r="I1556" s="1">
        <f t="shared" si="216"/>
        <v>1.9707E-7</v>
      </c>
      <c r="J1556" s="4">
        <f t="shared" si="217"/>
        <v>-2.9504736589982882E-9</v>
      </c>
      <c r="K1556" s="4">
        <f t="shared" si="218"/>
        <v>-7.9165975640194878E-9</v>
      </c>
      <c r="L1556" s="4">
        <f t="shared" si="219"/>
        <v>-2.4677417883540548E-9</v>
      </c>
      <c r="M1556" s="4">
        <f t="shared" si="221"/>
        <v>-3.0888143623724791E-9</v>
      </c>
      <c r="N1556" s="5">
        <f t="shared" si="222"/>
        <v>1.2472306177194504E-6</v>
      </c>
      <c r="O1556" s="5">
        <f t="shared" si="223"/>
        <v>4.0410205271478395E-7</v>
      </c>
      <c r="P1556" s="5">
        <f t="shared" si="224"/>
        <v>1.4866732956576506E-7</v>
      </c>
      <c r="Q1556" s="1">
        <f t="shared" si="220"/>
        <v>1.7999999999999993E-6</v>
      </c>
    </row>
    <row r="1557" spans="1:17" x14ac:dyDescent="0.25">
      <c r="A1557" s="1">
        <v>77.75</v>
      </c>
      <c r="B1557" s="1">
        <v>4.8627999999999996E-3</v>
      </c>
      <c r="C1557" s="1">
        <v>2.5794000000000001E-4</v>
      </c>
      <c r="D1557" s="1">
        <v>3.2460000000000003E-2</v>
      </c>
      <c r="E1557" s="1">
        <v>3.0867999999999998E-3</v>
      </c>
      <c r="F1557" s="1">
        <v>1.5284000000000001E-7</v>
      </c>
      <c r="G1557" s="1">
        <v>6.7131999999999996</v>
      </c>
      <c r="H1557" s="1">
        <v>1.9707999999999999E-7</v>
      </c>
      <c r="I1557" s="1">
        <f t="shared" si="216"/>
        <v>1.9707999999999999E-7</v>
      </c>
      <c r="J1557" s="4">
        <f t="shared" si="217"/>
        <v>-2.9349282114700641E-9</v>
      </c>
      <c r="K1557" s="4">
        <f t="shared" si="218"/>
        <v>-7.8799900279378385E-9</v>
      </c>
      <c r="L1557" s="4">
        <f t="shared" si="219"/>
        <v>-2.4573490016275499E-9</v>
      </c>
      <c r="M1557" s="4">
        <f t="shared" si="221"/>
        <v>-3.0762764169399845E-9</v>
      </c>
      <c r="N1557" s="5">
        <f t="shared" si="222"/>
        <v>1.2497183305342907E-6</v>
      </c>
      <c r="O1557" s="5">
        <f t="shared" si="223"/>
        <v>4.0223326731525615E-7</v>
      </c>
      <c r="P1557" s="5">
        <f t="shared" si="224"/>
        <v>1.4804840215045262E-7</v>
      </c>
      <c r="Q1557" s="1">
        <f t="shared" si="220"/>
        <v>1.7999999999999995E-6</v>
      </c>
    </row>
    <row r="1558" spans="1:17" x14ac:dyDescent="0.25">
      <c r="A1558" s="1">
        <v>77.8</v>
      </c>
      <c r="B1558" s="1">
        <v>4.8564000000000003E-3</v>
      </c>
      <c r="C1558" s="1">
        <v>2.5699000000000002E-4</v>
      </c>
      <c r="D1558" s="1">
        <v>3.2464E-2</v>
      </c>
      <c r="E1558" s="1">
        <v>3.0788E-3</v>
      </c>
      <c r="F1558" s="1">
        <v>1.5229E-7</v>
      </c>
      <c r="G1558" s="1">
        <v>6.7131999999999996</v>
      </c>
      <c r="H1558" s="1">
        <v>1.9710000000000001E-7</v>
      </c>
      <c r="I1558" s="1">
        <f t="shared" si="216"/>
        <v>1.9710000000000001E-7</v>
      </c>
      <c r="J1558" s="4">
        <f t="shared" si="217"/>
        <v>-2.9193502182801856E-9</v>
      </c>
      <c r="K1558" s="4">
        <f t="shared" si="218"/>
        <v>-7.8435487126470496E-9</v>
      </c>
      <c r="L1558" s="4">
        <f t="shared" si="219"/>
        <v>-2.4468410464025912E-9</v>
      </c>
      <c r="M1558" s="4">
        <f t="shared" si="221"/>
        <v>-3.0636248050600016E-9</v>
      </c>
      <c r="N1558" s="5">
        <f t="shared" si="222"/>
        <v>1.252195687982255E-6</v>
      </c>
      <c r="O1558" s="5">
        <f t="shared" si="223"/>
        <v>4.0037269362594931E-7</v>
      </c>
      <c r="P1558" s="5">
        <f t="shared" si="224"/>
        <v>1.4743161839179521E-7</v>
      </c>
      <c r="Q1558" s="1">
        <f t="shared" si="220"/>
        <v>1.7999999999999995E-6</v>
      </c>
    </row>
    <row r="1559" spans="1:17" x14ac:dyDescent="0.25">
      <c r="A1559" s="1">
        <v>77.849999999999994</v>
      </c>
      <c r="B1559" s="1">
        <v>4.8498999999999999E-3</v>
      </c>
      <c r="C1559" s="1">
        <v>2.5605000000000002E-4</v>
      </c>
      <c r="D1559" s="1">
        <v>3.2467999999999997E-2</v>
      </c>
      <c r="E1559" s="1">
        <v>3.0707999999999998E-3</v>
      </c>
      <c r="F1559" s="1">
        <v>1.5174999999999999E-7</v>
      </c>
      <c r="G1559" s="1">
        <v>6.7131999999999996</v>
      </c>
      <c r="H1559" s="1">
        <v>1.9711E-7</v>
      </c>
      <c r="I1559" s="1">
        <f t="shared" si="216"/>
        <v>1.9711E-7</v>
      </c>
      <c r="J1559" s="4">
        <f t="shared" si="217"/>
        <v>-2.9041228056650239E-9</v>
      </c>
      <c r="K1559" s="4">
        <f t="shared" si="218"/>
        <v>-7.8072675257055682E-9</v>
      </c>
      <c r="L1559" s="4">
        <f t="shared" si="219"/>
        <v>-2.4365378665991286E-9</v>
      </c>
      <c r="M1559" s="4">
        <f t="shared" si="221"/>
        <v>-3.0511710584272245E-9</v>
      </c>
      <c r="N1559" s="5">
        <f t="shared" si="222"/>
        <v>1.2546622948356965E-6</v>
      </c>
      <c r="O1559" s="5">
        <f t="shared" si="223"/>
        <v>3.9852071996433596E-7</v>
      </c>
      <c r="P1559" s="5">
        <f t="shared" si="224"/>
        <v>1.468169851999671E-7</v>
      </c>
      <c r="Q1559" s="1">
        <f t="shared" si="220"/>
        <v>1.7999999999999995E-6</v>
      </c>
    </row>
    <row r="1560" spans="1:17" x14ac:dyDescent="0.25">
      <c r="A1560" s="1">
        <v>77.900000000000006</v>
      </c>
      <c r="B1560" s="1">
        <v>4.8434000000000003E-3</v>
      </c>
      <c r="C1560" s="1">
        <v>2.5512000000000001E-4</v>
      </c>
      <c r="D1560" s="1">
        <v>3.2471E-2</v>
      </c>
      <c r="E1560" s="1">
        <v>3.0628000000000001E-3</v>
      </c>
      <c r="F1560" s="1">
        <v>1.5120999999999999E-7</v>
      </c>
      <c r="G1560" s="1">
        <v>6.7130999999999998</v>
      </c>
      <c r="H1560" s="1">
        <v>1.9712000000000001E-7</v>
      </c>
      <c r="I1560" s="1">
        <f t="shared" si="216"/>
        <v>1.9712000000000001E-7</v>
      </c>
      <c r="J1560" s="4">
        <f t="shared" si="217"/>
        <v>-2.8892441741876407E-9</v>
      </c>
      <c r="K1560" s="4">
        <f t="shared" si="218"/>
        <v>-7.7711540393063174E-9</v>
      </c>
      <c r="L1560" s="4">
        <f t="shared" si="219"/>
        <v>-2.4263596502073111E-9</v>
      </c>
      <c r="M1560" s="4">
        <f t="shared" si="221"/>
        <v>-3.0386050750410697E-9</v>
      </c>
      <c r="N1560" s="5">
        <f t="shared" si="222"/>
        <v>1.2571178450506079E-6</v>
      </c>
      <c r="O1560" s="5">
        <f t="shared" si="223"/>
        <v>3.9667741517425831E-7</v>
      </c>
      <c r="P1560" s="5">
        <f t="shared" si="224"/>
        <v>1.4620473977513336E-7</v>
      </c>
      <c r="Q1560" s="1">
        <f t="shared" si="220"/>
        <v>1.7999999999999995E-6</v>
      </c>
    </row>
    <row r="1561" spans="1:17" x14ac:dyDescent="0.25">
      <c r="A1561" s="1">
        <v>77.95</v>
      </c>
      <c r="B1561" s="1">
        <v>4.8370000000000002E-3</v>
      </c>
      <c r="C1561" s="1">
        <v>2.5419E-4</v>
      </c>
      <c r="D1561" s="1">
        <v>3.2474999999999997E-2</v>
      </c>
      <c r="E1561" s="1">
        <v>3.0549000000000002E-3</v>
      </c>
      <c r="F1561" s="1">
        <v>1.5067000000000001E-7</v>
      </c>
      <c r="G1561" s="1">
        <v>6.7130999999999998</v>
      </c>
      <c r="H1561" s="1">
        <v>1.9714E-7</v>
      </c>
      <c r="I1561" s="1">
        <f t="shared" si="216"/>
        <v>1.9714E-7</v>
      </c>
      <c r="J1561" s="4">
        <f t="shared" si="217"/>
        <v>-2.8743325837627353E-9</v>
      </c>
      <c r="K1561" s="4">
        <f t="shared" si="218"/>
        <v>-7.7352095958975978E-9</v>
      </c>
      <c r="L1561" s="4">
        <f t="shared" si="219"/>
        <v>-2.4161463676890612E-9</v>
      </c>
      <c r="M1561" s="4">
        <f t="shared" si="221"/>
        <v>-3.0260872219696286E-9</v>
      </c>
      <c r="N1561" s="5">
        <f t="shared" si="222"/>
        <v>1.2595625756950537E-6</v>
      </c>
      <c r="O1561" s="5">
        <f t="shared" si="223"/>
        <v>3.9484262538409307E-7</v>
      </c>
      <c r="P1561" s="5">
        <f t="shared" si="224"/>
        <v>1.4559479892085278E-7</v>
      </c>
      <c r="Q1561" s="1">
        <f t="shared" si="220"/>
        <v>1.7999999999999995E-6</v>
      </c>
    </row>
    <row r="1562" spans="1:17" x14ac:dyDescent="0.25">
      <c r="A1562" s="1">
        <v>78</v>
      </c>
      <c r="B1562" s="1">
        <v>4.8306E-3</v>
      </c>
      <c r="C1562" s="1">
        <v>2.5326999999999999E-4</v>
      </c>
      <c r="D1562" s="1">
        <v>3.2479000000000001E-2</v>
      </c>
      <c r="E1562" s="1">
        <v>3.0469E-3</v>
      </c>
      <c r="F1562" s="1">
        <v>1.5013000000000001E-7</v>
      </c>
      <c r="G1562" s="1">
        <v>6.7130999999999998</v>
      </c>
      <c r="H1562" s="1">
        <v>1.9714999999999999E-7</v>
      </c>
      <c r="I1562" s="1">
        <f t="shared" si="216"/>
        <v>1.9714999999999999E-7</v>
      </c>
      <c r="J1562" s="4">
        <f t="shared" si="217"/>
        <v>-2.8593895448492024E-9</v>
      </c>
      <c r="K1562" s="4">
        <f t="shared" si="218"/>
        <v>-7.6994311949893767E-9</v>
      </c>
      <c r="L1562" s="4">
        <f t="shared" si="219"/>
        <v>-2.4059778887849795E-9</v>
      </c>
      <c r="M1562" s="4">
        <f t="shared" si="221"/>
        <v>-3.0137686592218049E-9</v>
      </c>
      <c r="N1562" s="5">
        <f t="shared" si="222"/>
        <v>1.2619966394564088E-6</v>
      </c>
      <c r="O1562" s="5">
        <f t="shared" si="223"/>
        <v>3.930163523931747E-7</v>
      </c>
      <c r="P1562" s="5">
        <f t="shared" si="224"/>
        <v>1.4498700815041595E-7</v>
      </c>
      <c r="Q1562" s="1">
        <f t="shared" si="220"/>
        <v>1.7999999999999993E-6</v>
      </c>
    </row>
    <row r="1563" spans="1:17" x14ac:dyDescent="0.25">
      <c r="A1563" s="1">
        <v>78.05</v>
      </c>
      <c r="B1563" s="1">
        <v>4.8241999999999998E-3</v>
      </c>
      <c r="C1563" s="1">
        <v>2.5235999999999998E-4</v>
      </c>
      <c r="D1563" s="1">
        <v>3.2481999999999997E-2</v>
      </c>
      <c r="E1563" s="1">
        <v>3.039E-3</v>
      </c>
      <c r="F1563" s="1">
        <v>1.4961E-7</v>
      </c>
      <c r="G1563" s="1">
        <v>6.7130000000000001</v>
      </c>
      <c r="H1563" s="1">
        <v>1.9717000000000001E-7</v>
      </c>
      <c r="I1563" s="1">
        <f t="shared" si="216"/>
        <v>1.9717000000000001E-7</v>
      </c>
      <c r="J1563" s="4">
        <f t="shared" si="217"/>
        <v>-2.8444163584449587E-9</v>
      </c>
      <c r="K1563" s="4">
        <f t="shared" si="218"/>
        <v>-7.6638188716664702E-9</v>
      </c>
      <c r="L1563" s="4">
        <f t="shared" si="219"/>
        <v>-2.3956975048668271E-9</v>
      </c>
      <c r="M1563" s="4">
        <f t="shared" si="221"/>
        <v>-3.0013398089695522E-9</v>
      </c>
      <c r="N1563" s="5">
        <f t="shared" si="222"/>
        <v>1.2644203444647634E-6</v>
      </c>
      <c r="O1563" s="5">
        <f t="shared" si="223"/>
        <v>3.9119828968892276E-7</v>
      </c>
      <c r="P1563" s="5">
        <f t="shared" si="224"/>
        <v>1.4438136584631321E-7</v>
      </c>
      <c r="Q1563" s="1">
        <f t="shared" si="220"/>
        <v>1.7999999999999995E-6</v>
      </c>
    </row>
    <row r="1564" spans="1:17" x14ac:dyDescent="0.25">
      <c r="A1564" s="1">
        <v>78.099999999999994</v>
      </c>
      <c r="B1564" s="1">
        <v>4.8177999999999997E-3</v>
      </c>
      <c r="C1564" s="1">
        <v>2.5146000000000001E-4</v>
      </c>
      <c r="D1564" s="1">
        <v>3.2486000000000001E-2</v>
      </c>
      <c r="E1564" s="1">
        <v>3.0311000000000001E-3</v>
      </c>
      <c r="F1564" s="1">
        <v>1.4908000000000001E-7</v>
      </c>
      <c r="G1564" s="1">
        <v>6.7130000000000001</v>
      </c>
      <c r="H1564" s="1">
        <v>1.9718E-7</v>
      </c>
      <c r="I1564" s="1">
        <f t="shared" si="216"/>
        <v>1.9718E-7</v>
      </c>
      <c r="J1564" s="4">
        <f t="shared" si="217"/>
        <v>-2.8301712888487583E-9</v>
      </c>
      <c r="K1564" s="4">
        <f t="shared" si="218"/>
        <v>-7.6283666489335598E-9</v>
      </c>
      <c r="L1564" s="4">
        <f t="shared" si="219"/>
        <v>-2.3857827531092318E-9</v>
      </c>
      <c r="M1564" s="4">
        <f t="shared" si="221"/>
        <v>-2.9891057599111752E-9</v>
      </c>
      <c r="N1564" s="5">
        <f t="shared" si="222"/>
        <v>1.2668327570717388E-6</v>
      </c>
      <c r="O1564" s="5">
        <f t="shared" si="223"/>
        <v>3.8938920008874913E-7</v>
      </c>
      <c r="P1564" s="5">
        <f t="shared" si="224"/>
        <v>1.4377804283951127E-7</v>
      </c>
      <c r="Q1564" s="1">
        <f t="shared" si="220"/>
        <v>1.7999999999999993E-6</v>
      </c>
    </row>
    <row r="1565" spans="1:17" x14ac:dyDescent="0.25">
      <c r="A1565" s="1">
        <v>78.150000000000006</v>
      </c>
      <c r="B1565" s="1">
        <v>4.8114000000000004E-3</v>
      </c>
      <c r="C1565" s="1">
        <v>2.5055999999999999E-4</v>
      </c>
      <c r="D1565" s="1">
        <v>3.2489999999999998E-2</v>
      </c>
      <c r="E1565" s="1">
        <v>3.0233E-3</v>
      </c>
      <c r="F1565" s="1">
        <v>1.4856E-7</v>
      </c>
      <c r="G1565" s="1">
        <v>6.7130000000000001</v>
      </c>
      <c r="H1565" s="1">
        <v>1.9719000000000001E-7</v>
      </c>
      <c r="I1565" s="1">
        <f t="shared" si="216"/>
        <v>1.9719000000000001E-7</v>
      </c>
      <c r="J1565" s="4">
        <f t="shared" si="217"/>
        <v>-2.8155163440414316E-9</v>
      </c>
      <c r="K1565" s="4">
        <f t="shared" si="218"/>
        <v>-7.5930894017323339E-9</v>
      </c>
      <c r="L1565" s="4">
        <f t="shared" si="219"/>
        <v>-2.3756750134330242E-9</v>
      </c>
      <c r="M1565" s="4">
        <f t="shared" si="221"/>
        <v>-2.9767662211456339E-9</v>
      </c>
      <c r="N1565" s="5">
        <f t="shared" si="222"/>
        <v>1.2692346551159968E-6</v>
      </c>
      <c r="O1565" s="5">
        <f t="shared" si="223"/>
        <v>3.8758839325220389E-7</v>
      </c>
      <c r="P1565" s="5">
        <f t="shared" si="224"/>
        <v>1.4317695163179867E-7</v>
      </c>
      <c r="Q1565" s="1">
        <f t="shared" si="220"/>
        <v>1.7999999999999993E-6</v>
      </c>
    </row>
    <row r="1566" spans="1:17" x14ac:dyDescent="0.25">
      <c r="A1566" s="1">
        <v>78.2</v>
      </c>
      <c r="B1566" s="1">
        <v>4.8050999999999996E-3</v>
      </c>
      <c r="C1566" s="1">
        <v>2.4967000000000001E-4</v>
      </c>
      <c r="D1566" s="1">
        <v>3.2493000000000001E-2</v>
      </c>
      <c r="E1566" s="1">
        <v>3.0155E-3</v>
      </c>
      <c r="F1566" s="1">
        <v>1.4803999999999999E-7</v>
      </c>
      <c r="G1566" s="1">
        <v>6.7130000000000001</v>
      </c>
      <c r="H1566" s="1">
        <v>1.9721E-7</v>
      </c>
      <c r="I1566" s="1">
        <f t="shared" si="216"/>
        <v>1.9721E-7</v>
      </c>
      <c r="J1566" s="4">
        <f t="shared" si="217"/>
        <v>-2.8012102254079073E-9</v>
      </c>
      <c r="K1566" s="4">
        <f t="shared" si="218"/>
        <v>-7.5579736684175465E-9</v>
      </c>
      <c r="L1566" s="4">
        <f t="shared" si="219"/>
        <v>-2.3657734470297703E-9</v>
      </c>
      <c r="M1566" s="4">
        <f t="shared" si="221"/>
        <v>-2.9644716246886417E-9</v>
      </c>
      <c r="N1566" s="5">
        <f t="shared" si="222"/>
        <v>1.2716256451119767E-6</v>
      </c>
      <c r="O1566" s="5">
        <f t="shared" si="223"/>
        <v>3.857961014338829E-7</v>
      </c>
      <c r="P1566" s="5">
        <f t="shared" si="224"/>
        <v>1.425782534541398E-7</v>
      </c>
      <c r="Q1566" s="1">
        <f t="shared" si="220"/>
        <v>1.7999999999999995E-6</v>
      </c>
    </row>
    <row r="1567" spans="1:17" x14ac:dyDescent="0.25">
      <c r="A1567" s="1">
        <v>78.25</v>
      </c>
      <c r="B1567" s="1">
        <v>4.7987999999999998E-3</v>
      </c>
      <c r="C1567" s="1">
        <v>2.4878999999999998E-4</v>
      </c>
      <c r="D1567" s="1">
        <v>3.2496999999999998E-2</v>
      </c>
      <c r="E1567" s="1">
        <v>3.0076E-3</v>
      </c>
      <c r="F1567" s="1">
        <v>1.4753E-7</v>
      </c>
      <c r="G1567" s="1">
        <v>6.7129000000000003</v>
      </c>
      <c r="H1567" s="1">
        <v>1.9721999999999999E-7</v>
      </c>
      <c r="I1567" s="1">
        <f t="shared" si="216"/>
        <v>1.9721999999999999E-7</v>
      </c>
      <c r="J1567" s="4">
        <f t="shared" si="217"/>
        <v>-2.7868746212770306E-9</v>
      </c>
      <c r="K1567" s="4">
        <f t="shared" si="218"/>
        <v>-7.5230239779602887E-9</v>
      </c>
      <c r="L1567" s="4">
        <f t="shared" si="219"/>
        <v>-2.3558399584512754E-9</v>
      </c>
      <c r="M1567" s="4">
        <f t="shared" si="221"/>
        <v>-2.9523750231873778E-9</v>
      </c>
      <c r="N1567" s="5">
        <f t="shared" si="222"/>
        <v>1.2740059545102086E-6</v>
      </c>
      <c r="O1567" s="5">
        <f t="shared" si="223"/>
        <v>3.8401232710038704E-7</v>
      </c>
      <c r="P1567" s="5">
        <f t="shared" si="224"/>
        <v>1.4198171838940369E-7</v>
      </c>
      <c r="Q1567" s="1">
        <f t="shared" si="220"/>
        <v>1.7999999999999995E-6</v>
      </c>
    </row>
    <row r="1568" spans="1:17" x14ac:dyDescent="0.25">
      <c r="A1568" s="1">
        <v>78.3</v>
      </c>
      <c r="B1568" s="1">
        <v>4.7923999999999996E-3</v>
      </c>
      <c r="C1568" s="1">
        <v>2.4791E-4</v>
      </c>
      <c r="D1568" s="1">
        <v>3.2501000000000002E-2</v>
      </c>
      <c r="E1568" s="1">
        <v>2.9998999999999998E-3</v>
      </c>
      <c r="F1568" s="1">
        <v>1.4702E-7</v>
      </c>
      <c r="G1568" s="1">
        <v>6.7129000000000003</v>
      </c>
      <c r="H1568" s="1">
        <v>1.9723E-7</v>
      </c>
      <c r="I1568" s="1">
        <f t="shared" si="216"/>
        <v>1.9723E-7</v>
      </c>
      <c r="J1568" s="4">
        <f t="shared" si="217"/>
        <v>-2.7728868147113924E-9</v>
      </c>
      <c r="K1568" s="4">
        <f t="shared" si="218"/>
        <v>-7.4882403784571227E-9</v>
      </c>
      <c r="L1568" s="4">
        <f t="shared" si="219"/>
        <v>-2.3459565982032692E-9</v>
      </c>
      <c r="M1568" s="4">
        <f t="shared" si="221"/>
        <v>-2.9401716225794436E-9</v>
      </c>
      <c r="N1568" s="5">
        <f t="shared" si="222"/>
        <v>1.2763753514757511E-6</v>
      </c>
      <c r="O1568" s="5">
        <f t="shared" si="223"/>
        <v>3.8223714515922079E-7</v>
      </c>
      <c r="P1568" s="5">
        <f t="shared" si="224"/>
        <v>1.4138750336502752E-7</v>
      </c>
      <c r="Q1568" s="1">
        <f t="shared" si="220"/>
        <v>1.7999999999999995E-6</v>
      </c>
    </row>
    <row r="1569" spans="1:17" x14ac:dyDescent="0.25">
      <c r="A1569" s="1">
        <v>78.349999999999994</v>
      </c>
      <c r="B1569" s="1">
        <v>4.7860999999999997E-3</v>
      </c>
      <c r="C1569" s="1">
        <v>2.4704000000000002E-4</v>
      </c>
      <c r="D1569" s="1">
        <v>3.2503999999999998E-2</v>
      </c>
      <c r="E1569" s="1">
        <v>2.9921000000000001E-3</v>
      </c>
      <c r="F1569" s="1">
        <v>1.4651999999999999E-7</v>
      </c>
      <c r="G1569" s="1">
        <v>6.7129000000000003</v>
      </c>
      <c r="H1569" s="1">
        <v>1.9725E-7</v>
      </c>
      <c r="I1569" s="1">
        <f t="shared" si="216"/>
        <v>1.9725E-7</v>
      </c>
      <c r="J1569" s="4">
        <f t="shared" si="217"/>
        <v>-2.7588700567654755E-9</v>
      </c>
      <c r="K1569" s="4">
        <f t="shared" si="218"/>
        <v>-7.4536243306043818E-9</v>
      </c>
      <c r="L1569" s="4">
        <f t="shared" si="219"/>
        <v>-2.3361982910934979E-9</v>
      </c>
      <c r="M1569" s="4">
        <f t="shared" si="221"/>
        <v>-2.9280150153116926E-9</v>
      </c>
      <c r="N1569" s="5">
        <f t="shared" si="222"/>
        <v>1.2787339074584966E-6</v>
      </c>
      <c r="O1569" s="5">
        <f t="shared" si="223"/>
        <v>3.804704059006936E-7</v>
      </c>
      <c r="P1569" s="5">
        <f t="shared" si="224"/>
        <v>1.4079568664080931E-7</v>
      </c>
      <c r="Q1569" s="1">
        <f t="shared" si="220"/>
        <v>1.7999999999999995E-6</v>
      </c>
    </row>
    <row r="1570" spans="1:17" x14ac:dyDescent="0.25">
      <c r="A1570" s="1">
        <v>78.400000000000006</v>
      </c>
      <c r="B1570" s="1">
        <v>4.7797999999999998E-3</v>
      </c>
      <c r="C1570" s="1">
        <v>2.4617999999999998E-4</v>
      </c>
      <c r="D1570" s="1">
        <v>3.2508000000000002E-2</v>
      </c>
      <c r="E1570" s="1">
        <v>2.9843000000000001E-3</v>
      </c>
      <c r="F1570" s="1">
        <v>1.4602000000000001E-7</v>
      </c>
      <c r="G1570" s="1">
        <v>6.7127999999999997</v>
      </c>
      <c r="H1570" s="1">
        <v>1.9726000000000001E-7</v>
      </c>
      <c r="I1570" s="1">
        <f t="shared" si="216"/>
        <v>1.9726000000000001E-7</v>
      </c>
      <c r="J1570" s="4">
        <f t="shared" si="217"/>
        <v>-2.7452000697548626E-9</v>
      </c>
      <c r="K1570" s="4">
        <f t="shared" si="218"/>
        <v>-7.4191729150652128E-9</v>
      </c>
      <c r="L1570" s="4">
        <f t="shared" si="219"/>
        <v>-2.3264905462845434E-9</v>
      </c>
      <c r="M1570" s="4">
        <f t="shared" si="221"/>
        <v>-2.9160546649401246E-9</v>
      </c>
      <c r="N1570" s="5">
        <f t="shared" si="222"/>
        <v>1.2810813897575224E-6</v>
      </c>
      <c r="O1570" s="5">
        <f t="shared" si="223"/>
        <v>3.7871248772032339E-7</v>
      </c>
      <c r="P1570" s="5">
        <f t="shared" si="224"/>
        <v>1.4020612252215375E-7</v>
      </c>
      <c r="Q1570" s="1">
        <f t="shared" si="220"/>
        <v>1.7999999999999995E-6</v>
      </c>
    </row>
    <row r="1571" spans="1:17" x14ac:dyDescent="0.25">
      <c r="A1571" s="1">
        <v>78.45</v>
      </c>
      <c r="B1571" s="1">
        <v>4.7736000000000002E-3</v>
      </c>
      <c r="C1571" s="1">
        <v>2.4532999999999998E-4</v>
      </c>
      <c r="D1571" s="1">
        <v>3.2510999999999998E-2</v>
      </c>
      <c r="E1571" s="1">
        <v>2.9765999999999998E-3</v>
      </c>
      <c r="F1571" s="1">
        <v>1.4552E-7</v>
      </c>
      <c r="G1571" s="1">
        <v>6.7127999999999997</v>
      </c>
      <c r="H1571" s="1">
        <v>1.9726999999999999E-7</v>
      </c>
      <c r="I1571" s="1">
        <f t="shared" si="216"/>
        <v>1.9726999999999999E-7</v>
      </c>
      <c r="J1571" s="4">
        <f t="shared" si="217"/>
        <v>-2.7315012931818533E-9</v>
      </c>
      <c r="K1571" s="4">
        <f t="shared" si="218"/>
        <v>-7.3848935105458857E-9</v>
      </c>
      <c r="L1571" s="4">
        <f t="shared" si="219"/>
        <v>-2.3167525087903585E-9</v>
      </c>
      <c r="M1571" s="4">
        <f t="shared" si="221"/>
        <v>-2.9039912715154401E-9</v>
      </c>
      <c r="N1571" s="5">
        <f t="shared" si="222"/>
        <v>1.2834180294660959E-6</v>
      </c>
      <c r="O1571" s="5">
        <f t="shared" si="223"/>
        <v>3.7696308677447476E-7</v>
      </c>
      <c r="P1571" s="5">
        <f t="shared" si="224"/>
        <v>1.3961888375942867E-7</v>
      </c>
      <c r="Q1571" s="1">
        <f t="shared" si="220"/>
        <v>1.7999999999999993E-6</v>
      </c>
    </row>
    <row r="1572" spans="1:17" x14ac:dyDescent="0.25">
      <c r="A1572" s="1">
        <v>78.5</v>
      </c>
      <c r="B1572" s="1">
        <v>4.7673000000000004E-3</v>
      </c>
      <c r="C1572" s="1">
        <v>2.4447999999999999E-4</v>
      </c>
      <c r="D1572" s="1">
        <v>3.2515000000000002E-2</v>
      </c>
      <c r="E1572" s="1">
        <v>2.9689E-3</v>
      </c>
      <c r="F1572" s="1">
        <v>1.4503E-7</v>
      </c>
      <c r="G1572" s="1">
        <v>6.7127999999999997</v>
      </c>
      <c r="H1572" s="1">
        <v>1.9728999999999999E-7</v>
      </c>
      <c r="I1572" s="1">
        <f t="shared" si="216"/>
        <v>1.9728999999999999E-7</v>
      </c>
      <c r="J1572" s="4">
        <f t="shared" si="217"/>
        <v>-2.7177750544601775E-9</v>
      </c>
      <c r="K1572" s="4">
        <f t="shared" si="218"/>
        <v>-7.3507801921018398E-9</v>
      </c>
      <c r="L1572" s="4">
        <f t="shared" si="219"/>
        <v>-2.3070626918973735E-9</v>
      </c>
      <c r="M1572" s="4">
        <f t="shared" si="221"/>
        <v>-2.891974805918197E-9</v>
      </c>
      <c r="N1572" s="5">
        <f t="shared" si="222"/>
        <v>1.2857439719118403E-6</v>
      </c>
      <c r="O1572" s="5">
        <f t="shared" si="223"/>
        <v>3.7522205644275131E-7</v>
      </c>
      <c r="P1572" s="5">
        <f t="shared" si="224"/>
        <v>1.3903397164540785E-7</v>
      </c>
      <c r="Q1572" s="1">
        <f t="shared" si="220"/>
        <v>1.7999999999999995E-6</v>
      </c>
    </row>
    <row r="1573" spans="1:17" x14ac:dyDescent="0.25">
      <c r="A1573" s="1">
        <v>78.55</v>
      </c>
      <c r="B1573" s="1">
        <v>4.7610999999999999E-3</v>
      </c>
      <c r="C1573" s="1">
        <v>2.4363999999999999E-4</v>
      </c>
      <c r="D1573" s="1">
        <v>3.2517999999999998E-2</v>
      </c>
      <c r="E1573" s="1">
        <v>2.9613E-3</v>
      </c>
      <c r="F1573" s="1">
        <v>1.4454E-7</v>
      </c>
      <c r="G1573" s="1">
        <v>6.7126999999999999</v>
      </c>
      <c r="H1573" s="1">
        <v>1.973E-7</v>
      </c>
      <c r="I1573" s="1">
        <f t="shared" si="216"/>
        <v>1.973E-7</v>
      </c>
      <c r="J1573" s="4">
        <f t="shared" si="217"/>
        <v>-2.7043954139170115E-9</v>
      </c>
      <c r="K1573" s="4">
        <f t="shared" si="218"/>
        <v>-7.3168301006332356E-9</v>
      </c>
      <c r="L1573" s="4">
        <f t="shared" si="219"/>
        <v>-2.2975025931993102E-9</v>
      </c>
      <c r="M1573" s="4">
        <f t="shared" si="221"/>
        <v>-2.8801512879217004E-9</v>
      </c>
      <c r="N1573" s="5">
        <f t="shared" si="222"/>
        <v>1.2880589040053571E-6</v>
      </c>
      <c r="O1573" s="5">
        <f t="shared" si="223"/>
        <v>3.7348977304395679E-7</v>
      </c>
      <c r="P1573" s="5">
        <f t="shared" si="224"/>
        <v>1.3845132295068546E-7</v>
      </c>
      <c r="Q1573" s="1">
        <f t="shared" si="220"/>
        <v>1.7999999999999993E-6</v>
      </c>
    </row>
    <row r="1574" spans="1:17" x14ac:dyDescent="0.25">
      <c r="A1574" s="1">
        <v>78.599999999999994</v>
      </c>
      <c r="B1574" s="1">
        <v>4.7549000000000003E-3</v>
      </c>
      <c r="C1574" s="1">
        <v>2.4280999999999999E-4</v>
      </c>
      <c r="D1574" s="1">
        <v>3.2522000000000002E-2</v>
      </c>
      <c r="E1574" s="1">
        <v>2.9535999999999998E-3</v>
      </c>
      <c r="F1574" s="1">
        <v>1.4406000000000001E-7</v>
      </c>
      <c r="G1574" s="1">
        <v>6.7126999999999999</v>
      </c>
      <c r="H1574" s="1">
        <v>1.9732E-7</v>
      </c>
      <c r="I1574" s="1">
        <f t="shared" si="216"/>
        <v>1.9732E-7</v>
      </c>
      <c r="J1574" s="4">
        <f t="shared" si="217"/>
        <v>-2.6909883952180874E-9</v>
      </c>
      <c r="K1574" s="4">
        <f t="shared" si="218"/>
        <v>-7.2830505743567444E-9</v>
      </c>
      <c r="L1574" s="4">
        <f t="shared" si="219"/>
        <v>-2.2879908211741519E-9</v>
      </c>
      <c r="M1574" s="4">
        <f t="shared" si="221"/>
        <v>-2.8682268319077125E-9</v>
      </c>
      <c r="N1574" s="5">
        <f t="shared" si="222"/>
        <v>1.2903629753633217E-6</v>
      </c>
      <c r="O1574" s="5">
        <f t="shared" si="223"/>
        <v>3.7176593769672582E-7</v>
      </c>
      <c r="P1574" s="5">
        <f t="shared" si="224"/>
        <v>1.378710869399519E-7</v>
      </c>
      <c r="Q1574" s="1">
        <f t="shared" si="220"/>
        <v>1.7999999999999995E-6</v>
      </c>
    </row>
    <row r="1575" spans="1:17" x14ac:dyDescent="0.25">
      <c r="A1575" s="1">
        <v>78.650000000000006</v>
      </c>
      <c r="B1575" s="1">
        <v>4.7486000000000004E-3</v>
      </c>
      <c r="C1575" s="1">
        <v>2.4198000000000001E-4</v>
      </c>
      <c r="D1575" s="1">
        <v>3.2524999999999998E-2</v>
      </c>
      <c r="E1575" s="1">
        <v>2.9459999999999998E-3</v>
      </c>
      <c r="F1575" s="1">
        <v>1.4357999999999999E-7</v>
      </c>
      <c r="G1575" s="1">
        <v>6.7126999999999999</v>
      </c>
      <c r="H1575" s="1">
        <v>1.9733000000000001E-7</v>
      </c>
      <c r="I1575" s="1">
        <f t="shared" si="216"/>
        <v>1.9733000000000001E-7</v>
      </c>
      <c r="J1575" s="4">
        <f t="shared" si="217"/>
        <v>-2.6779268774660917E-9</v>
      </c>
      <c r="K1575" s="4">
        <f t="shared" si="218"/>
        <v>-7.2494357850878022E-9</v>
      </c>
      <c r="L1575" s="4">
        <f t="shared" si="219"/>
        <v>-2.2785317246236272E-9</v>
      </c>
      <c r="M1575" s="4">
        <f t="shared" si="221"/>
        <v>-2.8564959018747368E-9</v>
      </c>
      <c r="N1575" s="5">
        <f t="shared" si="222"/>
        <v>1.2926559525463195E-6</v>
      </c>
      <c r="O1575" s="5">
        <f t="shared" si="223"/>
        <v>3.7005092469097885E-7</v>
      </c>
      <c r="P1575" s="5">
        <f t="shared" si="224"/>
        <v>1.3729312276270079E-7</v>
      </c>
      <c r="Q1575" s="1">
        <f t="shared" si="220"/>
        <v>1.7999999999999993E-6</v>
      </c>
    </row>
    <row r="1576" spans="1:17" x14ac:dyDescent="0.25">
      <c r="A1576" s="1">
        <v>78.7</v>
      </c>
      <c r="B1576" s="1">
        <v>4.7425000000000002E-3</v>
      </c>
      <c r="C1576" s="1">
        <v>2.4116E-4</v>
      </c>
      <c r="D1576" s="1">
        <v>3.2529000000000002E-2</v>
      </c>
      <c r="E1576" s="1">
        <v>2.9383999999999999E-3</v>
      </c>
      <c r="F1576" s="1">
        <v>1.431E-7</v>
      </c>
      <c r="G1576" s="1">
        <v>6.7126000000000001</v>
      </c>
      <c r="H1576" s="1">
        <v>1.9733999999999999E-7</v>
      </c>
      <c r="I1576" s="1">
        <f t="shared" si="216"/>
        <v>1.9733999999999999E-7</v>
      </c>
      <c r="J1576" s="4">
        <f t="shared" si="217"/>
        <v>-2.6648382192488989E-9</v>
      </c>
      <c r="K1576" s="4">
        <f t="shared" si="218"/>
        <v>-7.2159930314736773E-9</v>
      </c>
      <c r="L1576" s="4">
        <f t="shared" si="219"/>
        <v>-2.2691214364615624E-9</v>
      </c>
      <c r="M1576" s="4">
        <f t="shared" si="221"/>
        <v>-2.8446654510500318E-9</v>
      </c>
      <c r="N1576" s="5">
        <f t="shared" si="222"/>
        <v>1.2949379859220827E-6</v>
      </c>
      <c r="O1576" s="5">
        <f t="shared" si="223"/>
        <v>3.6834443532980411E-7</v>
      </c>
      <c r="P1576" s="5">
        <f t="shared" si="224"/>
        <v>1.3671757874811234E-7</v>
      </c>
      <c r="Q1576" s="1">
        <f t="shared" si="220"/>
        <v>1.7999999999999991E-6</v>
      </c>
    </row>
    <row r="1577" spans="1:17" x14ac:dyDescent="0.25">
      <c r="A1577" s="1">
        <v>78.75</v>
      </c>
      <c r="B1577" s="1">
        <v>4.7362999999999997E-3</v>
      </c>
      <c r="C1577" s="1">
        <v>2.4034999999999999E-4</v>
      </c>
      <c r="D1577" s="1">
        <v>3.2531999999999998E-2</v>
      </c>
      <c r="E1577" s="1">
        <v>2.9307999999999999E-3</v>
      </c>
      <c r="F1577" s="1">
        <v>1.4263E-7</v>
      </c>
      <c r="G1577" s="1">
        <v>6.7126000000000001</v>
      </c>
      <c r="H1577" s="1">
        <v>1.9735999999999999E-7</v>
      </c>
      <c r="I1577" s="1">
        <f t="shared" si="216"/>
        <v>1.9735999999999999E-7</v>
      </c>
      <c r="J1577" s="4">
        <f t="shared" si="217"/>
        <v>-2.6517235049896398E-9</v>
      </c>
      <c r="K1577" s="4">
        <f t="shared" si="218"/>
        <v>-7.1827164889307719E-9</v>
      </c>
      <c r="L1577" s="4">
        <f t="shared" si="219"/>
        <v>-2.2596835108529315E-9</v>
      </c>
      <c r="M1577" s="4">
        <f t="shared" si="221"/>
        <v>-2.8328839339658498E-9</v>
      </c>
      <c r="N1577" s="5">
        <f t="shared" si="222"/>
        <v>1.2972092953951709E-6</v>
      </c>
      <c r="O1577" s="5">
        <f t="shared" si="223"/>
        <v>3.6664632627982885E-7</v>
      </c>
      <c r="P1577" s="5">
        <f t="shared" si="224"/>
        <v>1.3614437832499942E-7</v>
      </c>
      <c r="Q1577" s="1">
        <f t="shared" si="220"/>
        <v>1.7999999999999993E-6</v>
      </c>
    </row>
    <row r="1578" spans="1:17" x14ac:dyDescent="0.25">
      <c r="A1578" s="1">
        <v>78.8</v>
      </c>
      <c r="B1578" s="1">
        <v>4.7301000000000001E-3</v>
      </c>
      <c r="C1578" s="1">
        <v>2.3954E-4</v>
      </c>
      <c r="D1578" s="1">
        <v>3.2536000000000002E-2</v>
      </c>
      <c r="E1578" s="1">
        <v>2.9231999999999999E-3</v>
      </c>
      <c r="F1578" s="1">
        <v>1.4216E-7</v>
      </c>
      <c r="G1578" s="1">
        <v>6.7126000000000001</v>
      </c>
      <c r="H1578" s="1">
        <v>1.9737E-7</v>
      </c>
      <c r="I1578" s="1">
        <f t="shared" si="216"/>
        <v>1.9737E-7</v>
      </c>
      <c r="J1578" s="4">
        <f t="shared" si="217"/>
        <v>-2.6389539781848173E-9</v>
      </c>
      <c r="K1578" s="4">
        <f t="shared" si="218"/>
        <v>-7.1496033624562569E-9</v>
      </c>
      <c r="L1578" s="4">
        <f t="shared" si="219"/>
        <v>-2.2503766546270672E-9</v>
      </c>
      <c r="M1578" s="4">
        <f t="shared" si="221"/>
        <v>-2.8212927231531372E-9</v>
      </c>
      <c r="N1578" s="5">
        <f t="shared" si="222"/>
        <v>1.2994695681248155E-6</v>
      </c>
      <c r="O1578" s="5">
        <f t="shared" si="223"/>
        <v>3.6495696961871058E-7</v>
      </c>
      <c r="P1578" s="5">
        <f t="shared" si="224"/>
        <v>1.3557346225647335E-7</v>
      </c>
      <c r="Q1578" s="1">
        <f t="shared" si="220"/>
        <v>1.7999999999999995E-6</v>
      </c>
    </row>
    <row r="1579" spans="1:17" x14ac:dyDescent="0.25">
      <c r="A1579" s="1">
        <v>78.849999999999994</v>
      </c>
      <c r="B1579" s="1">
        <v>4.7239999999999999E-3</v>
      </c>
      <c r="C1579" s="1">
        <v>2.3874000000000001E-4</v>
      </c>
      <c r="D1579" s="1">
        <v>3.2538999999999998E-2</v>
      </c>
      <c r="E1579" s="1">
        <v>2.9156999999999998E-3</v>
      </c>
      <c r="F1579" s="1">
        <v>1.417E-7</v>
      </c>
      <c r="G1579" s="1">
        <v>6.7125000000000004</v>
      </c>
      <c r="H1579" s="1">
        <v>1.9738000000000001E-7</v>
      </c>
      <c r="I1579" s="1">
        <f t="shared" si="216"/>
        <v>1.9738000000000001E-7</v>
      </c>
      <c r="J1579" s="4">
        <f t="shared" si="217"/>
        <v>-2.6261585535263821E-9</v>
      </c>
      <c r="K1579" s="4">
        <f t="shared" si="218"/>
        <v>-7.1166609075644521E-9</v>
      </c>
      <c r="L1579" s="4">
        <f t="shared" si="219"/>
        <v>-2.2410428205700289E-9</v>
      </c>
      <c r="M1579" s="4">
        <f t="shared" si="221"/>
        <v>-2.8096040957836552E-9</v>
      </c>
      <c r="N1579" s="5">
        <f t="shared" si="222"/>
        <v>1.3017190276582836E-6</v>
      </c>
      <c r="O1579" s="5">
        <f t="shared" si="223"/>
        <v>3.6327607136045619E-7</v>
      </c>
      <c r="P1579" s="5">
        <f t="shared" si="224"/>
        <v>1.3500490098125971E-7</v>
      </c>
      <c r="Q1579" s="1">
        <f t="shared" si="220"/>
        <v>1.7999999999999995E-6</v>
      </c>
    </row>
    <row r="1580" spans="1:17" x14ac:dyDescent="0.25">
      <c r="A1580" s="1">
        <v>78.900000000000006</v>
      </c>
      <c r="B1580" s="1">
        <v>4.7178000000000003E-3</v>
      </c>
      <c r="C1580" s="1">
        <v>2.3795000000000001E-4</v>
      </c>
      <c r="D1580" s="1">
        <v>3.2543000000000002E-2</v>
      </c>
      <c r="E1580" s="1">
        <v>2.9082000000000001E-3</v>
      </c>
      <c r="F1580" s="1">
        <v>1.4124000000000001E-7</v>
      </c>
      <c r="G1580" s="1">
        <v>6.7125000000000004</v>
      </c>
      <c r="H1580" s="1">
        <v>1.9739E-7</v>
      </c>
      <c r="I1580" s="1">
        <f t="shared" si="216"/>
        <v>1.9739E-7</v>
      </c>
      <c r="J1580" s="4">
        <f t="shared" si="217"/>
        <v>-2.613707316726358E-9</v>
      </c>
      <c r="K1580" s="4">
        <f t="shared" si="218"/>
        <v>-7.0838833915305068E-9</v>
      </c>
      <c r="L1580" s="4">
        <f t="shared" si="219"/>
        <v>-2.2319169835584347E-9</v>
      </c>
      <c r="M1580" s="4">
        <f t="shared" si="221"/>
        <v>-2.7979630723471456E-9</v>
      </c>
      <c r="N1580" s="5">
        <f t="shared" si="222"/>
        <v>1.3039572867495293E-6</v>
      </c>
      <c r="O1580" s="5">
        <f t="shared" si="223"/>
        <v>3.6160385835799924E-7</v>
      </c>
      <c r="P1580" s="5">
        <f t="shared" si="224"/>
        <v>1.34438854892471E-7</v>
      </c>
      <c r="Q1580" s="1">
        <f t="shared" si="220"/>
        <v>1.7999999999999995E-6</v>
      </c>
    </row>
    <row r="1581" spans="1:17" x14ac:dyDescent="0.25">
      <c r="A1581" s="1">
        <v>78.95</v>
      </c>
      <c r="B1581" s="1">
        <v>4.7117000000000001E-3</v>
      </c>
      <c r="C1581" s="1">
        <v>2.3716000000000001E-4</v>
      </c>
      <c r="D1581" s="1">
        <v>3.2545999999999999E-2</v>
      </c>
      <c r="E1581" s="1">
        <v>2.9007E-3</v>
      </c>
      <c r="F1581" s="1">
        <v>1.4077999999999999E-7</v>
      </c>
      <c r="G1581" s="1">
        <v>6.7125000000000004</v>
      </c>
      <c r="H1581" s="1">
        <v>1.9740999999999999E-7</v>
      </c>
      <c r="I1581" s="1">
        <f t="shared" si="216"/>
        <v>1.9740999999999999E-7</v>
      </c>
      <c r="J1581" s="4">
        <f t="shared" si="217"/>
        <v>-2.6012301754972838E-9</v>
      </c>
      <c r="K1581" s="4">
        <f t="shared" si="218"/>
        <v>-7.0512752379805849E-9</v>
      </c>
      <c r="L1581" s="4">
        <f t="shared" si="219"/>
        <v>-2.2227644452691862E-9</v>
      </c>
      <c r="M1581" s="4">
        <f t="shared" si="221"/>
        <v>-2.7863729845584507E-9</v>
      </c>
      <c r="N1581" s="5">
        <f t="shared" si="222"/>
        <v>1.3061845673667434E-6</v>
      </c>
      <c r="O1581" s="5">
        <f t="shared" si="223"/>
        <v>3.5994018628007437E-7</v>
      </c>
      <c r="P1581" s="5">
        <f t="shared" si="224"/>
        <v>1.3387524635318173E-7</v>
      </c>
      <c r="Q1581" s="1">
        <f t="shared" si="220"/>
        <v>1.7999999999999995E-6</v>
      </c>
    </row>
    <row r="1582" spans="1:17" x14ac:dyDescent="0.25">
      <c r="A1582" s="1">
        <v>79</v>
      </c>
      <c r="B1582" s="1">
        <v>4.7055999999999999E-3</v>
      </c>
      <c r="C1582" s="1">
        <v>2.3638000000000001E-4</v>
      </c>
      <c r="D1582" s="1">
        <v>3.2550000000000003E-2</v>
      </c>
      <c r="E1582" s="1">
        <v>2.8931999999999999E-3</v>
      </c>
      <c r="F1582" s="1">
        <v>1.4033000000000001E-7</v>
      </c>
      <c r="G1582" s="1">
        <v>6.7123999999999997</v>
      </c>
      <c r="H1582" s="1">
        <v>1.9742E-7</v>
      </c>
      <c r="I1582" s="1">
        <f t="shared" si="216"/>
        <v>1.9742E-7</v>
      </c>
      <c r="J1582" s="4">
        <f t="shared" si="217"/>
        <v>-2.5887282912590384E-9</v>
      </c>
      <c r="K1582" s="4">
        <f t="shared" si="218"/>
        <v>-7.0188336324610518E-9</v>
      </c>
      <c r="L1582" s="4">
        <f t="shared" si="219"/>
        <v>-2.2135861088925014E-9</v>
      </c>
      <c r="M1582" s="4">
        <f t="shared" si="221"/>
        <v>-2.7749728001709109E-9</v>
      </c>
      <c r="N1582" s="5">
        <f t="shared" si="222"/>
        <v>1.3084010865990528E-6</v>
      </c>
      <c r="O1582" s="5">
        <f t="shared" si="223"/>
        <v>3.5828505373904325E-7</v>
      </c>
      <c r="P1582" s="5">
        <f t="shared" si="224"/>
        <v>1.3331385966190333E-7</v>
      </c>
      <c r="Q1582" s="1">
        <f t="shared" si="220"/>
        <v>1.7999999999999993E-6</v>
      </c>
    </row>
    <row r="1583" spans="1:17" x14ac:dyDescent="0.25">
      <c r="A1583" s="1">
        <v>79.05</v>
      </c>
      <c r="B1583" s="1">
        <v>4.6994999999999997E-3</v>
      </c>
      <c r="C1583" s="1">
        <v>2.3561E-4</v>
      </c>
      <c r="D1583" s="1">
        <v>3.2552999999999999E-2</v>
      </c>
      <c r="E1583" s="1">
        <v>2.8858E-3</v>
      </c>
      <c r="F1583" s="1">
        <v>1.3988000000000001E-7</v>
      </c>
      <c r="G1583" s="1">
        <v>6.7123999999999997</v>
      </c>
      <c r="H1583" s="1">
        <v>1.9742999999999999E-7</v>
      </c>
      <c r="I1583" s="1">
        <f t="shared" si="216"/>
        <v>1.9742999999999999E-7</v>
      </c>
      <c r="J1583" s="4">
        <f t="shared" si="217"/>
        <v>-2.5765700042620058E-9</v>
      </c>
      <c r="K1583" s="4">
        <f t="shared" si="218"/>
        <v>-6.986558547910947E-9</v>
      </c>
      <c r="L1583" s="4">
        <f t="shared" si="219"/>
        <v>-2.2045399555172069E-9</v>
      </c>
      <c r="M1583" s="4">
        <f t="shared" si="221"/>
        <v>-2.763476328317403E-9</v>
      </c>
      <c r="N1583" s="5">
        <f t="shared" si="222"/>
        <v>1.3106065351871846E-6</v>
      </c>
      <c r="O1583" s="5">
        <f t="shared" si="223"/>
        <v>3.5663854152371173E-7</v>
      </c>
      <c r="P1583" s="5">
        <f t="shared" si="224"/>
        <v>1.3275492328910313E-7</v>
      </c>
      <c r="Q1583" s="1">
        <f t="shared" si="220"/>
        <v>1.7999999999999997E-6</v>
      </c>
    </row>
    <row r="1584" spans="1:17" x14ac:dyDescent="0.25">
      <c r="A1584" s="1">
        <v>79.099999999999994</v>
      </c>
      <c r="B1584" s="1">
        <v>4.6934999999999998E-3</v>
      </c>
      <c r="C1584" s="1">
        <v>2.3483999999999999E-4</v>
      </c>
      <c r="D1584" s="1">
        <v>3.2557000000000003E-2</v>
      </c>
      <c r="E1584" s="1">
        <v>2.8782999999999999E-3</v>
      </c>
      <c r="F1584" s="1">
        <v>1.3943E-7</v>
      </c>
      <c r="G1584" s="1">
        <v>6.7123999999999997</v>
      </c>
      <c r="H1584" s="1">
        <v>1.9745000000000001E-7</v>
      </c>
      <c r="I1584" s="1">
        <f t="shared" si="216"/>
        <v>1.9745000000000001E-7</v>
      </c>
      <c r="J1584" s="4">
        <f t="shared" si="217"/>
        <v>-2.564387058281918E-9</v>
      </c>
      <c r="K1584" s="4">
        <f t="shared" si="218"/>
        <v>-6.9544515597119844E-9</v>
      </c>
      <c r="L1584" s="4">
        <f t="shared" si="219"/>
        <v>-2.1955446752272177E-9</v>
      </c>
      <c r="M1584" s="4">
        <f t="shared" si="221"/>
        <v>-2.7520294730214451E-9</v>
      </c>
      <c r="N1584" s="5">
        <f t="shared" si="222"/>
        <v>1.3128010550133874E-6</v>
      </c>
      <c r="O1584" s="5">
        <f t="shared" si="223"/>
        <v>3.5500050649530312E-7</v>
      </c>
      <c r="P1584" s="5">
        <f t="shared" si="224"/>
        <v>1.3219843849130889E-7</v>
      </c>
      <c r="Q1584" s="1">
        <f t="shared" si="220"/>
        <v>1.7999999999999993E-6</v>
      </c>
    </row>
    <row r="1585" spans="1:17" x14ac:dyDescent="0.25">
      <c r="A1585" s="1">
        <v>79.150000000000006</v>
      </c>
      <c r="B1585" s="1">
        <v>4.6874000000000004E-3</v>
      </c>
      <c r="C1585" s="1">
        <v>2.3408000000000001E-4</v>
      </c>
      <c r="D1585" s="1">
        <v>3.2559999999999999E-2</v>
      </c>
      <c r="E1585" s="1">
        <v>2.8709E-3</v>
      </c>
      <c r="F1585" s="1">
        <v>1.3899E-7</v>
      </c>
      <c r="G1585" s="1">
        <v>6.7123999999999997</v>
      </c>
      <c r="H1585" s="1">
        <v>1.9746E-7</v>
      </c>
      <c r="I1585" s="1">
        <f t="shared" si="216"/>
        <v>1.9746E-7</v>
      </c>
      <c r="J1585" s="4">
        <f t="shared" si="217"/>
        <v>-2.5521804158950831E-9</v>
      </c>
      <c r="K1585" s="4">
        <f t="shared" si="218"/>
        <v>-6.9225098766599851E-9</v>
      </c>
      <c r="L1585" s="4">
        <f t="shared" si="219"/>
        <v>-2.1864487339843573E-9</v>
      </c>
      <c r="M1585" s="4">
        <f t="shared" si="221"/>
        <v>-2.740771076412062E-9</v>
      </c>
      <c r="N1585" s="5">
        <f t="shared" si="222"/>
        <v>1.3149849357401681E-6</v>
      </c>
      <c r="O1585" s="5">
        <f t="shared" si="223"/>
        <v>3.533709481109503E-7</v>
      </c>
      <c r="P1585" s="5">
        <f t="shared" si="224"/>
        <v>1.3164411614888119E-7</v>
      </c>
      <c r="Q1585" s="1">
        <f t="shared" si="220"/>
        <v>1.7999999999999995E-6</v>
      </c>
    </row>
    <row r="1586" spans="1:17" x14ac:dyDescent="0.25">
      <c r="A1586" s="1">
        <v>79.2</v>
      </c>
      <c r="B1586" s="1">
        <v>4.6813999999999996E-3</v>
      </c>
      <c r="C1586" s="1">
        <v>2.3332E-4</v>
      </c>
      <c r="D1586" s="1">
        <v>3.2563000000000002E-2</v>
      </c>
      <c r="E1586" s="1">
        <v>2.8635000000000002E-3</v>
      </c>
      <c r="F1586" s="1">
        <v>1.3855000000000001E-7</v>
      </c>
      <c r="G1586" s="1">
        <v>6.7122999999999999</v>
      </c>
      <c r="H1586" s="1">
        <v>1.9747000000000001E-7</v>
      </c>
      <c r="I1586" s="1">
        <f t="shared" si="216"/>
        <v>1.9747000000000001E-7</v>
      </c>
      <c r="J1586" s="4">
        <f t="shared" si="217"/>
        <v>-2.540316841681148E-9</v>
      </c>
      <c r="K1586" s="4">
        <f t="shared" si="218"/>
        <v>-6.8907334881631386E-9</v>
      </c>
      <c r="L1586" s="4">
        <f t="shared" si="219"/>
        <v>-2.1775618264801059E-9</v>
      </c>
      <c r="M1586" s="4">
        <f t="shared" si="221"/>
        <v>-2.729416953349443E-9</v>
      </c>
      <c r="N1586" s="5">
        <f t="shared" si="222"/>
        <v>1.31715779056017E-6</v>
      </c>
      <c r="O1586" s="5">
        <f t="shared" si="223"/>
        <v>3.5174994841781772E-7</v>
      </c>
      <c r="P1586" s="5">
        <f t="shared" si="224"/>
        <v>1.3109226102201183E-7</v>
      </c>
      <c r="Q1586" s="1">
        <f t="shared" si="220"/>
        <v>1.7999999999999997E-6</v>
      </c>
    </row>
    <row r="1587" spans="1:17" x14ac:dyDescent="0.25">
      <c r="A1587" s="1">
        <v>79.25</v>
      </c>
      <c r="B1587" s="1">
        <v>4.6753999999999997E-3</v>
      </c>
      <c r="C1587" s="1">
        <v>2.3258E-4</v>
      </c>
      <c r="D1587" s="1">
        <v>3.2566999999999999E-2</v>
      </c>
      <c r="E1587" s="1">
        <v>2.8562000000000001E-3</v>
      </c>
      <c r="F1587" s="1">
        <v>1.3812E-7</v>
      </c>
      <c r="G1587" s="1">
        <v>6.7122999999999999</v>
      </c>
      <c r="H1587" s="1">
        <v>1.9749E-7</v>
      </c>
      <c r="I1587" s="1">
        <f t="shared" si="216"/>
        <v>1.9749E-7</v>
      </c>
      <c r="J1587" s="4">
        <f t="shared" si="217"/>
        <v>-2.5284295956265116E-9</v>
      </c>
      <c r="K1587" s="4">
        <f t="shared" si="218"/>
        <v>-6.8591239941470563E-9</v>
      </c>
      <c r="L1587" s="4">
        <f t="shared" si="219"/>
        <v>-2.1686507622062466E-9</v>
      </c>
      <c r="M1587" s="4">
        <f t="shared" si="221"/>
        <v>-2.7181128223215965E-9</v>
      </c>
      <c r="N1587" s="5">
        <f t="shared" si="222"/>
        <v>1.3193198341964845E-6</v>
      </c>
      <c r="O1587" s="5">
        <f t="shared" si="223"/>
        <v>3.5013736684161878E-7</v>
      </c>
      <c r="P1587" s="5">
        <f t="shared" si="224"/>
        <v>1.3054279896189648E-7</v>
      </c>
      <c r="Q1587" s="1">
        <f t="shared" si="220"/>
        <v>1.7999999999999997E-6</v>
      </c>
    </row>
    <row r="1588" spans="1:17" x14ac:dyDescent="0.25">
      <c r="A1588" s="1">
        <v>79.3</v>
      </c>
      <c r="B1588" s="1">
        <v>4.6693999999999998E-3</v>
      </c>
      <c r="C1588" s="1">
        <v>2.3183000000000001E-4</v>
      </c>
      <c r="D1588" s="1">
        <v>3.2570000000000002E-2</v>
      </c>
      <c r="E1588" s="1">
        <v>2.8487999999999999E-3</v>
      </c>
      <c r="F1588" s="1">
        <v>1.3769000000000001E-7</v>
      </c>
      <c r="G1588" s="1">
        <v>6.7122999999999999</v>
      </c>
      <c r="H1588" s="1">
        <v>1.9749999999999999E-7</v>
      </c>
      <c r="I1588" s="1">
        <f t="shared" si="216"/>
        <v>1.9749999999999999E-7</v>
      </c>
      <c r="J1588" s="4">
        <f t="shared" si="217"/>
        <v>-2.5168841793550619E-9</v>
      </c>
      <c r="K1588" s="4">
        <f t="shared" si="218"/>
        <v>-6.827678653411178E-9</v>
      </c>
      <c r="L1588" s="4">
        <f t="shared" si="219"/>
        <v>-2.1599483826568781E-9</v>
      </c>
      <c r="M1588" s="4">
        <f t="shared" si="221"/>
        <v>-2.7069942235332645E-9</v>
      </c>
      <c r="N1588" s="5">
        <f t="shared" si="222"/>
        <v>1.3214706802878838E-6</v>
      </c>
      <c r="O1588" s="5">
        <f t="shared" si="223"/>
        <v>3.4853356659109594E-7</v>
      </c>
      <c r="P1588" s="5">
        <f t="shared" si="224"/>
        <v>1.299957531210201E-7</v>
      </c>
      <c r="Q1588" s="1">
        <f t="shared" si="220"/>
        <v>1.7999999999999997E-6</v>
      </c>
    </row>
    <row r="1589" spans="1:17" x14ac:dyDescent="0.25">
      <c r="A1589" s="1">
        <v>79.349999999999994</v>
      </c>
      <c r="B1589" s="1">
        <v>4.6633999999999998E-3</v>
      </c>
      <c r="C1589" s="1">
        <v>2.3110000000000001E-4</v>
      </c>
      <c r="D1589" s="1">
        <v>3.2573999999999999E-2</v>
      </c>
      <c r="E1589" s="1">
        <v>2.8414999999999998E-3</v>
      </c>
      <c r="F1589" s="1">
        <v>1.3726E-7</v>
      </c>
      <c r="G1589" s="1">
        <v>6.7122000000000002</v>
      </c>
      <c r="H1589" s="1">
        <v>1.9751E-7</v>
      </c>
      <c r="I1589" s="1">
        <f t="shared" si="216"/>
        <v>1.9751E-7</v>
      </c>
      <c r="J1589" s="4">
        <f t="shared" si="217"/>
        <v>-2.505314959732798E-9</v>
      </c>
      <c r="K1589" s="4">
        <f t="shared" si="218"/>
        <v>-6.7964045485259849E-9</v>
      </c>
      <c r="L1589" s="4">
        <f t="shared" si="219"/>
        <v>-2.1511465043024328E-9</v>
      </c>
      <c r="M1589" s="4">
        <f t="shared" si="221"/>
        <v>-2.6957869303470006E-9</v>
      </c>
      <c r="N1589" s="5">
        <f t="shared" si="222"/>
        <v>1.3236106233723745E-6</v>
      </c>
      <c r="O1589" s="5">
        <f t="shared" si="223"/>
        <v>3.4693826393264972E-7</v>
      </c>
      <c r="P1589" s="5">
        <f t="shared" si="224"/>
        <v>1.2945111269497552E-7</v>
      </c>
      <c r="Q1589" s="1">
        <f t="shared" si="220"/>
        <v>1.7999999999999999E-6</v>
      </c>
    </row>
    <row r="1590" spans="1:17" x14ac:dyDescent="0.25">
      <c r="A1590" s="1">
        <v>79.400000000000006</v>
      </c>
      <c r="B1590" s="1">
        <v>4.6573999999999999E-3</v>
      </c>
      <c r="C1590" s="1">
        <v>2.3037000000000001E-4</v>
      </c>
      <c r="D1590" s="1">
        <v>3.2577000000000002E-2</v>
      </c>
      <c r="E1590" s="1">
        <v>2.8341999999999998E-3</v>
      </c>
      <c r="F1590" s="1">
        <v>1.3682999999999999E-7</v>
      </c>
      <c r="G1590" s="1">
        <v>6.7122000000000002</v>
      </c>
      <c r="H1590" s="1">
        <v>1.9752000000000001E-7</v>
      </c>
      <c r="I1590" s="1">
        <f t="shared" si="216"/>
        <v>1.9752000000000001E-7</v>
      </c>
      <c r="J1590" s="4">
        <f t="shared" si="217"/>
        <v>-2.4937231286968953E-9</v>
      </c>
      <c r="K1590" s="4">
        <f t="shared" si="218"/>
        <v>-6.7652961466882085E-9</v>
      </c>
      <c r="L1590" s="4">
        <f t="shared" si="219"/>
        <v>-2.1423972185121486E-9</v>
      </c>
      <c r="M1590" s="4">
        <f t="shared" si="221"/>
        <v>-2.6846283731809951E-9</v>
      </c>
      <c r="N1590" s="5">
        <f t="shared" si="222"/>
        <v>1.3257397991718538E-6</v>
      </c>
      <c r="O1590" s="5">
        <f t="shared" si="223"/>
        <v>3.453513192878394E-7</v>
      </c>
      <c r="P1590" s="5">
        <f t="shared" si="224"/>
        <v>1.2890888154030667E-7</v>
      </c>
      <c r="Q1590" s="1">
        <f t="shared" si="220"/>
        <v>1.7999999999999999E-6</v>
      </c>
    </row>
    <row r="1591" spans="1:17" x14ac:dyDescent="0.25">
      <c r="A1591" s="1">
        <v>79.45</v>
      </c>
      <c r="B1591" s="1">
        <v>4.6514E-3</v>
      </c>
      <c r="C1591" s="1">
        <v>2.2965E-4</v>
      </c>
      <c r="D1591" s="1">
        <v>3.2579999999999998E-2</v>
      </c>
      <c r="E1591" s="1">
        <v>2.8268999999999998E-3</v>
      </c>
      <c r="F1591" s="1">
        <v>1.3640999999999999E-7</v>
      </c>
      <c r="G1591" s="1">
        <v>6.7122000000000002</v>
      </c>
      <c r="H1591" s="1">
        <v>1.9754000000000001E-7</v>
      </c>
      <c r="I1591" s="1">
        <f t="shared" si="216"/>
        <v>1.9754000000000001E-7</v>
      </c>
      <c r="J1591" s="4">
        <f t="shared" si="217"/>
        <v>-2.4821095644689884E-9</v>
      </c>
      <c r="K1591" s="4">
        <f t="shared" si="218"/>
        <v>-6.7343507261124858E-9</v>
      </c>
      <c r="L1591" s="4">
        <f t="shared" si="219"/>
        <v>-2.133625590120202E-9</v>
      </c>
      <c r="M1591" s="4">
        <f t="shared" si="221"/>
        <v>-2.6735186395931924E-9</v>
      </c>
      <c r="N1591" s="5">
        <f t="shared" si="222"/>
        <v>1.3278584147433768E-6</v>
      </c>
      <c r="O1591" s="5">
        <f t="shared" si="223"/>
        <v>3.437725967657891E-7</v>
      </c>
      <c r="P1591" s="5">
        <f t="shared" si="224"/>
        <v>1.2836898849083369E-7</v>
      </c>
      <c r="Q1591" s="1">
        <f t="shared" si="220"/>
        <v>1.7999999999999995E-6</v>
      </c>
    </row>
    <row r="1592" spans="1:17" x14ac:dyDescent="0.25">
      <c r="A1592" s="1">
        <v>79.5</v>
      </c>
      <c r="B1592" s="1">
        <v>4.6455000000000003E-3</v>
      </c>
      <c r="C1592" s="1">
        <v>2.2892999999999999E-4</v>
      </c>
      <c r="D1592" s="1">
        <v>3.2584000000000002E-2</v>
      </c>
      <c r="E1592" s="1">
        <v>2.8197000000000001E-3</v>
      </c>
      <c r="F1592" s="1">
        <v>1.36E-7</v>
      </c>
      <c r="G1592" s="1">
        <v>6.7121000000000004</v>
      </c>
      <c r="H1592" s="1">
        <v>1.9754999999999999E-7</v>
      </c>
      <c r="I1592" s="1">
        <f t="shared" si="216"/>
        <v>1.9754999999999999E-7</v>
      </c>
      <c r="J1592" s="4">
        <f t="shared" si="217"/>
        <v>-2.4708375222503786E-9</v>
      </c>
      <c r="K1592" s="4">
        <f t="shared" si="218"/>
        <v>-6.7035656369325073E-9</v>
      </c>
      <c r="L1592" s="4">
        <f t="shared" si="219"/>
        <v>-2.1249881940727091E-9</v>
      </c>
      <c r="M1592" s="4">
        <f t="shared" si="221"/>
        <v>-2.6625910485801738E-9</v>
      </c>
      <c r="N1592" s="5">
        <f t="shared" si="222"/>
        <v>1.3299661546639862E-6</v>
      </c>
      <c r="O1592" s="5">
        <f t="shared" si="223"/>
        <v>3.4220245969968713E-7</v>
      </c>
      <c r="P1592" s="5">
        <f t="shared" si="224"/>
        <v>1.2783138563632622E-7</v>
      </c>
      <c r="Q1592" s="1">
        <f t="shared" si="220"/>
        <v>1.7999999999999995E-6</v>
      </c>
    </row>
    <row r="1593" spans="1:17" x14ac:dyDescent="0.25">
      <c r="A1593" s="1">
        <v>79.55</v>
      </c>
      <c r="B1593" s="1">
        <v>4.6395000000000004E-3</v>
      </c>
      <c r="C1593" s="1">
        <v>2.2822000000000001E-4</v>
      </c>
      <c r="D1593" s="1">
        <v>3.2586999999999998E-2</v>
      </c>
      <c r="E1593" s="1">
        <v>2.8124999999999999E-3</v>
      </c>
      <c r="F1593" s="1">
        <v>1.3558E-7</v>
      </c>
      <c r="G1593" s="1">
        <v>6.7121000000000004</v>
      </c>
      <c r="H1593" s="1">
        <v>1.9756E-7</v>
      </c>
      <c r="I1593" s="1">
        <f t="shared" si="216"/>
        <v>1.9756E-7</v>
      </c>
      <c r="J1593" s="4">
        <f t="shared" si="217"/>
        <v>-2.4599053996663693E-9</v>
      </c>
      <c r="K1593" s="4">
        <f t="shared" si="218"/>
        <v>-6.6729479641435208E-9</v>
      </c>
      <c r="L1593" s="4">
        <f t="shared" si="219"/>
        <v>-2.1165595816230096E-9</v>
      </c>
      <c r="M1593" s="4">
        <f t="shared" si="221"/>
        <v>-2.6515744744077552E-9</v>
      </c>
      <c r="N1593" s="5">
        <f t="shared" si="222"/>
        <v>1.3320626376468403E-6</v>
      </c>
      <c r="O1593" s="5">
        <f t="shared" si="223"/>
        <v>3.4064099160961777E-7</v>
      </c>
      <c r="P1593" s="5">
        <f t="shared" si="224"/>
        <v>1.2729637074354148E-7</v>
      </c>
      <c r="Q1593" s="1">
        <f t="shared" si="220"/>
        <v>1.7999999999999995E-6</v>
      </c>
    </row>
    <row r="1594" spans="1:17" x14ac:dyDescent="0.25">
      <c r="A1594" s="1">
        <v>79.599999999999994</v>
      </c>
      <c r="B1594" s="1">
        <v>4.6335999999999999E-3</v>
      </c>
      <c r="C1594" s="1">
        <v>2.2751E-4</v>
      </c>
      <c r="D1594" s="1">
        <v>3.2590000000000001E-2</v>
      </c>
      <c r="E1594" s="1">
        <v>2.8051999999999999E-3</v>
      </c>
      <c r="F1594" s="1">
        <v>1.3517000000000001E-7</v>
      </c>
      <c r="G1594" s="1">
        <v>6.7121000000000004</v>
      </c>
      <c r="H1594" s="1">
        <v>1.9758E-7</v>
      </c>
      <c r="I1594" s="1">
        <f t="shared" si="216"/>
        <v>1.9758E-7</v>
      </c>
      <c r="J1594" s="4">
        <f t="shared" si="217"/>
        <v>-2.4485890686039072E-9</v>
      </c>
      <c r="K1594" s="4">
        <f t="shared" si="218"/>
        <v>-6.6424993363871693E-9</v>
      </c>
      <c r="L1594" s="4">
        <f t="shared" si="219"/>
        <v>-2.107952908623044E-9</v>
      </c>
      <c r="M1594" s="4">
        <f t="shared" si="221"/>
        <v>-2.6406104554297254E-9</v>
      </c>
      <c r="N1594" s="5">
        <f t="shared" si="222"/>
        <v>1.3341485950060007E-6</v>
      </c>
      <c r="O1594" s="5">
        <f t="shared" si="223"/>
        <v>3.3908769179726419E-7</v>
      </c>
      <c r="P1594" s="5">
        <f t="shared" si="224"/>
        <v>1.2676371319673478E-7</v>
      </c>
      <c r="Q1594" s="1">
        <f t="shared" si="220"/>
        <v>1.7999999999999997E-6</v>
      </c>
    </row>
    <row r="1595" spans="1:17" x14ac:dyDescent="0.25">
      <c r="A1595" s="1">
        <v>79.650000000000006</v>
      </c>
      <c r="B1595" s="1">
        <v>4.6277000000000002E-3</v>
      </c>
      <c r="C1595" s="1">
        <v>2.2681000000000001E-4</v>
      </c>
      <c r="D1595" s="1">
        <v>3.2592999999999997E-2</v>
      </c>
      <c r="E1595" s="1">
        <v>2.7981E-3</v>
      </c>
      <c r="F1595" s="1">
        <v>1.3477000000000001E-7</v>
      </c>
      <c r="G1595" s="1">
        <v>6.7121000000000004</v>
      </c>
      <c r="H1595" s="1">
        <v>1.9759000000000001E-7</v>
      </c>
      <c r="I1595" s="1">
        <f t="shared" si="216"/>
        <v>1.9759000000000001E-7</v>
      </c>
      <c r="J1595" s="4">
        <f t="shared" si="217"/>
        <v>-2.4376134121395079E-9</v>
      </c>
      <c r="K1595" s="4">
        <f t="shared" si="218"/>
        <v>-6.6122099900481552E-9</v>
      </c>
      <c r="L1595" s="4">
        <f t="shared" si="219"/>
        <v>-2.0994060476803319E-9</v>
      </c>
      <c r="M1595" s="4">
        <f t="shared" si="221"/>
        <v>-2.6298273176087382E-9</v>
      </c>
      <c r="N1595" s="5">
        <f t="shared" si="222"/>
        <v>1.336223785536229E-6</v>
      </c>
      <c r="O1595" s="5">
        <f t="shared" si="223"/>
        <v>3.3754292253696426E-7</v>
      </c>
      <c r="P1595" s="5">
        <f t="shared" si="224"/>
        <v>1.2623329192680636E-7</v>
      </c>
      <c r="Q1595" s="1">
        <f t="shared" si="220"/>
        <v>1.7999999999999997E-6</v>
      </c>
    </row>
    <row r="1596" spans="1:17" x14ac:dyDescent="0.25">
      <c r="A1596" s="1">
        <v>79.7</v>
      </c>
      <c r="B1596" s="1">
        <v>4.6217999999999997E-3</v>
      </c>
      <c r="C1596" s="1">
        <v>2.2612000000000001E-4</v>
      </c>
      <c r="D1596" s="1">
        <v>3.2597000000000001E-2</v>
      </c>
      <c r="E1596" s="1">
        <v>2.7908999999999998E-3</v>
      </c>
      <c r="F1596" s="1">
        <v>1.3437E-7</v>
      </c>
      <c r="G1596" s="1">
        <v>6.7119999999999997</v>
      </c>
      <c r="H1596" s="1">
        <v>1.976E-7</v>
      </c>
      <c r="I1596" s="1">
        <f t="shared" si="216"/>
        <v>1.976E-7</v>
      </c>
      <c r="J1596" s="4">
        <f t="shared" si="217"/>
        <v>-2.4269769680552853E-9</v>
      </c>
      <c r="K1596" s="4">
        <f t="shared" si="218"/>
        <v>-6.5820869894704286E-9</v>
      </c>
      <c r="L1596" s="4">
        <f t="shared" si="219"/>
        <v>-2.0911431071758775E-9</v>
      </c>
      <c r="M1596" s="4">
        <f t="shared" si="221"/>
        <v>-2.6189557959407068E-9</v>
      </c>
      <c r="N1596" s="5">
        <f t="shared" si="222"/>
        <v>1.3382877524504684E-6</v>
      </c>
      <c r="O1596" s="5">
        <f t="shared" si="223"/>
        <v>3.3600676831148978E-7</v>
      </c>
      <c r="P1596" s="5">
        <f t="shared" si="224"/>
        <v>1.2570547923804153E-7</v>
      </c>
      <c r="Q1596" s="1">
        <f t="shared" si="220"/>
        <v>1.7999999999999997E-6</v>
      </c>
    </row>
    <row r="1597" spans="1:17" x14ac:dyDescent="0.25">
      <c r="A1597" s="1">
        <v>79.75</v>
      </c>
      <c r="B1597" s="1">
        <v>4.6160000000000003E-3</v>
      </c>
      <c r="C1597" s="1">
        <v>2.2542999999999999E-4</v>
      </c>
      <c r="D1597" s="1">
        <v>3.2599999999999997E-2</v>
      </c>
      <c r="E1597" s="1">
        <v>2.7837000000000001E-3</v>
      </c>
      <c r="F1597" s="1">
        <v>1.3397E-7</v>
      </c>
      <c r="G1597" s="1">
        <v>6.7119999999999997</v>
      </c>
      <c r="H1597" s="1">
        <v>1.9761000000000001E-7</v>
      </c>
      <c r="I1597" s="1">
        <f t="shared" si="216"/>
        <v>1.9761000000000001E-7</v>
      </c>
      <c r="J1597" s="4">
        <f t="shared" si="217"/>
        <v>-2.4163182708125541E-9</v>
      </c>
      <c r="K1597" s="4">
        <f t="shared" si="218"/>
        <v>-6.5521319820736789E-9</v>
      </c>
      <c r="L1597" s="4">
        <f t="shared" si="219"/>
        <v>-2.0827838094325102E-9</v>
      </c>
      <c r="M1597" s="4">
        <f t="shared" si="221"/>
        <v>-2.608137283230737E-9</v>
      </c>
      <c r="N1597" s="5">
        <f t="shared" si="222"/>
        <v>1.3403407823522969E-6</v>
      </c>
      <c r="O1597" s="5">
        <f t="shared" si="223"/>
        <v>3.3447909188345939E-7</v>
      </c>
      <c r="P1597" s="5">
        <f t="shared" si="224"/>
        <v>1.251801257642433E-7</v>
      </c>
      <c r="Q1597" s="1">
        <f t="shared" si="220"/>
        <v>1.7999999999999997E-6</v>
      </c>
    </row>
    <row r="1598" spans="1:17" x14ac:dyDescent="0.25">
      <c r="A1598" s="1">
        <v>79.8</v>
      </c>
      <c r="B1598" s="1">
        <v>4.6100999999999998E-3</v>
      </c>
      <c r="C1598" s="1">
        <v>2.2474999999999999E-4</v>
      </c>
      <c r="D1598" s="1">
        <v>3.2603E-2</v>
      </c>
      <c r="E1598" s="1">
        <v>2.7766000000000002E-3</v>
      </c>
      <c r="F1598" s="1">
        <v>1.3357E-7</v>
      </c>
      <c r="G1598" s="1">
        <v>6.7119999999999997</v>
      </c>
      <c r="H1598" s="1">
        <v>1.9763E-7</v>
      </c>
      <c r="I1598" s="1">
        <f t="shared" si="216"/>
        <v>1.9763E-7</v>
      </c>
      <c r="J1598" s="4">
        <f t="shared" si="217"/>
        <v>-2.4056383954333069E-9</v>
      </c>
      <c r="K1598" s="4">
        <f t="shared" si="218"/>
        <v>-6.5223422917270875E-9</v>
      </c>
      <c r="L1598" s="4">
        <f t="shared" si="219"/>
        <v>-2.0744038774110576E-9</v>
      </c>
      <c r="M1598" s="4">
        <f t="shared" si="221"/>
        <v>-2.5973686884884249E-9</v>
      </c>
      <c r="N1598" s="5">
        <f t="shared" si="222"/>
        <v>1.3423830823711795E-6</v>
      </c>
      <c r="O1598" s="5">
        <f t="shared" si="223"/>
        <v>3.3295975667565399E-7</v>
      </c>
      <c r="P1598" s="5">
        <f t="shared" si="224"/>
        <v>1.2465716095316591E-7</v>
      </c>
      <c r="Q1598" s="1">
        <f t="shared" si="220"/>
        <v>1.7999999999999993E-6</v>
      </c>
    </row>
    <row r="1599" spans="1:17" x14ac:dyDescent="0.25">
      <c r="A1599" s="1">
        <v>79.849999999999994</v>
      </c>
      <c r="B1599" s="1">
        <v>4.6043000000000004E-3</v>
      </c>
      <c r="C1599" s="1">
        <v>2.2406999999999999E-4</v>
      </c>
      <c r="D1599" s="1">
        <v>3.2606999999999997E-2</v>
      </c>
      <c r="E1599" s="1">
        <v>2.7694999999999998E-3</v>
      </c>
      <c r="F1599" s="1">
        <v>1.3318000000000001E-7</v>
      </c>
      <c r="G1599" s="1">
        <v>6.7119</v>
      </c>
      <c r="H1599" s="1">
        <v>1.9763999999999999E-7</v>
      </c>
      <c r="I1599" s="1">
        <f t="shared" si="216"/>
        <v>1.9763999999999999E-7</v>
      </c>
      <c r="J1599" s="4">
        <f t="shared" si="217"/>
        <v>-2.3949382607275009E-9</v>
      </c>
      <c r="K1599" s="4">
        <f t="shared" si="218"/>
        <v>-6.4927152551748841E-9</v>
      </c>
      <c r="L1599" s="4">
        <f t="shared" si="219"/>
        <v>-2.0660784708508135E-9</v>
      </c>
      <c r="M1599" s="4">
        <f t="shared" si="221"/>
        <v>-2.5867794455131414E-9</v>
      </c>
      <c r="N1599" s="5">
        <f t="shared" si="222"/>
        <v>1.344414780894776E-6</v>
      </c>
      <c r="O1599" s="5">
        <f t="shared" si="223"/>
        <v>3.314487591267198E-7</v>
      </c>
      <c r="P1599" s="5">
        <f t="shared" si="224"/>
        <v>1.241364599785036E-7</v>
      </c>
      <c r="Q1599" s="1">
        <f t="shared" si="220"/>
        <v>1.7999999999999993E-6</v>
      </c>
    </row>
    <row r="1600" spans="1:17" x14ac:dyDescent="0.25">
      <c r="A1600" s="1">
        <v>79.900000000000006</v>
      </c>
      <c r="B1600" s="1">
        <v>4.5983999999999999E-3</v>
      </c>
      <c r="C1600" s="1">
        <v>2.2340000000000001E-4</v>
      </c>
      <c r="D1600" s="1">
        <v>3.261E-2</v>
      </c>
      <c r="E1600" s="1">
        <v>2.7623999999999999E-3</v>
      </c>
      <c r="F1600" s="1">
        <v>1.3279000000000001E-7</v>
      </c>
      <c r="G1600" s="1">
        <v>6.7119</v>
      </c>
      <c r="H1600" s="1">
        <v>1.9765E-7</v>
      </c>
      <c r="I1600" s="1">
        <f t="shared" si="216"/>
        <v>1.9765E-7</v>
      </c>
      <c r="J1600" s="4">
        <f t="shared" si="217"/>
        <v>-2.3845767198001262E-9</v>
      </c>
      <c r="K1600" s="4">
        <f t="shared" si="218"/>
        <v>-6.463250802972506E-9</v>
      </c>
      <c r="L1600" s="4">
        <f t="shared" si="219"/>
        <v>-2.0578880977450639E-9</v>
      </c>
      <c r="M1600" s="4">
        <f t="shared" si="221"/>
        <v>-2.5761046447664879E-9</v>
      </c>
      <c r="N1600" s="5">
        <f t="shared" si="222"/>
        <v>1.3464355668802034E-6</v>
      </c>
      <c r="O1600" s="5">
        <f t="shared" si="223"/>
        <v>3.2994618968831385E-7</v>
      </c>
      <c r="P1600" s="5">
        <f t="shared" si="224"/>
        <v>1.2361824343148215E-7</v>
      </c>
      <c r="Q1600" s="1">
        <f t="shared" si="220"/>
        <v>1.7999999999999993E-6</v>
      </c>
    </row>
    <row r="1601" spans="1:17" x14ac:dyDescent="0.25">
      <c r="A1601" s="1">
        <v>79.95</v>
      </c>
      <c r="B1601" s="1">
        <v>4.5925999999999996E-3</v>
      </c>
      <c r="C1601" s="1">
        <v>2.2274E-4</v>
      </c>
      <c r="D1601" s="1">
        <v>3.2613000000000003E-2</v>
      </c>
      <c r="E1601" s="1">
        <v>2.7553E-3</v>
      </c>
      <c r="F1601" s="1">
        <v>1.3239999999999999E-7</v>
      </c>
      <c r="G1601" s="1">
        <v>6.7119</v>
      </c>
      <c r="H1601" s="1">
        <v>1.9766000000000001E-7</v>
      </c>
      <c r="I1601" s="1">
        <f t="shared" si="216"/>
        <v>1.9766000000000001E-7</v>
      </c>
      <c r="J1601" s="4">
        <f t="shared" si="217"/>
        <v>-2.3741946229585144E-9</v>
      </c>
      <c r="K1601" s="4">
        <f t="shared" si="218"/>
        <v>-6.4339506989217551E-9</v>
      </c>
      <c r="L1601" s="4">
        <f t="shared" si="219"/>
        <v>-2.0496778514806455E-9</v>
      </c>
      <c r="M1601" s="4">
        <f t="shared" si="221"/>
        <v>-2.5654803104942611E-9</v>
      </c>
      <c r="N1601" s="5">
        <f t="shared" si="222"/>
        <v>1.348445645104686E-6</v>
      </c>
      <c r="O1601" s="5">
        <f t="shared" si="223"/>
        <v>3.2845191392284484E-7</v>
      </c>
      <c r="P1601" s="5">
        <f t="shared" si="224"/>
        <v>1.2310244097246854E-7</v>
      </c>
      <c r="Q1601" s="1">
        <f t="shared" si="220"/>
        <v>1.7999999999999993E-6</v>
      </c>
    </row>
    <row r="1602" spans="1:17" x14ac:dyDescent="0.25">
      <c r="A1602" s="1">
        <v>80</v>
      </c>
      <c r="B1602" s="1">
        <v>4.5868000000000003E-3</v>
      </c>
      <c r="C1602" s="1">
        <v>2.2207999999999999E-4</v>
      </c>
      <c r="D1602" s="1">
        <v>3.2615999999999999E-2</v>
      </c>
      <c r="E1602" s="1">
        <v>2.7483E-3</v>
      </c>
      <c r="F1602" s="1">
        <v>1.3201999999999999E-7</v>
      </c>
      <c r="G1602" s="1">
        <v>6.7118000000000002</v>
      </c>
      <c r="H1602" s="1">
        <v>1.9767E-7</v>
      </c>
      <c r="I1602" s="1">
        <f t="shared" si="216"/>
        <v>1.9767E-7</v>
      </c>
      <c r="J1602" s="4">
        <f t="shared" si="217"/>
        <v>-2.3637928531728976E-9</v>
      </c>
      <c r="K1602" s="4">
        <f t="shared" si="218"/>
        <v>-6.4048123214951103E-9</v>
      </c>
      <c r="L1602" s="4">
        <f t="shared" si="219"/>
        <v>-2.0414484562417851E-9</v>
      </c>
      <c r="M1602" s="4">
        <f t="shared" si="221"/>
        <v>-2.554904990674759E-9</v>
      </c>
      <c r="N1602" s="5">
        <f t="shared" si="222"/>
        <v>1.3504452161167666E-6</v>
      </c>
      <c r="O1602" s="5">
        <f t="shared" si="223"/>
        <v>3.2696579944519737E-7</v>
      </c>
      <c r="P1602" s="5">
        <f t="shared" si="224"/>
        <v>1.2258898443803555E-7</v>
      </c>
      <c r="Q1602" s="1">
        <f t="shared" si="220"/>
        <v>1.7999999999999997E-6</v>
      </c>
    </row>
    <row r="1603" spans="1:17" x14ac:dyDescent="0.25">
      <c r="A1603" s="1">
        <v>80.05</v>
      </c>
      <c r="B1603" s="1">
        <v>4.581E-3</v>
      </c>
      <c r="C1603" s="1">
        <v>2.2143E-4</v>
      </c>
      <c r="D1603" s="1">
        <v>3.2620000000000003E-2</v>
      </c>
      <c r="E1603" s="1">
        <v>2.7412999999999999E-3</v>
      </c>
      <c r="F1603" s="1">
        <v>1.3164000000000001E-7</v>
      </c>
      <c r="G1603" s="1">
        <v>6.7118000000000002</v>
      </c>
      <c r="H1603" s="1">
        <v>1.9768999999999999E-7</v>
      </c>
      <c r="I1603" s="1">
        <f t="shared" ref="I1603:I1666" si="225">H1603</f>
        <v>1.9768999999999999E-7</v>
      </c>
      <c r="J1603" s="4">
        <f t="shared" ref="J1603:J1666" si="226">(-$T$4*F1602^2*N1602)*(A1603-A1602)</f>
        <v>-2.3537288336536384E-9</v>
      </c>
      <c r="K1603" s="4">
        <f t="shared" ref="K1603:K1666" si="227">-O1602*$T$7*(A1603-A1602)</f>
        <v>-6.3758330891809864E-9</v>
      </c>
      <c r="L1603" s="4">
        <f t="shared" ref="L1603:L1666" si="228">-$T$5*F1602*E1602*(A1603-A1602)*N1602</f>
        <v>-2.0334286287797849E-9</v>
      </c>
      <c r="M1603" s="4">
        <f t="shared" si="221"/>
        <v>-2.5443772781558361E-9</v>
      </c>
      <c r="N1603" s="5">
        <f t="shared" si="222"/>
        <v>1.3524338917435143E-6</v>
      </c>
      <c r="O1603" s="5">
        <f t="shared" si="223"/>
        <v>3.2548807246782586E-7</v>
      </c>
      <c r="P1603" s="5">
        <f t="shared" si="224"/>
        <v>1.220780357886595E-7</v>
      </c>
      <c r="Q1603" s="1">
        <f t="shared" ref="Q1603:Q1666" si="229">N1603+O1603+P1603</f>
        <v>1.7999999999999997E-6</v>
      </c>
    </row>
    <row r="1604" spans="1:17" x14ac:dyDescent="0.25">
      <c r="A1604" s="1">
        <v>80.099999999999994</v>
      </c>
      <c r="B1604" s="1">
        <v>4.5753E-3</v>
      </c>
      <c r="C1604" s="1">
        <v>2.2078000000000001E-4</v>
      </c>
      <c r="D1604" s="1">
        <v>3.2622999999999999E-2</v>
      </c>
      <c r="E1604" s="1">
        <v>2.7342999999999998E-3</v>
      </c>
      <c r="F1604" s="1">
        <v>1.3126E-7</v>
      </c>
      <c r="G1604" s="1">
        <v>6.7118000000000002</v>
      </c>
      <c r="H1604" s="1">
        <v>1.977E-7</v>
      </c>
      <c r="I1604" s="1">
        <f t="shared" si="225"/>
        <v>1.977E-7</v>
      </c>
      <c r="J1604" s="4">
        <f t="shared" si="226"/>
        <v>-2.3436448088098725E-9</v>
      </c>
      <c r="K1604" s="4">
        <f t="shared" si="227"/>
        <v>-6.3470174131222438E-9</v>
      </c>
      <c r="L1604" s="4">
        <f t="shared" si="228"/>
        <v>-2.0253896296506072E-9</v>
      </c>
      <c r="M1604" s="4">
        <f t="shared" ref="M1604:M1667" si="230">-P1603*$T$8*I1603*(A1604-A1603)</f>
        <v>-2.5340287239811656E-9</v>
      </c>
      <c r="N1604" s="5">
        <f t="shared" ref="N1604:N1667" si="231">N1603+J1604-K1604+L1604</f>
        <v>1.3544118747181759E-6</v>
      </c>
      <c r="O1604" s="5">
        <f t="shared" ref="O1604:O1667" si="232">-J1604+O1603+K1604-M1604</f>
        <v>3.2401872858749464E-7</v>
      </c>
      <c r="P1604" s="5">
        <f t="shared" ref="P1604:P1667" si="233">P1603-L1604+M1604</f>
        <v>1.2156939669432892E-7</v>
      </c>
      <c r="Q1604" s="1">
        <f t="shared" si="229"/>
        <v>1.7999999999999995E-6</v>
      </c>
    </row>
    <row r="1605" spans="1:17" x14ac:dyDescent="0.25">
      <c r="A1605" s="1">
        <v>80.150000000000006</v>
      </c>
      <c r="B1605" s="1">
        <v>4.5694999999999998E-3</v>
      </c>
      <c r="C1605" s="1">
        <v>2.2013999999999999E-4</v>
      </c>
      <c r="D1605" s="1">
        <v>3.2626000000000002E-2</v>
      </c>
      <c r="E1605" s="1">
        <v>2.7273000000000002E-3</v>
      </c>
      <c r="F1605" s="1">
        <v>1.3089E-7</v>
      </c>
      <c r="G1605" s="1">
        <v>6.7118000000000002</v>
      </c>
      <c r="H1605" s="1">
        <v>1.9770999999999999E-7</v>
      </c>
      <c r="I1605" s="1">
        <f t="shared" si="225"/>
        <v>1.9770999999999999E-7</v>
      </c>
      <c r="J1605" s="4">
        <f t="shared" si="226"/>
        <v>-2.3335416277192457E-9</v>
      </c>
      <c r="K1605" s="4">
        <f t="shared" si="227"/>
        <v>-6.3183652074575821E-9</v>
      </c>
      <c r="L1605" s="4">
        <f t="shared" si="228"/>
        <v>-2.0173321591948681E-9</v>
      </c>
      <c r="M1605" s="4">
        <f t="shared" si="230"/>
        <v>-2.5235983212798008E-9</v>
      </c>
      <c r="N1605" s="5">
        <f t="shared" si="231"/>
        <v>1.3563793661387194E-6</v>
      </c>
      <c r="O1605" s="5">
        <f t="shared" si="232"/>
        <v>3.2255750332903608E-7</v>
      </c>
      <c r="P1605" s="5">
        <f t="shared" si="233"/>
        <v>1.2106313053224398E-7</v>
      </c>
      <c r="Q1605" s="1">
        <f t="shared" si="229"/>
        <v>1.7999999999999995E-6</v>
      </c>
    </row>
    <row r="1606" spans="1:17" x14ac:dyDescent="0.25">
      <c r="A1606" s="1">
        <v>80.2</v>
      </c>
      <c r="B1606" s="1">
        <v>4.5637999999999998E-3</v>
      </c>
      <c r="C1606" s="1">
        <v>2.195E-4</v>
      </c>
      <c r="D1606" s="1">
        <v>3.2628999999999998E-2</v>
      </c>
      <c r="E1606" s="1">
        <v>2.7203000000000001E-3</v>
      </c>
      <c r="F1606" s="1">
        <v>1.3052000000000001E-7</v>
      </c>
      <c r="G1606" s="1">
        <v>6.7117000000000004</v>
      </c>
      <c r="H1606" s="1">
        <v>1.9772E-7</v>
      </c>
      <c r="I1606" s="1">
        <f t="shared" si="225"/>
        <v>1.9772E-7</v>
      </c>
      <c r="J1606" s="4">
        <f t="shared" si="226"/>
        <v>-2.3237751861163456E-9</v>
      </c>
      <c r="K1606" s="4">
        <f t="shared" si="227"/>
        <v>-6.2898713149158464E-9</v>
      </c>
      <c r="L1606" s="4">
        <f t="shared" si="228"/>
        <v>-2.0094104263232261E-9</v>
      </c>
      <c r="M1606" s="4">
        <f t="shared" si="230"/>
        <v>-2.5132161114405023E-9</v>
      </c>
      <c r="N1606" s="5">
        <f t="shared" si="231"/>
        <v>1.3583360518411956E-6</v>
      </c>
      <c r="O1606" s="5">
        <f t="shared" si="232"/>
        <v>3.2110462331167707E-7</v>
      </c>
      <c r="P1606" s="5">
        <f t="shared" si="233"/>
        <v>1.205593248471267E-7</v>
      </c>
      <c r="Q1606" s="1">
        <f t="shared" si="229"/>
        <v>1.7999999999999995E-6</v>
      </c>
    </row>
    <row r="1607" spans="1:17" x14ac:dyDescent="0.25">
      <c r="A1607" s="1">
        <v>80.25</v>
      </c>
      <c r="B1607" s="1">
        <v>4.5580999999999998E-3</v>
      </c>
      <c r="C1607" s="1">
        <v>2.1887E-4</v>
      </c>
      <c r="D1607" s="1">
        <v>3.2632000000000001E-2</v>
      </c>
      <c r="E1607" s="1">
        <v>2.7133999999999999E-3</v>
      </c>
      <c r="F1607" s="1">
        <v>1.3016E-7</v>
      </c>
      <c r="G1607" s="1">
        <v>6.7117000000000004</v>
      </c>
      <c r="H1607" s="1">
        <v>1.9774E-7</v>
      </c>
      <c r="I1607" s="1">
        <f t="shared" si="225"/>
        <v>1.9774E-7</v>
      </c>
      <c r="J1607" s="4">
        <f t="shared" si="226"/>
        <v>-2.313989360439224E-9</v>
      </c>
      <c r="K1607" s="4">
        <f t="shared" si="227"/>
        <v>-6.2615401545773469E-9</v>
      </c>
      <c r="L1607" s="4">
        <f t="shared" si="228"/>
        <v>-2.0014704886141363E-9</v>
      </c>
      <c r="M1607" s="4">
        <f t="shared" si="230"/>
        <v>-2.5028839194211167E-9</v>
      </c>
      <c r="N1607" s="5">
        <f t="shared" si="231"/>
        <v>1.3602821321467196E-6</v>
      </c>
      <c r="O1607" s="5">
        <f t="shared" si="232"/>
        <v>3.196599564369601E-7</v>
      </c>
      <c r="P1607" s="5">
        <f t="shared" si="233"/>
        <v>1.2005791141631971E-7</v>
      </c>
      <c r="Q1607" s="1">
        <f t="shared" si="229"/>
        <v>1.7999999999999993E-6</v>
      </c>
    </row>
    <row r="1608" spans="1:17" x14ac:dyDescent="0.25">
      <c r="A1608" s="1">
        <v>80.3</v>
      </c>
      <c r="B1608" s="1">
        <v>4.5522999999999996E-3</v>
      </c>
      <c r="C1608" s="1">
        <v>2.1824999999999999E-4</v>
      </c>
      <c r="D1608" s="1">
        <v>3.2635999999999998E-2</v>
      </c>
      <c r="E1608" s="1">
        <v>2.7063999999999999E-3</v>
      </c>
      <c r="F1608" s="1">
        <v>1.2979E-7</v>
      </c>
      <c r="G1608" s="1">
        <v>6.7117000000000004</v>
      </c>
      <c r="H1608" s="1">
        <v>1.9775000000000001E-7</v>
      </c>
      <c r="I1608" s="1">
        <f t="shared" si="225"/>
        <v>1.9775000000000001E-7</v>
      </c>
      <c r="J1608" s="4">
        <f t="shared" si="226"/>
        <v>-2.3045390593198135E-9</v>
      </c>
      <c r="K1608" s="4">
        <f t="shared" si="227"/>
        <v>-6.2333691505203674E-9</v>
      </c>
      <c r="L1608" s="4">
        <f t="shared" si="228"/>
        <v>-1.9937396724621454E-9</v>
      </c>
      <c r="M1608" s="4">
        <f t="shared" si="230"/>
        <v>-2.4927263973634797E-9</v>
      </c>
      <c r="N1608" s="5">
        <f t="shared" si="231"/>
        <v>1.3622172225654579E-6</v>
      </c>
      <c r="O1608" s="5">
        <f t="shared" si="232"/>
        <v>3.1822385274312302E-7</v>
      </c>
      <c r="P1608" s="5">
        <f t="shared" si="233"/>
        <v>1.1955892469141836E-7</v>
      </c>
      <c r="Q1608" s="1">
        <f t="shared" si="229"/>
        <v>1.7999999999999993E-6</v>
      </c>
    </row>
    <row r="1609" spans="1:17" x14ac:dyDescent="0.25">
      <c r="A1609" s="1">
        <v>80.349999999999994</v>
      </c>
      <c r="B1609" s="1">
        <v>4.5465999999999996E-3</v>
      </c>
      <c r="C1609" s="1">
        <v>2.1762999999999999E-4</v>
      </c>
      <c r="D1609" s="1">
        <v>3.2639000000000001E-2</v>
      </c>
      <c r="E1609" s="1">
        <v>2.6995000000000001E-3</v>
      </c>
      <c r="F1609" s="1">
        <v>1.2942999999999999E-7</v>
      </c>
      <c r="G1609" s="1">
        <v>6.7115999999999998</v>
      </c>
      <c r="H1609" s="1">
        <v>1.9775999999999999E-7</v>
      </c>
      <c r="I1609" s="1">
        <f t="shared" si="225"/>
        <v>1.9775999999999999E-7</v>
      </c>
      <c r="J1609" s="4">
        <f t="shared" si="226"/>
        <v>-2.2947154074782375E-9</v>
      </c>
      <c r="K1609" s="4">
        <f t="shared" si="227"/>
        <v>-6.2053651284905468E-9</v>
      </c>
      <c r="L1609" s="4">
        <f t="shared" si="228"/>
        <v>-1.9857642177375971E-9</v>
      </c>
      <c r="M1609" s="4">
        <f t="shared" si="230"/>
        <v>-2.4824916225612969E-9</v>
      </c>
      <c r="N1609" s="5">
        <f t="shared" si="231"/>
        <v>1.3641421080687325E-6</v>
      </c>
      <c r="O1609" s="5">
        <f t="shared" si="232"/>
        <v>3.1679569464467204E-7</v>
      </c>
      <c r="P1609" s="5">
        <f t="shared" si="233"/>
        <v>1.1906219728659467E-7</v>
      </c>
      <c r="Q1609" s="1">
        <f t="shared" si="229"/>
        <v>1.7999999999999993E-6</v>
      </c>
    </row>
    <row r="1610" spans="1:17" x14ac:dyDescent="0.25">
      <c r="A1610" s="1">
        <v>80.400000000000006</v>
      </c>
      <c r="B1610" s="1">
        <v>4.5409999999999999E-3</v>
      </c>
      <c r="C1610" s="1">
        <v>2.1701000000000001E-4</v>
      </c>
      <c r="D1610" s="1">
        <v>3.2641999999999997E-2</v>
      </c>
      <c r="E1610" s="1">
        <v>2.6927000000000001E-3</v>
      </c>
      <c r="F1610" s="1">
        <v>1.2907E-7</v>
      </c>
      <c r="G1610" s="1">
        <v>6.7115999999999998</v>
      </c>
      <c r="H1610" s="1">
        <v>1.9777E-7</v>
      </c>
      <c r="I1610" s="1">
        <f t="shared" si="225"/>
        <v>1.9777E-7</v>
      </c>
      <c r="J1610" s="4">
        <f t="shared" si="226"/>
        <v>-2.2852278975721899E-9</v>
      </c>
      <c r="K1610" s="4">
        <f t="shared" si="227"/>
        <v>-6.1775160455725095E-9</v>
      </c>
      <c r="L1610" s="4">
        <f t="shared" si="228"/>
        <v>-1.9779986668012769E-9</v>
      </c>
      <c r="M1610" s="4">
        <f t="shared" si="230"/>
        <v>-2.4723027142172432E-9</v>
      </c>
      <c r="N1610" s="5">
        <f t="shared" si="231"/>
        <v>1.3660563975499315E-6</v>
      </c>
      <c r="O1610" s="5">
        <f t="shared" si="232"/>
        <v>3.1537570921088898E-7</v>
      </c>
      <c r="P1610" s="5">
        <f t="shared" si="233"/>
        <v>1.1856789323917871E-7</v>
      </c>
      <c r="Q1610" s="1">
        <f t="shared" si="229"/>
        <v>1.7999999999999993E-6</v>
      </c>
    </row>
    <row r="1611" spans="1:17" x14ac:dyDescent="0.25">
      <c r="A1611" s="1">
        <v>80.45</v>
      </c>
      <c r="B1611" s="1">
        <v>4.5352999999999999E-3</v>
      </c>
      <c r="C1611" s="1">
        <v>2.164E-4</v>
      </c>
      <c r="D1611" s="1">
        <v>3.2645E-2</v>
      </c>
      <c r="E1611" s="1">
        <v>2.6857999999999999E-3</v>
      </c>
      <c r="F1611" s="1">
        <v>1.2872E-7</v>
      </c>
      <c r="G1611" s="1">
        <v>6.7115999999999998</v>
      </c>
      <c r="H1611" s="1">
        <v>1.9777999999999999E-7</v>
      </c>
      <c r="I1611" s="1">
        <f t="shared" si="225"/>
        <v>1.9777999999999999E-7</v>
      </c>
      <c r="J1611" s="4">
        <f t="shared" si="226"/>
        <v>-2.2757222183843215E-9</v>
      </c>
      <c r="K1611" s="4">
        <f t="shared" si="227"/>
        <v>-6.1498263296119862E-9</v>
      </c>
      <c r="L1611" s="4">
        <f t="shared" si="228"/>
        <v>-1.9702893354296408E-9</v>
      </c>
      <c r="M1611" s="4">
        <f t="shared" si="230"/>
        <v>-2.4621630858206592E-9</v>
      </c>
      <c r="N1611" s="5">
        <f t="shared" si="231"/>
        <v>1.3679602123257296E-6</v>
      </c>
      <c r="O1611" s="5">
        <f t="shared" si="232"/>
        <v>3.1396376818548195E-7</v>
      </c>
      <c r="P1611" s="5">
        <f t="shared" si="233"/>
        <v>1.1807601948878769E-7</v>
      </c>
      <c r="Q1611" s="1">
        <f t="shared" si="229"/>
        <v>1.7999999999999993E-6</v>
      </c>
    </row>
    <row r="1612" spans="1:17" x14ac:dyDescent="0.25">
      <c r="A1612" s="1">
        <v>80.5</v>
      </c>
      <c r="B1612" s="1">
        <v>4.5295999999999999E-3</v>
      </c>
      <c r="C1612" s="1">
        <v>2.1579999999999999E-4</v>
      </c>
      <c r="D1612" s="1">
        <v>3.2648000000000003E-2</v>
      </c>
      <c r="E1612" s="1">
        <v>2.6789000000000001E-3</v>
      </c>
      <c r="F1612" s="1">
        <v>1.2837E-7</v>
      </c>
      <c r="G1612" s="1">
        <v>6.7115999999999998</v>
      </c>
      <c r="H1612" s="1">
        <v>1.9780000000000001E-7</v>
      </c>
      <c r="I1612" s="1">
        <f t="shared" si="225"/>
        <v>1.9780000000000001E-7</v>
      </c>
      <c r="J1612" s="4">
        <f t="shared" si="226"/>
        <v>-2.2665511695653416E-9</v>
      </c>
      <c r="K1612" s="4">
        <f t="shared" si="227"/>
        <v>-6.1222934796165502E-9</v>
      </c>
      <c r="L1612" s="4">
        <f t="shared" si="228"/>
        <v>-1.9626427901302954E-9</v>
      </c>
      <c r="M1612" s="4">
        <f t="shared" si="230"/>
        <v>-2.4520728891215657E-9</v>
      </c>
      <c r="N1612" s="5">
        <f t="shared" si="231"/>
        <v>1.3698533118456507E-6</v>
      </c>
      <c r="O1612" s="5">
        <f t="shared" si="232"/>
        <v>3.1256009876455229E-7</v>
      </c>
      <c r="P1612" s="5">
        <f t="shared" si="233"/>
        <v>1.1758658938979643E-7</v>
      </c>
      <c r="Q1612" s="1">
        <f t="shared" si="229"/>
        <v>1.7999999999999995E-6</v>
      </c>
    </row>
    <row r="1613" spans="1:17" x14ac:dyDescent="0.25">
      <c r="A1613" s="1">
        <v>80.55</v>
      </c>
      <c r="B1613" s="1">
        <v>4.5240000000000002E-3</v>
      </c>
      <c r="C1613" s="1">
        <v>2.152E-4</v>
      </c>
      <c r="D1613" s="1">
        <v>3.2650999999999999E-2</v>
      </c>
      <c r="E1613" s="1">
        <v>2.6721000000000002E-3</v>
      </c>
      <c r="F1613" s="1">
        <v>1.2802E-7</v>
      </c>
      <c r="G1613" s="1">
        <v>6.7115</v>
      </c>
      <c r="H1613" s="1">
        <v>1.9781E-7</v>
      </c>
      <c r="I1613" s="1">
        <f t="shared" si="225"/>
        <v>1.9781E-7</v>
      </c>
      <c r="J1613" s="4">
        <f t="shared" si="226"/>
        <v>-2.2573616699894273E-9</v>
      </c>
      <c r="K1613" s="4">
        <f t="shared" si="227"/>
        <v>-6.0949219259084235E-9</v>
      </c>
      <c r="L1613" s="4">
        <f t="shared" si="228"/>
        <v>-1.9549794841161413E-9</v>
      </c>
      <c r="M1613" s="4">
        <f t="shared" si="230"/>
        <v>-2.4421558750365437E-9</v>
      </c>
      <c r="N1613" s="5">
        <f t="shared" si="231"/>
        <v>1.3717358926174535E-6</v>
      </c>
      <c r="O1613" s="5">
        <f t="shared" si="232"/>
        <v>3.1116469438366984E-7</v>
      </c>
      <c r="P1613" s="5">
        <f t="shared" si="233"/>
        <v>1.1709941299887604E-7</v>
      </c>
      <c r="Q1613" s="1">
        <f t="shared" si="229"/>
        <v>1.7999999999999993E-6</v>
      </c>
    </row>
    <row r="1614" spans="1:17" x14ac:dyDescent="0.25">
      <c r="A1614" s="1">
        <v>80.599999999999994</v>
      </c>
      <c r="B1614" s="1">
        <v>4.5183999999999997E-3</v>
      </c>
      <c r="C1614" s="1">
        <v>2.1461000000000001E-4</v>
      </c>
      <c r="D1614" s="1">
        <v>3.2654000000000002E-2</v>
      </c>
      <c r="E1614" s="1">
        <v>2.6652999999999998E-3</v>
      </c>
      <c r="F1614" s="1">
        <v>1.2767999999999999E-7</v>
      </c>
      <c r="G1614" s="1">
        <v>6.7115</v>
      </c>
      <c r="H1614" s="1">
        <v>1.9782000000000001E-7</v>
      </c>
      <c r="I1614" s="1">
        <f t="shared" si="225"/>
        <v>1.9782000000000001E-7</v>
      </c>
      <c r="J1614" s="4">
        <f t="shared" si="226"/>
        <v>-2.2481544701107642E-9</v>
      </c>
      <c r="K1614" s="4">
        <f t="shared" si="227"/>
        <v>-6.0677115404812166E-9</v>
      </c>
      <c r="L1614" s="4">
        <f t="shared" si="228"/>
        <v>-1.9473729317504557E-9</v>
      </c>
      <c r="M1614" s="4">
        <f t="shared" si="230"/>
        <v>-2.432160662957167E-9</v>
      </c>
      <c r="N1614" s="5">
        <f t="shared" si="231"/>
        <v>1.3736080767560734E-6</v>
      </c>
      <c r="O1614" s="5">
        <f t="shared" si="232"/>
        <v>3.0977729797625661E-7</v>
      </c>
      <c r="P1614" s="5">
        <f t="shared" si="233"/>
        <v>1.1661462526766933E-7</v>
      </c>
      <c r="Q1614" s="1">
        <f t="shared" si="229"/>
        <v>1.7999999999999993E-6</v>
      </c>
    </row>
    <row r="1615" spans="1:17" x14ac:dyDescent="0.25">
      <c r="A1615" s="1">
        <v>80.650000000000006</v>
      </c>
      <c r="B1615" s="1">
        <v>4.5128E-3</v>
      </c>
      <c r="C1615" s="1">
        <v>2.1401999999999999E-4</v>
      </c>
      <c r="D1615" s="1">
        <v>3.2656999999999999E-2</v>
      </c>
      <c r="E1615" s="1">
        <v>2.6584999999999998E-3</v>
      </c>
      <c r="F1615" s="1">
        <v>1.2732999999999999E-7</v>
      </c>
      <c r="G1615" s="1">
        <v>6.7115</v>
      </c>
      <c r="H1615" s="1">
        <v>1.9782999999999999E-7</v>
      </c>
      <c r="I1615" s="1">
        <f t="shared" si="225"/>
        <v>1.9782999999999999E-7</v>
      </c>
      <c r="J1615" s="4">
        <f t="shared" si="226"/>
        <v>-2.2392809413395795E-9</v>
      </c>
      <c r="K1615" s="4">
        <f t="shared" si="227"/>
        <v>-6.0406573105383779E-9</v>
      </c>
      <c r="L1615" s="4">
        <f t="shared" si="228"/>
        <v>-1.9399025137650678E-9</v>
      </c>
      <c r="M1615" s="4">
        <f t="shared" si="230"/>
        <v>-2.4222140428978369E-9</v>
      </c>
      <c r="N1615" s="5">
        <f t="shared" si="231"/>
        <v>1.375469550611507E-6</v>
      </c>
      <c r="O1615" s="5">
        <f t="shared" si="232"/>
        <v>3.0839813564995564E-7</v>
      </c>
      <c r="P1615" s="5">
        <f t="shared" si="233"/>
        <v>1.1613231373853656E-7</v>
      </c>
      <c r="Q1615" s="1">
        <f t="shared" si="229"/>
        <v>1.7999999999999993E-6</v>
      </c>
    </row>
    <row r="1616" spans="1:17" x14ac:dyDescent="0.25">
      <c r="A1616" s="1">
        <v>80.7</v>
      </c>
      <c r="B1616" s="1">
        <v>4.5072000000000003E-3</v>
      </c>
      <c r="C1616" s="1">
        <v>2.1342999999999999E-4</v>
      </c>
      <c r="D1616" s="1">
        <v>3.2661000000000003E-2</v>
      </c>
      <c r="E1616" s="1">
        <v>2.6518000000000002E-3</v>
      </c>
      <c r="F1616" s="1">
        <v>1.2700000000000001E-7</v>
      </c>
      <c r="G1616" s="1">
        <v>6.7114000000000003</v>
      </c>
      <c r="H1616" s="1">
        <v>1.9784E-7</v>
      </c>
      <c r="I1616" s="1">
        <f t="shared" si="225"/>
        <v>1.9784E-7</v>
      </c>
      <c r="J1616" s="4">
        <f t="shared" si="226"/>
        <v>-2.2300390028178044E-9</v>
      </c>
      <c r="K1616" s="4">
        <f t="shared" si="227"/>
        <v>-6.0137636451737933E-9</v>
      </c>
      <c r="L1616" s="4">
        <f t="shared" si="228"/>
        <v>-1.932264082251881E-9</v>
      </c>
      <c r="M1616" s="4">
        <f t="shared" si="230"/>
        <v>-2.412317840823805E-9</v>
      </c>
      <c r="N1616" s="5">
        <f t="shared" si="231"/>
        <v>1.3773210111716112E-6</v>
      </c>
      <c r="O1616" s="5">
        <f t="shared" si="232"/>
        <v>3.0702672884842341E-7</v>
      </c>
      <c r="P1616" s="5">
        <f t="shared" si="233"/>
        <v>1.1565225997996464E-7</v>
      </c>
      <c r="Q1616" s="1">
        <f t="shared" si="229"/>
        <v>1.7999999999999991E-6</v>
      </c>
    </row>
    <row r="1617" spans="1:17" x14ac:dyDescent="0.25">
      <c r="A1617" s="1">
        <v>80.75</v>
      </c>
      <c r="B1617" s="1">
        <v>4.5015999999999997E-3</v>
      </c>
      <c r="C1617" s="1">
        <v>2.1285999999999999E-4</v>
      </c>
      <c r="D1617" s="1">
        <v>3.2663999999999999E-2</v>
      </c>
      <c r="E1617" s="1">
        <v>2.6450000000000002E-3</v>
      </c>
      <c r="F1617" s="1">
        <v>1.2666E-7</v>
      </c>
      <c r="G1617" s="1">
        <v>6.7114000000000003</v>
      </c>
      <c r="H1617" s="1">
        <v>1.9786E-7</v>
      </c>
      <c r="I1617" s="1">
        <f t="shared" si="225"/>
        <v>1.9786E-7</v>
      </c>
      <c r="J1617" s="4">
        <f t="shared" si="226"/>
        <v>-2.2214810589185658E-9</v>
      </c>
      <c r="K1617" s="4">
        <f t="shared" si="227"/>
        <v>-5.9870212125439163E-9</v>
      </c>
      <c r="L1617" s="4">
        <f t="shared" si="228"/>
        <v>-1.9249868038556731E-9</v>
      </c>
      <c r="M1617" s="4">
        <f t="shared" si="230"/>
        <v>-2.4024675270156649E-9</v>
      </c>
      <c r="N1617" s="5">
        <f t="shared" si="231"/>
        <v>1.3791615645213809E-6</v>
      </c>
      <c r="O1617" s="5">
        <f t="shared" si="232"/>
        <v>3.0566365622181371E-7</v>
      </c>
      <c r="P1617" s="5">
        <f t="shared" si="233"/>
        <v>1.1517477925680464E-7</v>
      </c>
      <c r="Q1617" s="1">
        <f t="shared" si="229"/>
        <v>1.7999999999999993E-6</v>
      </c>
    </row>
    <row r="1618" spans="1:17" x14ac:dyDescent="0.25">
      <c r="A1618" s="1">
        <v>80.8</v>
      </c>
      <c r="B1618" s="1">
        <v>4.496E-3</v>
      </c>
      <c r="C1618" s="1">
        <v>2.1227999999999999E-4</v>
      </c>
      <c r="D1618" s="1">
        <v>3.2667000000000002E-2</v>
      </c>
      <c r="E1618" s="1">
        <v>2.6383000000000001E-3</v>
      </c>
      <c r="F1618" s="1">
        <v>1.2632999999999999E-7</v>
      </c>
      <c r="G1618" s="1">
        <v>6.7114000000000003</v>
      </c>
      <c r="H1618" s="1">
        <v>1.9787000000000001E-7</v>
      </c>
      <c r="I1618" s="1">
        <f t="shared" si="225"/>
        <v>1.9787000000000001E-7</v>
      </c>
      <c r="J1618" s="4">
        <f t="shared" si="226"/>
        <v>-2.2125551912528886E-9</v>
      </c>
      <c r="K1618" s="4">
        <f t="shared" si="227"/>
        <v>-5.9604412963250286E-9</v>
      </c>
      <c r="L1618" s="4">
        <f t="shared" si="228"/>
        <v>-1.9174692243474771E-9</v>
      </c>
      <c r="M1618" s="4">
        <f t="shared" si="230"/>
        <v>-2.3927905914937574E-9</v>
      </c>
      <c r="N1618" s="5">
        <f t="shared" si="231"/>
        <v>1.3809919814021054E-6</v>
      </c>
      <c r="O1618" s="5">
        <f t="shared" si="232"/>
        <v>3.0430856070823534E-7</v>
      </c>
      <c r="P1618" s="5">
        <f t="shared" si="233"/>
        <v>1.1469945788965836E-7</v>
      </c>
      <c r="Q1618" s="1">
        <f t="shared" si="229"/>
        <v>1.7999999999999991E-6</v>
      </c>
    </row>
    <row r="1619" spans="1:17" x14ac:dyDescent="0.25">
      <c r="A1619" s="1">
        <v>80.849999999999994</v>
      </c>
      <c r="B1619" s="1">
        <v>4.4904999999999997E-3</v>
      </c>
      <c r="C1619" s="1">
        <v>2.1170999999999999E-4</v>
      </c>
      <c r="D1619" s="1">
        <v>3.2669999999999998E-2</v>
      </c>
      <c r="E1619" s="1">
        <v>2.6316E-3</v>
      </c>
      <c r="F1619" s="1">
        <v>1.2599999999999999E-7</v>
      </c>
      <c r="G1619" s="1">
        <v>6.7114000000000003</v>
      </c>
      <c r="H1619" s="1">
        <v>1.9788E-7</v>
      </c>
      <c r="I1619" s="1">
        <f t="shared" si="225"/>
        <v>1.9788E-7</v>
      </c>
      <c r="J1619" s="4">
        <f t="shared" si="226"/>
        <v>-2.2039622379938744E-9</v>
      </c>
      <c r="K1619" s="4">
        <f t="shared" si="227"/>
        <v>-5.9340169338102515E-9</v>
      </c>
      <c r="L1619" s="4">
        <f t="shared" si="228"/>
        <v>-1.9101607952087265E-9</v>
      </c>
      <c r="M1619" s="4">
        <f t="shared" si="230"/>
        <v>-2.3830360819256682E-9</v>
      </c>
      <c r="N1619" s="5">
        <f t="shared" si="231"/>
        <v>1.382811875302713E-6</v>
      </c>
      <c r="O1619" s="5">
        <f t="shared" si="232"/>
        <v>3.0296154209434464E-7</v>
      </c>
      <c r="P1619" s="5">
        <f t="shared" si="233"/>
        <v>1.1422658260294142E-7</v>
      </c>
      <c r="Q1619" s="1">
        <f t="shared" si="229"/>
        <v>1.7999999999999989E-6</v>
      </c>
    </row>
    <row r="1620" spans="1:17" x14ac:dyDescent="0.25">
      <c r="A1620" s="1">
        <v>80.900000000000006</v>
      </c>
      <c r="B1620" s="1">
        <v>4.4849E-3</v>
      </c>
      <c r="C1620" s="1">
        <v>2.1115000000000001E-4</v>
      </c>
      <c r="D1620" s="1">
        <v>3.2673000000000001E-2</v>
      </c>
      <c r="E1620" s="1">
        <v>2.6248999999999999E-3</v>
      </c>
      <c r="F1620" s="1">
        <v>1.2567000000000001E-7</v>
      </c>
      <c r="G1620" s="1">
        <v>6.7112999999999996</v>
      </c>
      <c r="H1620" s="1">
        <v>1.9789000000000001E-7</v>
      </c>
      <c r="I1620" s="1">
        <f t="shared" si="225"/>
        <v>1.9789000000000001E-7</v>
      </c>
      <c r="J1620" s="4">
        <f t="shared" si="226"/>
        <v>-2.1953521332310858E-9</v>
      </c>
      <c r="K1620" s="4">
        <f t="shared" si="227"/>
        <v>-5.9077500708410641E-9</v>
      </c>
      <c r="L1620" s="4">
        <f t="shared" si="228"/>
        <v>-1.90283714256471E-9</v>
      </c>
      <c r="M1620" s="4">
        <f t="shared" si="230"/>
        <v>-2.3733313973748949E-9</v>
      </c>
      <c r="N1620" s="5">
        <f t="shared" si="231"/>
        <v>1.3846214360977583E-6</v>
      </c>
      <c r="O1620" s="5">
        <f t="shared" si="232"/>
        <v>3.0162247555410958E-7</v>
      </c>
      <c r="P1620" s="5">
        <f t="shared" si="233"/>
        <v>1.1375608834813125E-7</v>
      </c>
      <c r="Q1620" s="1">
        <f t="shared" si="229"/>
        <v>1.7999999999999991E-6</v>
      </c>
    </row>
    <row r="1621" spans="1:17" x14ac:dyDescent="0.25">
      <c r="A1621" s="1">
        <v>80.95</v>
      </c>
      <c r="B1621" s="1">
        <v>4.4793999999999997E-3</v>
      </c>
      <c r="C1621" s="1">
        <v>2.1059E-4</v>
      </c>
      <c r="D1621" s="1">
        <v>3.2675999999999997E-2</v>
      </c>
      <c r="E1621" s="1">
        <v>2.6182000000000002E-3</v>
      </c>
      <c r="F1621" s="1">
        <v>1.2534000000000001E-7</v>
      </c>
      <c r="G1621" s="1">
        <v>6.7112999999999996</v>
      </c>
      <c r="H1621" s="1">
        <v>1.9789999999999999E-7</v>
      </c>
      <c r="I1621" s="1">
        <f t="shared" si="225"/>
        <v>1.9789999999999999E-7</v>
      </c>
      <c r="J1621" s="4">
        <f t="shared" si="226"/>
        <v>-2.186725558613527E-9</v>
      </c>
      <c r="K1621" s="4">
        <f t="shared" si="227"/>
        <v>-5.8816382733048028E-9</v>
      </c>
      <c r="L1621" s="4">
        <f t="shared" si="228"/>
        <v>-1.8954988512007072E-9</v>
      </c>
      <c r="M1621" s="4">
        <f t="shared" si="230"/>
        <v>-2.3636751939370936E-9</v>
      </c>
      <c r="N1621" s="5">
        <f t="shared" si="231"/>
        <v>1.3864208499612489E-6</v>
      </c>
      <c r="O1621" s="5">
        <f t="shared" si="232"/>
        <v>3.002912380333554E-7</v>
      </c>
      <c r="P1621" s="5">
        <f t="shared" si="233"/>
        <v>1.1328791200539486E-7</v>
      </c>
      <c r="Q1621" s="1">
        <f t="shared" si="229"/>
        <v>1.7999999999999991E-6</v>
      </c>
    </row>
    <row r="1622" spans="1:17" x14ac:dyDescent="0.25">
      <c r="A1622" s="1">
        <v>81</v>
      </c>
      <c r="B1622" s="1">
        <v>4.4739000000000003E-3</v>
      </c>
      <c r="C1622" s="1">
        <v>2.1003999999999999E-4</v>
      </c>
      <c r="D1622" s="1">
        <v>3.2679E-2</v>
      </c>
      <c r="E1622" s="1">
        <v>2.6115999999999999E-3</v>
      </c>
      <c r="F1622" s="1">
        <v>1.2501999999999999E-7</v>
      </c>
      <c r="G1622" s="1">
        <v>6.7112999999999996</v>
      </c>
      <c r="H1622" s="1">
        <v>1.9791E-7</v>
      </c>
      <c r="I1622" s="1">
        <f t="shared" si="225"/>
        <v>1.9791E-7</v>
      </c>
      <c r="J1622" s="4">
        <f t="shared" si="226"/>
        <v>-2.1780831823140238E-9</v>
      </c>
      <c r="K1622" s="4">
        <f t="shared" si="227"/>
        <v>-5.855679141650098E-9</v>
      </c>
      <c r="L1622" s="4">
        <f t="shared" si="228"/>
        <v>-1.888146494329703E-9</v>
      </c>
      <c r="M1622" s="4">
        <f t="shared" si="230"/>
        <v>-2.3540661675159684E-9</v>
      </c>
      <c r="N1622" s="5">
        <f t="shared" si="231"/>
        <v>1.3882102994262552E-6</v>
      </c>
      <c r="O1622" s="5">
        <f t="shared" si="232"/>
        <v>2.9896770824153529E-7</v>
      </c>
      <c r="P1622" s="5">
        <f t="shared" si="233"/>
        <v>1.128219923322086E-7</v>
      </c>
      <c r="Q1622" s="1">
        <f t="shared" si="229"/>
        <v>1.7999999999999991E-6</v>
      </c>
    </row>
    <row r="1623" spans="1:17" x14ac:dyDescent="0.25">
      <c r="A1623" s="1">
        <v>81.05</v>
      </c>
      <c r="B1623" s="1">
        <v>4.4684E-3</v>
      </c>
      <c r="C1623" s="1">
        <v>2.0949E-4</v>
      </c>
      <c r="D1623" s="1">
        <v>3.2682000000000003E-2</v>
      </c>
      <c r="E1623" s="1">
        <v>2.6048999999999998E-3</v>
      </c>
      <c r="F1623" s="1">
        <v>1.247E-7</v>
      </c>
      <c r="G1623" s="1">
        <v>6.7112999999999996</v>
      </c>
      <c r="H1623" s="1">
        <v>1.9793E-7</v>
      </c>
      <c r="I1623" s="1">
        <f t="shared" si="225"/>
        <v>1.9793E-7</v>
      </c>
      <c r="J1623" s="4">
        <f t="shared" si="226"/>
        <v>-2.1697727535315257E-9</v>
      </c>
      <c r="K1623" s="4">
        <f t="shared" si="227"/>
        <v>-5.8298703107096066E-9</v>
      </c>
      <c r="L1623" s="4">
        <f t="shared" si="228"/>
        <v>-1.8810031091793446E-9</v>
      </c>
      <c r="M1623" s="4">
        <f t="shared" si="230"/>
        <v>-2.3445030527589444E-9</v>
      </c>
      <c r="N1623" s="5">
        <f t="shared" si="231"/>
        <v>1.389989393874254E-6</v>
      </c>
      <c r="O1623" s="5">
        <f t="shared" si="232"/>
        <v>2.9765211373711614E-7</v>
      </c>
      <c r="P1623" s="5">
        <f t="shared" si="233"/>
        <v>1.12358492388629E-7</v>
      </c>
      <c r="Q1623" s="1">
        <f t="shared" si="229"/>
        <v>1.7999999999999993E-6</v>
      </c>
    </row>
    <row r="1624" spans="1:17" x14ac:dyDescent="0.25">
      <c r="A1624" s="1">
        <v>81.099999999999994</v>
      </c>
      <c r="B1624" s="1">
        <v>4.4628999999999997E-3</v>
      </c>
      <c r="C1624" s="1">
        <v>2.0893999999999999E-4</v>
      </c>
      <c r="D1624" s="1">
        <v>3.2684999999999999E-2</v>
      </c>
      <c r="E1624" s="1">
        <v>2.5983E-3</v>
      </c>
      <c r="F1624" s="1">
        <v>1.2438999999999999E-7</v>
      </c>
      <c r="G1624" s="1">
        <v>6.7111999999999998</v>
      </c>
      <c r="H1624" s="1">
        <v>1.9794000000000001E-7</v>
      </c>
      <c r="I1624" s="1">
        <f t="shared" si="225"/>
        <v>1.9794000000000001E-7</v>
      </c>
      <c r="J1624" s="4">
        <f t="shared" si="226"/>
        <v>-2.161446017378887E-9</v>
      </c>
      <c r="K1624" s="4">
        <f t="shared" si="227"/>
        <v>-5.8042162178734346E-9</v>
      </c>
      <c r="L1624" s="4">
        <f t="shared" si="228"/>
        <v>-1.8737734989800794E-9</v>
      </c>
      <c r="M1624" s="4">
        <f t="shared" si="230"/>
        <v>-2.3351072218404076E-9</v>
      </c>
      <c r="N1624" s="5">
        <f t="shared" si="231"/>
        <v>1.3917583905757685E-6</v>
      </c>
      <c r="O1624" s="5">
        <f t="shared" si="232"/>
        <v>2.9634445075846201E-7</v>
      </c>
      <c r="P1624" s="5">
        <f t="shared" si="233"/>
        <v>1.1189715866576867E-7</v>
      </c>
      <c r="Q1624" s="1">
        <f t="shared" si="229"/>
        <v>1.7999999999999993E-6</v>
      </c>
    </row>
    <row r="1625" spans="1:17" x14ac:dyDescent="0.25">
      <c r="A1625" s="1">
        <v>81.150000000000006</v>
      </c>
      <c r="B1625" s="1">
        <v>4.4574000000000003E-3</v>
      </c>
      <c r="C1625" s="1">
        <v>2.0840999999999999E-4</v>
      </c>
      <c r="D1625" s="1">
        <v>3.2688000000000002E-2</v>
      </c>
      <c r="E1625" s="1">
        <v>2.5917000000000002E-3</v>
      </c>
      <c r="F1625" s="1">
        <v>1.2407E-7</v>
      </c>
      <c r="G1625" s="1">
        <v>6.7111999999999998</v>
      </c>
      <c r="H1625" s="1">
        <v>1.9795E-7</v>
      </c>
      <c r="I1625" s="1">
        <f t="shared" si="225"/>
        <v>1.9795E-7</v>
      </c>
      <c r="J1625" s="4">
        <f t="shared" si="226"/>
        <v>-2.1534499571485604E-9</v>
      </c>
      <c r="K1625" s="4">
        <f t="shared" si="227"/>
        <v>-5.7787167897913231E-9</v>
      </c>
      <c r="L1625" s="4">
        <f t="shared" si="228"/>
        <v>-1.8667523473096942E-9</v>
      </c>
      <c r="M1625" s="4">
        <f t="shared" si="230"/>
        <v>-2.3256369765622651E-9</v>
      </c>
      <c r="N1625" s="5">
        <f t="shared" si="231"/>
        <v>1.3935169050611017E-6</v>
      </c>
      <c r="O1625" s="5">
        <f t="shared" si="232"/>
        <v>2.9504482090238156E-7</v>
      </c>
      <c r="P1625" s="5">
        <f t="shared" si="233"/>
        <v>1.114382740365161E-7</v>
      </c>
      <c r="Q1625" s="1">
        <f t="shared" si="229"/>
        <v>1.7999999999999993E-6</v>
      </c>
    </row>
    <row r="1626" spans="1:17" x14ac:dyDescent="0.25">
      <c r="A1626" s="1">
        <v>81.2</v>
      </c>
      <c r="B1626" s="1">
        <v>4.4519E-3</v>
      </c>
      <c r="C1626" s="1">
        <v>2.0787E-4</v>
      </c>
      <c r="D1626" s="1">
        <v>3.2690999999999998E-2</v>
      </c>
      <c r="E1626" s="1">
        <v>2.5850999999999999E-3</v>
      </c>
      <c r="F1626" s="1">
        <v>1.2375999999999999E-7</v>
      </c>
      <c r="G1626" s="1">
        <v>6.7111999999999998</v>
      </c>
      <c r="H1626" s="1">
        <v>1.9796000000000001E-7</v>
      </c>
      <c r="I1626" s="1">
        <f t="shared" si="225"/>
        <v>1.9796000000000001E-7</v>
      </c>
      <c r="J1626" s="4">
        <f t="shared" si="226"/>
        <v>-2.1450914213922978E-9</v>
      </c>
      <c r="K1626" s="4">
        <f t="shared" si="227"/>
        <v>-5.7533740075961133E-9</v>
      </c>
      <c r="L1626" s="4">
        <f t="shared" si="228"/>
        <v>-1.8595670801009942E-9</v>
      </c>
      <c r="M1626" s="4">
        <f t="shared" si="230"/>
        <v>-2.3162166662803462E-9</v>
      </c>
      <c r="N1626" s="5">
        <f t="shared" si="231"/>
        <v>1.3952656205672044E-6</v>
      </c>
      <c r="O1626" s="5">
        <f t="shared" si="232"/>
        <v>2.9375275498245809E-7</v>
      </c>
      <c r="P1626" s="5">
        <f t="shared" si="233"/>
        <v>1.1098162445033675E-7</v>
      </c>
      <c r="Q1626" s="1">
        <f t="shared" si="229"/>
        <v>1.7999999999999993E-6</v>
      </c>
    </row>
    <row r="1627" spans="1:17" x14ac:dyDescent="0.25">
      <c r="A1627" s="1">
        <v>81.25</v>
      </c>
      <c r="B1627" s="1">
        <v>4.4464999999999999E-3</v>
      </c>
      <c r="C1627" s="1">
        <v>2.0734E-4</v>
      </c>
      <c r="D1627" s="1">
        <v>3.2694000000000001E-2</v>
      </c>
      <c r="E1627" s="1">
        <v>2.5785999999999999E-3</v>
      </c>
      <c r="F1627" s="1">
        <v>1.2346E-7</v>
      </c>
      <c r="G1627" s="1">
        <v>6.7111000000000001</v>
      </c>
      <c r="H1627" s="1">
        <v>1.9796999999999999E-7</v>
      </c>
      <c r="I1627" s="1">
        <f t="shared" si="225"/>
        <v>1.9796999999999999E-7</v>
      </c>
      <c r="J1627" s="4">
        <f t="shared" si="226"/>
        <v>-2.1370638339403703E-9</v>
      </c>
      <c r="K1627" s="4">
        <f t="shared" si="227"/>
        <v>-5.7281787221576076E-9</v>
      </c>
      <c r="L1627" s="4">
        <f t="shared" si="228"/>
        <v>-1.8525188611865619E-9</v>
      </c>
      <c r="M1627" s="4">
        <f t="shared" si="230"/>
        <v>-2.3068418494996786E-9</v>
      </c>
      <c r="N1627" s="5">
        <f t="shared" si="231"/>
        <v>1.3970042165942351E-6</v>
      </c>
      <c r="O1627" s="5">
        <f t="shared" si="232"/>
        <v>2.9246848194374052E-7</v>
      </c>
      <c r="P1627" s="5">
        <f t="shared" si="233"/>
        <v>1.1052730146202362E-7</v>
      </c>
      <c r="Q1627" s="1">
        <f t="shared" si="229"/>
        <v>1.7999999999999993E-6</v>
      </c>
    </row>
    <row r="1628" spans="1:17" x14ac:dyDescent="0.25">
      <c r="A1628" s="1">
        <v>81.3</v>
      </c>
      <c r="B1628" s="1">
        <v>4.4410999999999999E-3</v>
      </c>
      <c r="C1628" s="1">
        <v>2.0681000000000001E-4</v>
      </c>
      <c r="D1628" s="1">
        <v>3.2696999999999997E-2</v>
      </c>
      <c r="E1628" s="1">
        <v>2.5720000000000001E-3</v>
      </c>
      <c r="F1628" s="1">
        <v>1.2314999999999999E-7</v>
      </c>
      <c r="G1628" s="1">
        <v>6.7111000000000001</v>
      </c>
      <c r="H1628" s="1">
        <v>1.9798E-7</v>
      </c>
      <c r="I1628" s="1">
        <f t="shared" si="225"/>
        <v>1.9798E-7</v>
      </c>
      <c r="J1628" s="4">
        <f t="shared" si="226"/>
        <v>-2.1293657396095006E-9</v>
      </c>
      <c r="K1628" s="4">
        <f t="shared" si="227"/>
        <v>-5.7031353979026157E-9</v>
      </c>
      <c r="L1628" s="4">
        <f t="shared" si="228"/>
        <v>-1.8456785484409357E-9</v>
      </c>
      <c r="M1628" s="4">
        <f t="shared" si="230"/>
        <v>-2.2975144363957352E-9</v>
      </c>
      <c r="N1628" s="5">
        <f t="shared" si="231"/>
        <v>1.3987323077040873E-6</v>
      </c>
      <c r="O1628" s="5">
        <f t="shared" si="232"/>
        <v>2.911922267218431E-7</v>
      </c>
      <c r="P1628" s="5">
        <f t="shared" si="233"/>
        <v>1.1007546557406883E-7</v>
      </c>
      <c r="Q1628" s="1">
        <f t="shared" si="229"/>
        <v>1.7999999999999993E-6</v>
      </c>
    </row>
    <row r="1629" spans="1:17" x14ac:dyDescent="0.25">
      <c r="A1629" s="1">
        <v>81.349999999999994</v>
      </c>
      <c r="B1629" s="1">
        <v>4.4356999999999999E-3</v>
      </c>
      <c r="C1629" s="1">
        <v>2.0629000000000001E-4</v>
      </c>
      <c r="D1629" s="1">
        <v>3.27E-2</v>
      </c>
      <c r="E1629" s="1">
        <v>2.5655000000000001E-3</v>
      </c>
      <c r="F1629" s="1">
        <v>1.2284999999999999E-7</v>
      </c>
      <c r="G1629" s="1">
        <v>6.7111000000000001</v>
      </c>
      <c r="H1629" s="1">
        <v>1.9798999999999999E-7</v>
      </c>
      <c r="I1629" s="1">
        <f t="shared" si="225"/>
        <v>1.9798999999999999E-7</v>
      </c>
      <c r="J1629" s="4">
        <f t="shared" si="226"/>
        <v>-2.1213065776885129E-9</v>
      </c>
      <c r="K1629" s="4">
        <f t="shared" si="227"/>
        <v>-5.6782484210756176E-9</v>
      </c>
      <c r="L1629" s="4">
        <f t="shared" si="228"/>
        <v>-1.838603503770333E-9</v>
      </c>
      <c r="M1629" s="4">
        <f t="shared" si="230"/>
        <v>-2.2882377708070555E-9</v>
      </c>
      <c r="N1629" s="5">
        <f t="shared" si="231"/>
        <v>1.400450646043704E-6</v>
      </c>
      <c r="O1629" s="5">
        <f t="shared" si="232"/>
        <v>2.8992352264926305E-7</v>
      </c>
      <c r="P1629" s="5">
        <f t="shared" si="233"/>
        <v>1.0962583130703211E-7</v>
      </c>
      <c r="Q1629" s="1">
        <f t="shared" si="229"/>
        <v>1.7999999999999991E-6</v>
      </c>
    </row>
    <row r="1630" spans="1:17" x14ac:dyDescent="0.25">
      <c r="A1630" s="1">
        <v>81.400000000000006</v>
      </c>
      <c r="B1630" s="1">
        <v>4.4301999999999996E-3</v>
      </c>
      <c r="C1630" s="1">
        <v>2.0578E-4</v>
      </c>
      <c r="D1630" s="1">
        <v>3.2703000000000003E-2</v>
      </c>
      <c r="E1630" s="1">
        <v>2.5590000000000001E-3</v>
      </c>
      <c r="F1630" s="1">
        <v>1.2255E-7</v>
      </c>
      <c r="G1630" s="1">
        <v>6.7111000000000001</v>
      </c>
      <c r="H1630" s="1">
        <v>1.9801000000000001E-7</v>
      </c>
      <c r="I1630" s="1">
        <f t="shared" si="225"/>
        <v>1.9801000000000001E-7</v>
      </c>
      <c r="J1630" s="4">
        <f t="shared" si="226"/>
        <v>-2.1135772705300525E-9</v>
      </c>
      <c r="K1630" s="4">
        <f t="shared" si="227"/>
        <v>-5.6535086916619155E-9</v>
      </c>
      <c r="L1630" s="4">
        <f t="shared" si="228"/>
        <v>-1.8317368598543856E-9</v>
      </c>
      <c r="M1630" s="4">
        <f t="shared" si="230"/>
        <v>-2.2790059257508433E-9</v>
      </c>
      <c r="N1630" s="5">
        <f t="shared" si="231"/>
        <v>1.4021588406049815E-6</v>
      </c>
      <c r="O1630" s="5">
        <f t="shared" si="232"/>
        <v>2.88662597153882E-7</v>
      </c>
      <c r="P1630" s="5">
        <f t="shared" si="233"/>
        <v>1.0917856224113566E-7</v>
      </c>
      <c r="Q1630" s="1">
        <f t="shared" si="229"/>
        <v>1.7999999999999991E-6</v>
      </c>
    </row>
    <row r="1631" spans="1:17" x14ac:dyDescent="0.25">
      <c r="A1631" s="1">
        <v>81.45</v>
      </c>
      <c r="B1631" s="1">
        <v>4.4248999999999998E-3</v>
      </c>
      <c r="C1631" s="1">
        <v>2.0526999999999999E-4</v>
      </c>
      <c r="D1631" s="1">
        <v>3.2705999999999999E-2</v>
      </c>
      <c r="E1631" s="1">
        <v>2.5525000000000001E-3</v>
      </c>
      <c r="F1631" s="1">
        <v>1.2225E-7</v>
      </c>
      <c r="G1631" s="1">
        <v>6.7110000000000003</v>
      </c>
      <c r="H1631" s="1">
        <v>1.9802E-7</v>
      </c>
      <c r="I1631" s="1">
        <f t="shared" si="225"/>
        <v>1.9802E-7</v>
      </c>
      <c r="J1631" s="4">
        <f t="shared" si="226"/>
        <v>-2.1058326053021818E-9</v>
      </c>
      <c r="K1631" s="4">
        <f t="shared" si="227"/>
        <v>-5.6289206445003795E-9</v>
      </c>
      <c r="L1631" s="4">
        <f t="shared" si="228"/>
        <v>-1.8248573148444207E-9</v>
      </c>
      <c r="M1631" s="4">
        <f t="shared" si="230"/>
        <v>-2.2699369464834348E-9</v>
      </c>
      <c r="N1631" s="5">
        <f t="shared" si="231"/>
        <v>1.4038570713293353E-6</v>
      </c>
      <c r="O1631" s="5">
        <f t="shared" si="232"/>
        <v>2.8740944606116722E-7</v>
      </c>
      <c r="P1631" s="5">
        <f t="shared" si="233"/>
        <v>1.0873348260949665E-7</v>
      </c>
      <c r="Q1631" s="1">
        <f t="shared" si="229"/>
        <v>1.7999999999999991E-6</v>
      </c>
    </row>
    <row r="1632" spans="1:17" x14ac:dyDescent="0.25">
      <c r="A1632" s="1">
        <v>81.5</v>
      </c>
      <c r="B1632" s="1">
        <v>4.4194999999999998E-3</v>
      </c>
      <c r="C1632" s="1">
        <v>2.0476000000000001E-4</v>
      </c>
      <c r="D1632" s="1">
        <v>3.2709000000000002E-2</v>
      </c>
      <c r="E1632" s="1">
        <v>2.5460999999999999E-3</v>
      </c>
      <c r="F1632" s="1">
        <v>1.2195999999999999E-7</v>
      </c>
      <c r="G1632" s="1">
        <v>6.7110000000000003</v>
      </c>
      <c r="H1632" s="1">
        <v>1.9803000000000001E-7</v>
      </c>
      <c r="I1632" s="1">
        <f t="shared" si="225"/>
        <v>1.9803000000000001E-7</v>
      </c>
      <c r="J1632" s="4">
        <f t="shared" si="226"/>
        <v>-2.0980731672082686E-9</v>
      </c>
      <c r="K1632" s="4">
        <f t="shared" si="227"/>
        <v>-5.6044841981924422E-9</v>
      </c>
      <c r="L1632" s="4">
        <f t="shared" si="228"/>
        <v>-1.8179653825023545E-9</v>
      </c>
      <c r="M1632" s="4">
        <f t="shared" si="230"/>
        <v>-2.2607974437647869E-9</v>
      </c>
      <c r="N1632" s="5">
        <f t="shared" si="231"/>
        <v>1.4055455169778175E-6</v>
      </c>
      <c r="O1632" s="5">
        <f t="shared" si="232"/>
        <v>2.8616383247394786E-7</v>
      </c>
      <c r="P1632" s="5">
        <f t="shared" si="233"/>
        <v>1.0829065054823423E-7</v>
      </c>
      <c r="Q1632" s="1">
        <f t="shared" si="229"/>
        <v>1.7999999999999995E-6</v>
      </c>
    </row>
    <row r="1633" spans="1:17" x14ac:dyDescent="0.25">
      <c r="A1633" s="1">
        <v>81.55</v>
      </c>
      <c r="B1633" s="1">
        <v>4.4140999999999998E-3</v>
      </c>
      <c r="C1633" s="1">
        <v>2.0426E-4</v>
      </c>
      <c r="D1633" s="1">
        <v>3.2711999999999998E-2</v>
      </c>
      <c r="E1633" s="1">
        <v>2.5395999999999999E-3</v>
      </c>
      <c r="F1633" s="1">
        <v>1.2165999999999999E-7</v>
      </c>
      <c r="G1633" s="1">
        <v>6.7110000000000003</v>
      </c>
      <c r="H1633" s="1">
        <v>1.9803999999999999E-7</v>
      </c>
      <c r="I1633" s="1">
        <f t="shared" si="225"/>
        <v>1.9803999999999999E-7</v>
      </c>
      <c r="J1633" s="4">
        <f t="shared" si="226"/>
        <v>-2.0906423599323766E-9</v>
      </c>
      <c r="K1633" s="4">
        <f t="shared" si="227"/>
        <v>-5.5801947332416659E-9</v>
      </c>
      <c r="L1633" s="4">
        <f t="shared" si="228"/>
        <v>-1.8112812173982349E-9</v>
      </c>
      <c r="M1633" s="4">
        <f t="shared" si="230"/>
        <v>-2.2517037404468886E-9</v>
      </c>
      <c r="N1633" s="5">
        <f t="shared" si="231"/>
        <v>1.4072237881337285E-6</v>
      </c>
      <c r="O1633" s="5">
        <f t="shared" si="232"/>
        <v>2.8492598384108544E-7</v>
      </c>
      <c r="P1633" s="5">
        <f t="shared" si="233"/>
        <v>1.0785022802518557E-7</v>
      </c>
      <c r="Q1633" s="1">
        <f t="shared" si="229"/>
        <v>1.7999999999999995E-6</v>
      </c>
    </row>
    <row r="1634" spans="1:17" x14ac:dyDescent="0.25">
      <c r="A1634" s="1">
        <v>81.599999999999994</v>
      </c>
      <c r="B1634" s="1">
        <v>4.4088E-3</v>
      </c>
      <c r="C1634" s="1">
        <v>2.0375999999999999E-4</v>
      </c>
      <c r="D1634" s="1">
        <v>3.2715000000000001E-2</v>
      </c>
      <c r="E1634" s="1">
        <v>2.5332000000000002E-3</v>
      </c>
      <c r="F1634" s="1">
        <v>1.2137999999999999E-7</v>
      </c>
      <c r="G1634" s="1">
        <v>6.7110000000000003</v>
      </c>
      <c r="H1634" s="1">
        <v>1.9805E-7</v>
      </c>
      <c r="I1634" s="1">
        <f t="shared" si="225"/>
        <v>1.9805E-7</v>
      </c>
      <c r="J1634" s="4">
        <f t="shared" si="226"/>
        <v>-2.0828538252187563E-9</v>
      </c>
      <c r="K1634" s="4">
        <f t="shared" si="227"/>
        <v>-5.5560566849008504E-9</v>
      </c>
      <c r="L1634" s="4">
        <f t="shared" si="228"/>
        <v>-1.8043650036397377E-9</v>
      </c>
      <c r="M1634" s="4">
        <f t="shared" si="230"/>
        <v>-2.2426592116011861E-9</v>
      </c>
      <c r="N1634" s="5">
        <f t="shared" si="231"/>
        <v>1.4088926259897709E-6</v>
      </c>
      <c r="O1634" s="5">
        <f t="shared" si="232"/>
        <v>2.8369544019300456E-7</v>
      </c>
      <c r="P1634" s="5">
        <f t="shared" si="233"/>
        <v>1.0741193381722412E-7</v>
      </c>
      <c r="Q1634" s="1">
        <f t="shared" si="229"/>
        <v>1.7999999999999997E-6</v>
      </c>
    </row>
    <row r="1635" spans="1:17" x14ac:dyDescent="0.25">
      <c r="A1635" s="1">
        <v>81.650000000000006</v>
      </c>
      <c r="B1635" s="1">
        <v>4.4034E-3</v>
      </c>
      <c r="C1635" s="1">
        <v>2.0326E-4</v>
      </c>
      <c r="D1635" s="1">
        <v>3.2717999999999997E-2</v>
      </c>
      <c r="E1635" s="1">
        <v>2.5268000000000001E-3</v>
      </c>
      <c r="F1635" s="1">
        <v>1.2109000000000001E-7</v>
      </c>
      <c r="G1635" s="1">
        <v>6.7108999999999996</v>
      </c>
      <c r="H1635" s="1">
        <v>1.9805999999999999E-7</v>
      </c>
      <c r="I1635" s="1">
        <f t="shared" si="225"/>
        <v>1.9805999999999999E-7</v>
      </c>
      <c r="J1635" s="4">
        <f t="shared" si="226"/>
        <v>-2.0757362147102162E-9</v>
      </c>
      <c r="K1635" s="4">
        <f t="shared" si="227"/>
        <v>-5.5320610837648475E-9</v>
      </c>
      <c r="L1635" s="4">
        <f t="shared" si="228"/>
        <v>-1.7978050884232387E-9</v>
      </c>
      <c r="M1635" s="4">
        <f t="shared" si="230"/>
        <v>-2.2336580167131376E-9</v>
      </c>
      <c r="N1635" s="5">
        <f t="shared" si="231"/>
        <v>1.4105511457704025E-6</v>
      </c>
      <c r="O1635" s="5">
        <f t="shared" si="232"/>
        <v>2.8247277334066306E-7</v>
      </c>
      <c r="P1635" s="5">
        <f t="shared" si="233"/>
        <v>1.0697608088893421E-7</v>
      </c>
      <c r="Q1635" s="1">
        <f t="shared" si="229"/>
        <v>1.7999999999999999E-6</v>
      </c>
    </row>
    <row r="1636" spans="1:17" x14ac:dyDescent="0.25">
      <c r="A1636" s="1">
        <v>81.7</v>
      </c>
      <c r="B1636" s="1">
        <v>4.3981000000000003E-3</v>
      </c>
      <c r="C1636" s="1">
        <v>2.0277000000000001E-4</v>
      </c>
      <c r="D1636" s="1">
        <v>3.2719999999999999E-2</v>
      </c>
      <c r="E1636" s="1">
        <v>2.5203999999999999E-3</v>
      </c>
      <c r="F1636" s="1">
        <v>1.208E-7</v>
      </c>
      <c r="G1636" s="1">
        <v>6.7108999999999996</v>
      </c>
      <c r="H1636" s="1">
        <v>1.9807E-7</v>
      </c>
      <c r="I1636" s="1">
        <f t="shared" si="225"/>
        <v>1.9807E-7</v>
      </c>
      <c r="J1636" s="4">
        <f t="shared" si="226"/>
        <v>-2.0682612554642451E-9</v>
      </c>
      <c r="K1636" s="4">
        <f t="shared" si="227"/>
        <v>-5.508219080142617E-9</v>
      </c>
      <c r="L1636" s="4">
        <f t="shared" si="228"/>
        <v>-1.7910845273989824E-9</v>
      </c>
      <c r="M1636" s="4">
        <f t="shared" si="230"/>
        <v>-2.2247066709904161E-9</v>
      </c>
      <c r="N1636" s="5">
        <f t="shared" si="231"/>
        <v>1.4122000190676821E-6</v>
      </c>
      <c r="O1636" s="5">
        <f t="shared" si="232"/>
        <v>2.8125752218697514E-7</v>
      </c>
      <c r="P1636" s="5">
        <f t="shared" si="233"/>
        <v>1.0654245874534279E-7</v>
      </c>
      <c r="Q1636" s="1">
        <f t="shared" si="229"/>
        <v>1.8000000000000001E-6</v>
      </c>
    </row>
    <row r="1637" spans="1:17" x14ac:dyDescent="0.25">
      <c r="A1637" s="1">
        <v>81.75</v>
      </c>
      <c r="B1637" s="1">
        <v>4.3927999999999997E-3</v>
      </c>
      <c r="C1637" s="1">
        <v>2.0228999999999999E-4</v>
      </c>
      <c r="D1637" s="1">
        <v>3.2723000000000002E-2</v>
      </c>
      <c r="E1637" s="1">
        <v>2.5140000000000002E-3</v>
      </c>
      <c r="F1637" s="1">
        <v>1.2052E-7</v>
      </c>
      <c r="G1637" s="1">
        <v>6.7108999999999996</v>
      </c>
      <c r="H1637" s="1">
        <v>1.9809E-7</v>
      </c>
      <c r="I1637" s="1">
        <f t="shared" si="225"/>
        <v>1.9809E-7</v>
      </c>
      <c r="J1637" s="4">
        <f t="shared" si="226"/>
        <v>-2.0607726486246647E-9</v>
      </c>
      <c r="K1637" s="4">
        <f t="shared" si="227"/>
        <v>-5.4845216826457033E-9</v>
      </c>
      <c r="L1637" s="4">
        <f t="shared" si="228"/>
        <v>-1.7843527518140282E-9</v>
      </c>
      <c r="M1637" s="4">
        <f t="shared" si="230"/>
        <v>-2.2158008043873287E-9</v>
      </c>
      <c r="N1637" s="5">
        <f t="shared" si="231"/>
        <v>1.413839415349889E-6</v>
      </c>
      <c r="O1637" s="5">
        <f t="shared" si="232"/>
        <v>2.8004957395734137E-7</v>
      </c>
      <c r="P1637" s="5">
        <f t="shared" si="233"/>
        <v>1.0611101069276949E-7</v>
      </c>
      <c r="Q1637" s="1">
        <f t="shared" si="229"/>
        <v>1.7999999999999999E-6</v>
      </c>
    </row>
    <row r="1638" spans="1:17" x14ac:dyDescent="0.25">
      <c r="A1638" s="1">
        <v>81.8</v>
      </c>
      <c r="B1638" s="1">
        <v>4.3874999999999999E-3</v>
      </c>
      <c r="C1638" s="1">
        <v>2.0180999999999999E-4</v>
      </c>
      <c r="D1638" s="1">
        <v>3.2725999999999998E-2</v>
      </c>
      <c r="E1638" s="1">
        <v>2.5076999999999999E-3</v>
      </c>
      <c r="F1638" s="1">
        <v>1.2024E-7</v>
      </c>
      <c r="G1638" s="1">
        <v>6.7108999999999996</v>
      </c>
      <c r="H1638" s="1">
        <v>1.9810000000000001E-7</v>
      </c>
      <c r="I1638" s="1">
        <f t="shared" si="225"/>
        <v>1.9810000000000001E-7</v>
      </c>
      <c r="J1638" s="4">
        <f t="shared" si="226"/>
        <v>-2.053611704225081E-9</v>
      </c>
      <c r="K1638" s="4">
        <f t="shared" si="227"/>
        <v>-5.4609666921678464E-9</v>
      </c>
      <c r="L1638" s="4">
        <f t="shared" si="228"/>
        <v>-1.7777577390765595E-9</v>
      </c>
      <c r="M1638" s="4">
        <f t="shared" si="230"/>
        <v>-2.2070506613535985E-9</v>
      </c>
      <c r="N1638" s="5">
        <f t="shared" si="231"/>
        <v>1.4154690125987554E-6</v>
      </c>
      <c r="O1638" s="5">
        <f t="shared" si="232"/>
        <v>2.7884926963075217E-7</v>
      </c>
      <c r="P1638" s="5">
        <f t="shared" si="233"/>
        <v>1.0568171777049245E-7</v>
      </c>
      <c r="Q1638" s="1">
        <f t="shared" si="229"/>
        <v>1.7999999999999999E-6</v>
      </c>
    </row>
    <row r="1639" spans="1:17" x14ac:dyDescent="0.25">
      <c r="A1639" s="1">
        <v>81.849999999999994</v>
      </c>
      <c r="B1639" s="1">
        <v>4.3822000000000002E-3</v>
      </c>
      <c r="C1639" s="1">
        <v>2.0133E-4</v>
      </c>
      <c r="D1639" s="1">
        <v>3.2729000000000001E-2</v>
      </c>
      <c r="E1639" s="1">
        <v>2.5013000000000001E-3</v>
      </c>
      <c r="F1639" s="1">
        <v>1.1997000000000001E-7</v>
      </c>
      <c r="G1639" s="1">
        <v>6.7107999999999999</v>
      </c>
      <c r="H1639" s="1">
        <v>1.9810999999999999E-7</v>
      </c>
      <c r="I1639" s="1">
        <f t="shared" si="225"/>
        <v>1.9810999999999999E-7</v>
      </c>
      <c r="J1639" s="4">
        <f t="shared" si="226"/>
        <v>-2.0464366327561727E-9</v>
      </c>
      <c r="K1639" s="4">
        <f t="shared" si="227"/>
        <v>-5.4375607577993588E-9</v>
      </c>
      <c r="L1639" s="4">
        <f t="shared" si="228"/>
        <v>-1.7712220515173833E-9</v>
      </c>
      <c r="M1639" s="4">
        <f t="shared" si="230"/>
        <v>-2.1982325704850031E-9</v>
      </c>
      <c r="N1639" s="5">
        <f t="shared" si="231"/>
        <v>1.4170889146722813E-6</v>
      </c>
      <c r="O1639" s="5">
        <f t="shared" si="232"/>
        <v>2.7765637807619395E-7</v>
      </c>
      <c r="P1639" s="5">
        <f t="shared" si="233"/>
        <v>1.0525470725152484E-7</v>
      </c>
      <c r="Q1639" s="1">
        <f t="shared" si="229"/>
        <v>1.8000000000000001E-6</v>
      </c>
    </row>
    <row r="1640" spans="1:17" x14ac:dyDescent="0.25">
      <c r="A1640" s="1">
        <v>81.900000000000006</v>
      </c>
      <c r="B1640" s="1">
        <v>4.3769000000000004E-3</v>
      </c>
      <c r="C1640" s="1">
        <v>2.0086E-4</v>
      </c>
      <c r="D1640" s="1">
        <v>3.2731999999999997E-2</v>
      </c>
      <c r="E1640" s="1">
        <v>2.4949999999999998E-3</v>
      </c>
      <c r="F1640" s="1">
        <v>1.1969000000000001E-7</v>
      </c>
      <c r="G1640" s="1">
        <v>6.7107999999999999</v>
      </c>
      <c r="H1640" s="1">
        <v>1.9812E-7</v>
      </c>
      <c r="I1640" s="1">
        <f t="shared" si="225"/>
        <v>1.9812E-7</v>
      </c>
      <c r="J1640" s="4">
        <f t="shared" si="226"/>
        <v>-2.0395878606479872E-9</v>
      </c>
      <c r="K1640" s="4">
        <f t="shared" si="227"/>
        <v>-5.4142993724870133E-9</v>
      </c>
      <c r="L1640" s="4">
        <f t="shared" si="228"/>
        <v>-1.764751823850218E-9</v>
      </c>
      <c r="M1640" s="4">
        <f t="shared" si="230"/>
        <v>-2.189461055628454E-9</v>
      </c>
      <c r="N1640" s="5">
        <f t="shared" si="231"/>
        <v>1.4186988743602702E-6</v>
      </c>
      <c r="O1640" s="5">
        <f t="shared" si="232"/>
        <v>2.7647112761998338E-7</v>
      </c>
      <c r="P1640" s="5">
        <f t="shared" si="233"/>
        <v>1.0482999801974661E-7</v>
      </c>
      <c r="Q1640" s="1">
        <f t="shared" si="229"/>
        <v>1.8000000000000003E-6</v>
      </c>
    </row>
    <row r="1641" spans="1:17" x14ac:dyDescent="0.25">
      <c r="A1641" s="1">
        <v>81.95</v>
      </c>
      <c r="B1641" s="1">
        <v>4.3717000000000001E-3</v>
      </c>
      <c r="C1641" s="1">
        <v>2.0039E-4</v>
      </c>
      <c r="D1641" s="1">
        <v>3.2735E-2</v>
      </c>
      <c r="E1641" s="1">
        <v>2.4886999999999999E-3</v>
      </c>
      <c r="F1641" s="1">
        <v>1.1941999999999999E-7</v>
      </c>
      <c r="G1641" s="1">
        <v>6.7107999999999999</v>
      </c>
      <c r="H1641" s="1">
        <v>1.9812999999999999E-7</v>
      </c>
      <c r="I1641" s="1">
        <f t="shared" si="225"/>
        <v>1.9812999999999999E-7</v>
      </c>
      <c r="J1641" s="4">
        <f t="shared" si="226"/>
        <v>-2.0323848931496164E-9</v>
      </c>
      <c r="K1641" s="4">
        <f t="shared" si="227"/>
        <v>-5.3911869885893695E-9</v>
      </c>
      <c r="L1641" s="4">
        <f t="shared" si="228"/>
        <v>-1.7581937739071278E-9</v>
      </c>
      <c r="M1641" s="4">
        <f t="shared" si="230"/>
        <v>-2.1807365168054569E-9</v>
      </c>
      <c r="N1641" s="5">
        <f t="shared" si="231"/>
        <v>1.4202994826818029E-6</v>
      </c>
      <c r="O1641" s="5">
        <f t="shared" si="232"/>
        <v>2.7529306204134904E-7</v>
      </c>
      <c r="P1641" s="5">
        <f t="shared" si="233"/>
        <v>1.0440745527684828E-7</v>
      </c>
      <c r="Q1641" s="1">
        <f t="shared" si="229"/>
        <v>1.8000000000000001E-6</v>
      </c>
    </row>
    <row r="1642" spans="1:17" x14ac:dyDescent="0.25">
      <c r="A1642" s="1">
        <v>82</v>
      </c>
      <c r="B1642" s="1">
        <v>4.3664000000000003E-3</v>
      </c>
      <c r="C1642" s="1">
        <v>1.9992E-4</v>
      </c>
      <c r="D1642" s="1">
        <v>3.2738000000000003E-2</v>
      </c>
      <c r="E1642" s="1">
        <v>2.4824000000000001E-3</v>
      </c>
      <c r="F1642" s="1">
        <v>1.1915E-7</v>
      </c>
      <c r="G1642" s="1">
        <v>6.7107000000000001</v>
      </c>
      <c r="H1642" s="1">
        <v>1.9814E-7</v>
      </c>
      <c r="I1642" s="1">
        <f t="shared" si="225"/>
        <v>1.9814E-7</v>
      </c>
      <c r="J1642" s="4">
        <f t="shared" si="226"/>
        <v>-2.0255084651373472E-9</v>
      </c>
      <c r="K1642" s="4">
        <f t="shared" si="227"/>
        <v>-5.3682147098060014E-9</v>
      </c>
      <c r="L1642" s="4">
        <f t="shared" si="228"/>
        <v>-1.751772241360523E-9</v>
      </c>
      <c r="M1642" s="4">
        <f t="shared" si="230"/>
        <v>-2.1720561569700812E-9</v>
      </c>
      <c r="N1642" s="5">
        <f t="shared" si="231"/>
        <v>1.4218904166851112E-6</v>
      </c>
      <c r="O1642" s="5">
        <f t="shared" si="232"/>
        <v>2.7412241195365045E-7</v>
      </c>
      <c r="P1642" s="5">
        <f t="shared" si="233"/>
        <v>1.0398717136123872E-7</v>
      </c>
      <c r="Q1642" s="1">
        <f t="shared" si="229"/>
        <v>1.8000000000000003E-6</v>
      </c>
    </row>
    <row r="1643" spans="1:17" x14ac:dyDescent="0.25">
      <c r="A1643" s="1">
        <v>82.05</v>
      </c>
      <c r="B1643" s="1">
        <v>4.3612E-3</v>
      </c>
      <c r="C1643" s="1">
        <v>1.9945999999999999E-4</v>
      </c>
      <c r="D1643" s="1">
        <v>3.2740999999999999E-2</v>
      </c>
      <c r="E1643" s="1">
        <v>2.4762E-3</v>
      </c>
      <c r="F1643" s="1">
        <v>1.1888E-7</v>
      </c>
      <c r="G1643" s="1">
        <v>6.7107000000000001</v>
      </c>
      <c r="H1643" s="1">
        <v>1.9815000000000001E-7</v>
      </c>
      <c r="I1643" s="1">
        <f t="shared" si="225"/>
        <v>1.9815000000000001E-7</v>
      </c>
      <c r="J1643" s="4">
        <f t="shared" si="226"/>
        <v>-2.0186183671086747E-9</v>
      </c>
      <c r="K1643" s="4">
        <f t="shared" si="227"/>
        <v>-5.3453870330958803E-9</v>
      </c>
      <c r="L1643" s="4">
        <f t="shared" si="228"/>
        <v>-1.7453399641811901E-9</v>
      </c>
      <c r="M1643" s="4">
        <f t="shared" si="230"/>
        <v>-2.16342190401904E-9</v>
      </c>
      <c r="N1643" s="5">
        <f t="shared" si="231"/>
        <v>1.4234718453869173E-6</v>
      </c>
      <c r="O1643" s="5">
        <f t="shared" si="232"/>
        <v>2.7295906519168226E-7</v>
      </c>
      <c r="P1643" s="5">
        <f t="shared" si="233"/>
        <v>1.0356908942140087E-7</v>
      </c>
      <c r="Q1643" s="1">
        <f t="shared" si="229"/>
        <v>1.8000000000000006E-6</v>
      </c>
    </row>
    <row r="1644" spans="1:17" x14ac:dyDescent="0.25">
      <c r="A1644" s="1">
        <v>82.1</v>
      </c>
      <c r="B1644" s="1">
        <v>4.3559999999999996E-3</v>
      </c>
      <c r="C1644" s="1">
        <v>1.9901000000000001E-4</v>
      </c>
      <c r="D1644" s="1">
        <v>3.2743000000000001E-2</v>
      </c>
      <c r="E1644" s="1">
        <v>2.4699000000000001E-3</v>
      </c>
      <c r="F1644" s="1">
        <v>1.1862E-7</v>
      </c>
      <c r="G1644" s="1">
        <v>6.7107000000000001</v>
      </c>
      <c r="H1644" s="1">
        <v>1.9816E-7</v>
      </c>
      <c r="I1644" s="1">
        <f t="shared" si="225"/>
        <v>1.9816E-7</v>
      </c>
      <c r="J1644" s="4">
        <f t="shared" si="226"/>
        <v>-2.0117150944613316E-9</v>
      </c>
      <c r="K1644" s="4">
        <f t="shared" si="227"/>
        <v>-5.3227017712375015E-9</v>
      </c>
      <c r="L1644" s="4">
        <f t="shared" si="228"/>
        <v>-1.7389676148348222E-9</v>
      </c>
      <c r="M1644" s="4">
        <f t="shared" si="230"/>
        <v>-2.1548325822291889E-9</v>
      </c>
      <c r="N1644" s="5">
        <f t="shared" si="231"/>
        <v>1.4250438644488586E-6</v>
      </c>
      <c r="O1644" s="5">
        <f t="shared" si="232"/>
        <v>2.7180291109713531E-7</v>
      </c>
      <c r="P1644" s="5">
        <f t="shared" si="233"/>
        <v>1.0315322445400651E-7</v>
      </c>
      <c r="Q1644" s="1">
        <f t="shared" si="229"/>
        <v>1.8000000000000006E-6</v>
      </c>
    </row>
    <row r="1645" spans="1:17" x14ac:dyDescent="0.25">
      <c r="A1645" s="1">
        <v>82.15</v>
      </c>
      <c r="B1645" s="1">
        <v>4.3508000000000002E-3</v>
      </c>
      <c r="C1645" s="1">
        <v>1.9856E-4</v>
      </c>
      <c r="D1645" s="1">
        <v>3.2745999999999997E-2</v>
      </c>
      <c r="E1645" s="1">
        <v>2.4637000000000001E-3</v>
      </c>
      <c r="F1645" s="1">
        <v>1.1835E-7</v>
      </c>
      <c r="G1645" s="1">
        <v>6.7107000000000001</v>
      </c>
      <c r="H1645" s="1">
        <v>1.9817000000000001E-7</v>
      </c>
      <c r="I1645" s="1">
        <f t="shared" si="225"/>
        <v>1.9817000000000001E-7</v>
      </c>
      <c r="J1645" s="4">
        <f t="shared" si="226"/>
        <v>-2.005137097369812E-9</v>
      </c>
      <c r="K1645" s="4">
        <f t="shared" si="227"/>
        <v>-5.3001567663953441E-9</v>
      </c>
      <c r="L1645" s="4">
        <f t="shared" si="228"/>
        <v>-1.7326610760996333E-9</v>
      </c>
      <c r="M1645" s="4">
        <f t="shared" si="230"/>
        <v>-2.1462885105701109E-9</v>
      </c>
      <c r="N1645" s="5">
        <f t="shared" si="231"/>
        <v>1.4266062230417844E-6</v>
      </c>
      <c r="O1645" s="5">
        <f t="shared" si="232"/>
        <v>2.7065417993867987E-7</v>
      </c>
      <c r="P1645" s="5">
        <f t="shared" si="233"/>
        <v>1.0273959701953603E-7</v>
      </c>
      <c r="Q1645" s="1">
        <f t="shared" si="229"/>
        <v>1.8000000000000003E-6</v>
      </c>
    </row>
    <row r="1646" spans="1:17" x14ac:dyDescent="0.25">
      <c r="A1646" s="1">
        <v>82.2</v>
      </c>
      <c r="B1646" s="1">
        <v>4.3455999999999998E-3</v>
      </c>
      <c r="C1646" s="1">
        <v>1.9811000000000001E-4</v>
      </c>
      <c r="D1646" s="1">
        <v>3.2749E-2</v>
      </c>
      <c r="E1646" s="1">
        <v>2.4575E-3</v>
      </c>
      <c r="F1646" s="1">
        <v>1.1808999999999999E-7</v>
      </c>
      <c r="G1646" s="1">
        <v>6.7106000000000003</v>
      </c>
      <c r="H1646" s="1">
        <v>1.9817999999999999E-7</v>
      </c>
      <c r="I1646" s="1">
        <f t="shared" si="225"/>
        <v>1.9817999999999999E-7</v>
      </c>
      <c r="J1646" s="4">
        <f t="shared" si="226"/>
        <v>-1.9982077482918244E-9</v>
      </c>
      <c r="K1646" s="4">
        <f t="shared" si="227"/>
        <v>-5.2777565088039582E-9</v>
      </c>
      <c r="L1646" s="4">
        <f t="shared" si="228"/>
        <v>-1.7262683043756872E-9</v>
      </c>
      <c r="M1646" s="4">
        <f t="shared" si="230"/>
        <v>-2.1377901238428314E-9</v>
      </c>
      <c r="N1646" s="5">
        <f t="shared" si="231"/>
        <v>1.4281595034979208E-6</v>
      </c>
      <c r="O1646" s="5">
        <f t="shared" si="232"/>
        <v>2.6951242130201058E-7</v>
      </c>
      <c r="P1646" s="5">
        <f t="shared" si="233"/>
        <v>1.0232807520006889E-7</v>
      </c>
      <c r="Q1646" s="1">
        <f t="shared" si="229"/>
        <v>1.8000000000000003E-6</v>
      </c>
    </row>
    <row r="1647" spans="1:17" x14ac:dyDescent="0.25">
      <c r="A1647" s="1">
        <v>82.25</v>
      </c>
      <c r="B1647" s="1">
        <v>4.3404000000000003E-3</v>
      </c>
      <c r="C1647" s="1">
        <v>1.9766E-4</v>
      </c>
      <c r="D1647" s="1">
        <v>3.2752000000000003E-2</v>
      </c>
      <c r="E1647" s="1">
        <v>2.4513E-3</v>
      </c>
      <c r="F1647" s="1">
        <v>1.1784E-7</v>
      </c>
      <c r="G1647" s="1">
        <v>6.7106000000000003</v>
      </c>
      <c r="H1647" s="1">
        <v>1.9819999999999999E-7</v>
      </c>
      <c r="I1647" s="1">
        <f t="shared" si="225"/>
        <v>1.9819999999999999E-7</v>
      </c>
      <c r="J1647" s="4">
        <f t="shared" si="226"/>
        <v>-1.9916038602650186E-9</v>
      </c>
      <c r="K1647" s="4">
        <f t="shared" si="227"/>
        <v>-5.2554922153889081E-9</v>
      </c>
      <c r="L1647" s="4">
        <f t="shared" si="228"/>
        <v>-1.7200119332200297E-9</v>
      </c>
      <c r="M1647" s="4">
        <f t="shared" si="230"/>
        <v>-2.1293346840305925E-9</v>
      </c>
      <c r="N1647" s="5">
        <f t="shared" si="231"/>
        <v>1.4297033799198248E-6</v>
      </c>
      <c r="O1647" s="5">
        <f t="shared" si="232"/>
        <v>2.6837786763091727E-7</v>
      </c>
      <c r="P1647" s="5">
        <f t="shared" si="233"/>
        <v>1.0191875244925832E-7</v>
      </c>
      <c r="Q1647" s="1">
        <f t="shared" si="229"/>
        <v>1.8000000000000003E-6</v>
      </c>
    </row>
    <row r="1648" spans="1:17" x14ac:dyDescent="0.25">
      <c r="A1648" s="1">
        <v>82.3</v>
      </c>
      <c r="B1648" s="1">
        <v>4.3352E-3</v>
      </c>
      <c r="C1648" s="1">
        <v>1.9722000000000001E-4</v>
      </c>
      <c r="D1648" s="1">
        <v>3.2754999999999999E-2</v>
      </c>
      <c r="E1648" s="1">
        <v>2.4451E-3</v>
      </c>
      <c r="F1648" s="1">
        <v>1.1758E-7</v>
      </c>
      <c r="G1648" s="1">
        <v>6.7106000000000003</v>
      </c>
      <c r="H1648" s="1">
        <v>1.9821E-7</v>
      </c>
      <c r="I1648" s="1">
        <f t="shared" si="225"/>
        <v>1.9821E-7</v>
      </c>
      <c r="J1648" s="4">
        <f t="shared" si="226"/>
        <v>-1.9853240862783264E-9</v>
      </c>
      <c r="K1648" s="4">
        <f t="shared" si="227"/>
        <v>-5.2333684188025892E-9</v>
      </c>
      <c r="L1648" s="4">
        <f t="shared" si="228"/>
        <v>-1.7138911634996907E-9</v>
      </c>
      <c r="M1648" s="4">
        <f t="shared" si="230"/>
        <v>-2.1210311572213943E-9</v>
      </c>
      <c r="N1648" s="5">
        <f t="shared" si="231"/>
        <v>1.4312375330888494E-6</v>
      </c>
      <c r="O1648" s="5">
        <f t="shared" si="232"/>
        <v>2.6725085445561441E-7</v>
      </c>
      <c r="P1648" s="5">
        <f t="shared" si="233"/>
        <v>1.0151161245553662E-7</v>
      </c>
      <c r="Q1648" s="1">
        <f t="shared" si="229"/>
        <v>1.8000000000000003E-6</v>
      </c>
    </row>
    <row r="1649" spans="1:17" x14ac:dyDescent="0.25">
      <c r="A1649" s="1">
        <v>82.35</v>
      </c>
      <c r="B1649" s="1">
        <v>4.3300999999999999E-3</v>
      </c>
      <c r="C1649" s="1">
        <v>1.9678999999999999E-4</v>
      </c>
      <c r="D1649" s="1">
        <v>3.2757000000000001E-2</v>
      </c>
      <c r="E1649" s="1">
        <v>2.4388999999999999E-3</v>
      </c>
      <c r="F1649" s="1">
        <v>1.1733000000000001E-7</v>
      </c>
      <c r="G1649" s="1">
        <v>6.7106000000000003</v>
      </c>
      <c r="H1649" s="1">
        <v>1.9822000000000001E-7</v>
      </c>
      <c r="I1649" s="1">
        <f t="shared" si="225"/>
        <v>1.9822000000000001E-7</v>
      </c>
      <c r="J1649" s="4">
        <f t="shared" si="226"/>
        <v>-1.9786939616749082E-9</v>
      </c>
      <c r="K1649" s="4">
        <f t="shared" si="227"/>
        <v>-5.2113916618841852E-9</v>
      </c>
      <c r="L1649" s="4">
        <f t="shared" si="228"/>
        <v>-1.7076147400594465E-9</v>
      </c>
      <c r="M1649" s="4">
        <f t="shared" si="230"/>
        <v>-2.1126647540051307E-9</v>
      </c>
      <c r="N1649" s="5">
        <f t="shared" si="231"/>
        <v>1.4327626160489991E-6</v>
      </c>
      <c r="O1649" s="5">
        <f t="shared" si="232"/>
        <v>2.6613082150941025E-7</v>
      </c>
      <c r="P1649" s="5">
        <f t="shared" si="233"/>
        <v>1.0110656244159093E-7</v>
      </c>
      <c r="Q1649" s="1">
        <f t="shared" si="229"/>
        <v>1.8000000000000003E-6</v>
      </c>
    </row>
    <row r="1650" spans="1:17" x14ac:dyDescent="0.25">
      <c r="A1650" s="1">
        <v>82.4</v>
      </c>
      <c r="B1650" s="1">
        <v>4.3248999999999996E-3</v>
      </c>
      <c r="C1650" s="1">
        <v>1.9635E-4</v>
      </c>
      <c r="D1650" s="1">
        <v>3.2759999999999997E-2</v>
      </c>
      <c r="E1650" s="1">
        <v>2.4328000000000002E-3</v>
      </c>
      <c r="F1650" s="1">
        <v>1.1708E-7</v>
      </c>
      <c r="G1650" s="1">
        <v>6.7104999999999997</v>
      </c>
      <c r="H1650" s="1">
        <v>1.9823E-7</v>
      </c>
      <c r="I1650" s="1">
        <f t="shared" si="225"/>
        <v>1.9823E-7</v>
      </c>
      <c r="J1650" s="4">
        <f t="shared" si="226"/>
        <v>-1.9723881408159426E-9</v>
      </c>
      <c r="K1650" s="4">
        <f t="shared" si="227"/>
        <v>-5.1895510194346801E-9</v>
      </c>
      <c r="L1650" s="4">
        <f t="shared" si="228"/>
        <v>-1.7014743341037596E-9</v>
      </c>
      <c r="M1650" s="4">
        <f t="shared" si="230"/>
        <v>-2.1043409947535545E-9</v>
      </c>
      <c r="N1650" s="5">
        <f t="shared" si="231"/>
        <v>1.4342783045935139E-6</v>
      </c>
      <c r="O1650" s="5">
        <f t="shared" si="232"/>
        <v>2.6501799962554508E-7</v>
      </c>
      <c r="P1650" s="5">
        <f t="shared" si="233"/>
        <v>1.0070369578094114E-7</v>
      </c>
      <c r="Q1650" s="1">
        <f t="shared" si="229"/>
        <v>1.8000000000000001E-6</v>
      </c>
    </row>
    <row r="1651" spans="1:17" x14ac:dyDescent="0.25">
      <c r="A1651" s="1">
        <v>82.45</v>
      </c>
      <c r="B1651" s="1">
        <v>4.3198000000000004E-3</v>
      </c>
      <c r="C1651" s="1">
        <v>1.9592000000000001E-4</v>
      </c>
      <c r="D1651" s="1">
        <v>3.2763E-2</v>
      </c>
      <c r="E1651" s="1">
        <v>2.4267E-3</v>
      </c>
      <c r="F1651" s="1">
        <v>1.1682999999999999E-7</v>
      </c>
      <c r="G1651" s="1">
        <v>6.7104999999999997</v>
      </c>
      <c r="H1651" s="1">
        <v>1.9824000000000001E-7</v>
      </c>
      <c r="I1651" s="1">
        <f t="shared" si="225"/>
        <v>1.9824000000000001E-7</v>
      </c>
      <c r="J1651" s="4">
        <f t="shared" si="226"/>
        <v>-1.9660694580822633E-9</v>
      </c>
      <c r="K1651" s="4">
        <f t="shared" si="227"/>
        <v>-5.1678509926978357E-9</v>
      </c>
      <c r="L1651" s="4">
        <f t="shared" si="228"/>
        <v>-1.6953940192290315E-9</v>
      </c>
      <c r="M1651" s="4">
        <f t="shared" si="230"/>
        <v>-2.096061829538757E-9</v>
      </c>
      <c r="N1651" s="5">
        <f t="shared" si="231"/>
        <v>1.4357846921089005E-6</v>
      </c>
      <c r="O1651" s="5">
        <f t="shared" si="232"/>
        <v>2.6391227992046821E-7</v>
      </c>
      <c r="P1651" s="5">
        <f t="shared" si="233"/>
        <v>1.0030302797063141E-7</v>
      </c>
      <c r="Q1651" s="1">
        <f t="shared" si="229"/>
        <v>1.8000000000000001E-6</v>
      </c>
    </row>
    <row r="1652" spans="1:17" x14ac:dyDescent="0.25">
      <c r="A1652" s="1">
        <v>82.5</v>
      </c>
      <c r="B1652" s="1">
        <v>4.3147000000000003E-3</v>
      </c>
      <c r="C1652" s="1">
        <v>1.9550000000000001E-4</v>
      </c>
      <c r="D1652" s="1">
        <v>3.2766000000000003E-2</v>
      </c>
      <c r="E1652" s="1">
        <v>2.4204999999999999E-3</v>
      </c>
      <c r="F1652" s="1">
        <v>1.1658E-7</v>
      </c>
      <c r="G1652" s="1">
        <v>6.7104999999999997</v>
      </c>
      <c r="H1652" s="1">
        <v>1.9824999999999999E-7</v>
      </c>
      <c r="I1652" s="1">
        <f t="shared" si="225"/>
        <v>1.9824999999999999E-7</v>
      </c>
      <c r="J1652" s="4">
        <f t="shared" si="226"/>
        <v>-1.9597382629403134E-9</v>
      </c>
      <c r="K1652" s="4">
        <f t="shared" si="227"/>
        <v>-5.1462894584488375E-9</v>
      </c>
      <c r="L1652" s="4">
        <f t="shared" si="228"/>
        <v>-1.6893042794753594E-9</v>
      </c>
      <c r="M1652" s="4">
        <f t="shared" si="230"/>
        <v>-2.0878275878141682E-9</v>
      </c>
      <c r="N1652" s="5">
        <f t="shared" si="231"/>
        <v>1.4372819390249335E-6</v>
      </c>
      <c r="O1652" s="5">
        <f t="shared" si="232"/>
        <v>2.6281355631277384E-7</v>
      </c>
      <c r="P1652" s="5">
        <f t="shared" si="233"/>
        <v>9.9904504662292607E-8</v>
      </c>
      <c r="Q1652" s="1">
        <f t="shared" si="229"/>
        <v>1.7999999999999999E-6</v>
      </c>
    </row>
    <row r="1653" spans="1:17" x14ac:dyDescent="0.25">
      <c r="A1653" s="1">
        <v>82.55</v>
      </c>
      <c r="B1653" s="1">
        <v>4.3096000000000002E-3</v>
      </c>
      <c r="C1653" s="1">
        <v>1.9508000000000001E-4</v>
      </c>
      <c r="D1653" s="1">
        <v>3.2769E-2</v>
      </c>
      <c r="E1653" s="1">
        <v>2.4144000000000001E-3</v>
      </c>
      <c r="F1653" s="1">
        <v>1.1633999999999999E-7</v>
      </c>
      <c r="G1653" s="1">
        <v>6.7104999999999997</v>
      </c>
      <c r="H1653" s="1">
        <v>1.9826E-7</v>
      </c>
      <c r="I1653" s="1">
        <f t="shared" si="225"/>
        <v>1.9826E-7</v>
      </c>
      <c r="J1653" s="4">
        <f t="shared" si="226"/>
        <v>-1.9533949930877876E-9</v>
      </c>
      <c r="K1653" s="4">
        <f t="shared" si="227"/>
        <v>-5.1248643480987991E-9</v>
      </c>
      <c r="L1653" s="4">
        <f t="shared" si="228"/>
        <v>-1.6831359761701241E-9</v>
      </c>
      <c r="M1653" s="4">
        <f t="shared" si="230"/>
        <v>-2.0796371451763302E-9</v>
      </c>
      <c r="N1653" s="5">
        <f t="shared" si="231"/>
        <v>1.4387702724037743E-6</v>
      </c>
      <c r="O1653" s="5">
        <f t="shared" si="232"/>
        <v>2.6172172410293922E-7</v>
      </c>
      <c r="P1653" s="5">
        <f t="shared" si="233"/>
        <v>9.9508003493286397E-8</v>
      </c>
      <c r="Q1653" s="1">
        <f t="shared" si="229"/>
        <v>1.7999999999999999E-6</v>
      </c>
    </row>
    <row r="1654" spans="1:17" x14ac:dyDescent="0.25">
      <c r="A1654" s="1">
        <v>82.6</v>
      </c>
      <c r="B1654" s="1">
        <v>4.3045000000000002E-3</v>
      </c>
      <c r="C1654" s="1">
        <v>1.9466000000000001E-4</v>
      </c>
      <c r="D1654" s="1">
        <v>3.2771000000000002E-2</v>
      </c>
      <c r="E1654" s="1">
        <v>2.4084000000000002E-3</v>
      </c>
      <c r="F1654" s="1">
        <v>1.1609E-7</v>
      </c>
      <c r="G1654" s="1">
        <v>6.7103999999999999</v>
      </c>
      <c r="H1654" s="1">
        <v>1.9826999999999999E-7</v>
      </c>
      <c r="I1654" s="1">
        <f t="shared" si="225"/>
        <v>1.9826999999999999E-7</v>
      </c>
      <c r="J1654" s="4">
        <f t="shared" si="226"/>
        <v>-1.9473749306394775E-9</v>
      </c>
      <c r="K1654" s="4">
        <f t="shared" si="227"/>
        <v>-5.1035736200070244E-9</v>
      </c>
      <c r="L1654" s="4">
        <f t="shared" si="228"/>
        <v>-1.6771728928162468E-9</v>
      </c>
      <c r="M1654" s="4">
        <f t="shared" si="230"/>
        <v>-2.0714879611206732E-9</v>
      </c>
      <c r="N1654" s="5">
        <f t="shared" si="231"/>
        <v>1.4402492982003257E-6</v>
      </c>
      <c r="O1654" s="5">
        <f t="shared" si="232"/>
        <v>2.6063701337469238E-7</v>
      </c>
      <c r="P1654" s="5">
        <f t="shared" si="233"/>
        <v>9.9113688424981963E-8</v>
      </c>
      <c r="Q1654" s="1">
        <f t="shared" si="229"/>
        <v>1.8000000000000001E-6</v>
      </c>
    </row>
    <row r="1655" spans="1:17" x14ac:dyDescent="0.25">
      <c r="A1655" s="1">
        <v>82.65</v>
      </c>
      <c r="B1655" s="1">
        <v>4.2994000000000001E-3</v>
      </c>
      <c r="C1655" s="1">
        <v>1.9424000000000001E-4</v>
      </c>
      <c r="D1655" s="1">
        <v>3.2773999999999998E-2</v>
      </c>
      <c r="E1655" s="1">
        <v>2.4023E-3</v>
      </c>
      <c r="F1655" s="1">
        <v>1.1585E-7</v>
      </c>
      <c r="G1655" s="1">
        <v>6.7103999999999999</v>
      </c>
      <c r="H1655" s="1">
        <v>1.9828E-7</v>
      </c>
      <c r="I1655" s="1">
        <f t="shared" si="225"/>
        <v>1.9828E-7</v>
      </c>
      <c r="J1655" s="4">
        <f t="shared" si="226"/>
        <v>-1.9410078627953734E-9</v>
      </c>
      <c r="K1655" s="4">
        <f t="shared" si="227"/>
        <v>-5.0824217608076574E-9</v>
      </c>
      <c r="L1655" s="4">
        <f t="shared" si="228"/>
        <v>-1.6711260097802541E-9</v>
      </c>
      <c r="M1655" s="4">
        <f t="shared" si="230"/>
        <v>-2.0633834554226923E-9</v>
      </c>
      <c r="N1655" s="5">
        <f t="shared" si="231"/>
        <v>1.4417195860885577E-6</v>
      </c>
      <c r="O1655" s="5">
        <f t="shared" si="232"/>
        <v>2.5955898293210278E-7</v>
      </c>
      <c r="P1655" s="5">
        <f t="shared" si="233"/>
        <v>9.8721430979339519E-8</v>
      </c>
      <c r="Q1655" s="1">
        <f t="shared" si="229"/>
        <v>1.8000000000000001E-6</v>
      </c>
    </row>
    <row r="1656" spans="1:17" x14ac:dyDescent="0.25">
      <c r="A1656" s="1">
        <v>82.7</v>
      </c>
      <c r="B1656" s="1">
        <v>4.2943E-3</v>
      </c>
      <c r="C1656" s="1">
        <v>1.9383000000000001E-4</v>
      </c>
      <c r="D1656" s="1">
        <v>3.2777000000000001E-2</v>
      </c>
      <c r="E1656" s="1">
        <v>2.3963000000000001E-3</v>
      </c>
      <c r="F1656" s="1">
        <v>1.1561E-7</v>
      </c>
      <c r="G1656" s="1">
        <v>6.7103999999999999</v>
      </c>
      <c r="H1656" s="1">
        <v>1.9829000000000001E-7</v>
      </c>
      <c r="I1656" s="1">
        <f t="shared" si="225"/>
        <v>1.9829000000000001E-7</v>
      </c>
      <c r="J1656" s="4">
        <f t="shared" si="226"/>
        <v>-1.9349639347501335E-9</v>
      </c>
      <c r="K1656" s="4">
        <f t="shared" si="227"/>
        <v>-5.0614001671757163E-9</v>
      </c>
      <c r="L1656" s="4">
        <f t="shared" si="228"/>
        <v>-1.6651454484996567E-9</v>
      </c>
      <c r="M1656" s="4">
        <f t="shared" si="230"/>
        <v>-2.0553209601311446E-9</v>
      </c>
      <c r="N1656" s="5">
        <f t="shared" si="231"/>
        <v>1.4431808768724834E-6</v>
      </c>
      <c r="O1656" s="5">
        <f t="shared" si="232"/>
        <v>2.584878676598083E-7</v>
      </c>
      <c r="P1656" s="5">
        <f t="shared" si="233"/>
        <v>9.8331255467708043E-8</v>
      </c>
      <c r="Q1656" s="1">
        <f t="shared" si="229"/>
        <v>1.7999999999999997E-6</v>
      </c>
    </row>
    <row r="1657" spans="1:17" x14ac:dyDescent="0.25">
      <c r="A1657" s="1">
        <v>82.75</v>
      </c>
      <c r="B1657" s="1">
        <v>4.2893000000000002E-3</v>
      </c>
      <c r="C1657" s="1">
        <v>1.9343E-4</v>
      </c>
      <c r="D1657" s="1">
        <v>3.2779999999999997E-2</v>
      </c>
      <c r="E1657" s="1">
        <v>2.3901999999999999E-3</v>
      </c>
      <c r="F1657" s="1">
        <v>1.1538E-7</v>
      </c>
      <c r="G1657" s="1">
        <v>6.7103999999999999</v>
      </c>
      <c r="H1657" s="1">
        <v>1.983E-7</v>
      </c>
      <c r="I1657" s="1">
        <f t="shared" si="225"/>
        <v>1.983E-7</v>
      </c>
      <c r="J1657" s="4">
        <f t="shared" si="226"/>
        <v>-1.9289082381266991E-9</v>
      </c>
      <c r="K1657" s="4">
        <f t="shared" si="227"/>
        <v>-5.0405134193659755E-9</v>
      </c>
      <c r="L1657" s="4">
        <f t="shared" si="228"/>
        <v>-1.659225643607429E-9</v>
      </c>
      <c r="M1657" s="4">
        <f t="shared" si="230"/>
        <v>-2.0473009879025258E-9</v>
      </c>
      <c r="N1657" s="5">
        <f t="shared" si="231"/>
        <v>1.4446332564101152E-6</v>
      </c>
      <c r="O1657" s="5">
        <f t="shared" si="232"/>
        <v>2.5742356346647157E-7</v>
      </c>
      <c r="P1657" s="5">
        <f t="shared" si="233"/>
        <v>9.7943180123412949E-8</v>
      </c>
      <c r="Q1657" s="1">
        <f t="shared" si="229"/>
        <v>1.7999999999999997E-6</v>
      </c>
    </row>
    <row r="1658" spans="1:17" x14ac:dyDescent="0.25">
      <c r="A1658" s="1">
        <v>82.8</v>
      </c>
      <c r="B1658" s="1">
        <v>4.2842999999999996E-3</v>
      </c>
      <c r="C1658" s="1">
        <v>1.9301999999999999E-4</v>
      </c>
      <c r="D1658" s="1">
        <v>3.2781999999999999E-2</v>
      </c>
      <c r="E1658" s="1">
        <v>2.3841999999999999E-3</v>
      </c>
      <c r="F1658" s="1">
        <v>1.1514E-7</v>
      </c>
      <c r="G1658" s="1">
        <v>6.7103000000000002</v>
      </c>
      <c r="H1658" s="1">
        <v>1.9831000000000001E-7</v>
      </c>
      <c r="I1658" s="1">
        <f t="shared" si="225"/>
        <v>1.9831000000000001E-7</v>
      </c>
      <c r="J1658" s="4">
        <f t="shared" si="226"/>
        <v>-1.9231744367675151E-9</v>
      </c>
      <c r="K1658" s="4">
        <f t="shared" si="227"/>
        <v>-5.0197594875959104E-9</v>
      </c>
      <c r="L1658" s="4">
        <f t="shared" si="228"/>
        <v>-1.6533716316398952E-9</v>
      </c>
      <c r="M1658" s="4">
        <f t="shared" si="230"/>
        <v>-2.0393239249395268E-9</v>
      </c>
      <c r="N1658" s="5">
        <f t="shared" si="231"/>
        <v>1.4460764698293036E-6</v>
      </c>
      <c r="O1658" s="5">
        <f t="shared" si="232"/>
        <v>2.5636630234058267E-7</v>
      </c>
      <c r="P1658" s="5">
        <f t="shared" si="233"/>
        <v>9.7557227830113313E-8</v>
      </c>
      <c r="Q1658" s="1">
        <f t="shared" si="229"/>
        <v>1.7999999999999995E-6</v>
      </c>
    </row>
    <row r="1659" spans="1:17" x14ac:dyDescent="0.25">
      <c r="A1659" s="1">
        <v>82.85</v>
      </c>
      <c r="B1659" s="1">
        <v>4.2792000000000004E-3</v>
      </c>
      <c r="C1659" s="1">
        <v>1.9262000000000001E-4</v>
      </c>
      <c r="D1659" s="1">
        <v>3.2785000000000002E-2</v>
      </c>
      <c r="E1659" s="1">
        <v>2.3782E-3</v>
      </c>
      <c r="F1659" s="1">
        <v>1.1491E-7</v>
      </c>
      <c r="G1659" s="1">
        <v>6.7103000000000002</v>
      </c>
      <c r="H1659" s="1">
        <v>1.9831999999999999E-7</v>
      </c>
      <c r="I1659" s="1">
        <f t="shared" si="225"/>
        <v>1.9831999999999999E-7</v>
      </c>
      <c r="J1659" s="4">
        <f t="shared" si="226"/>
        <v>-1.9170953318918762E-9</v>
      </c>
      <c r="K1659" s="4">
        <f t="shared" si="227"/>
        <v>-4.9991428956410781E-9</v>
      </c>
      <c r="L1659" s="4">
        <f t="shared" si="228"/>
        <v>-1.6474349109545715E-9</v>
      </c>
      <c r="M1659" s="4">
        <f t="shared" si="230"/>
        <v>-2.0313902543538106E-9</v>
      </c>
      <c r="N1659" s="5">
        <f t="shared" si="231"/>
        <v>1.4475110824820982E-6</v>
      </c>
      <c r="O1659" s="5">
        <f t="shared" si="232"/>
        <v>2.5531564503118729E-7</v>
      </c>
      <c r="P1659" s="5">
        <f t="shared" si="233"/>
        <v>9.7173272486714065E-8</v>
      </c>
      <c r="Q1659" s="1">
        <f t="shared" si="229"/>
        <v>1.7999999999999997E-6</v>
      </c>
    </row>
    <row r="1660" spans="1:17" x14ac:dyDescent="0.25">
      <c r="A1660" s="1">
        <v>82.9</v>
      </c>
      <c r="B1660" s="1">
        <v>4.2741999999999997E-3</v>
      </c>
      <c r="C1660" s="1">
        <v>1.9222999999999999E-4</v>
      </c>
      <c r="D1660" s="1">
        <v>3.2787999999999998E-2</v>
      </c>
      <c r="E1660" s="1">
        <v>2.3722999999999999E-3</v>
      </c>
      <c r="F1660" s="1">
        <v>1.1468000000000001E-7</v>
      </c>
      <c r="G1660" s="1">
        <v>6.7103000000000002</v>
      </c>
      <c r="H1660" s="1">
        <v>1.9833E-7</v>
      </c>
      <c r="I1660" s="1">
        <f t="shared" si="225"/>
        <v>1.9833E-7</v>
      </c>
      <c r="J1660" s="4">
        <f t="shared" si="226"/>
        <v>-1.9113382311262485E-9</v>
      </c>
      <c r="K1660" s="4">
        <f t="shared" si="227"/>
        <v>-4.9786550781092842E-9</v>
      </c>
      <c r="L1660" s="4">
        <f t="shared" si="228"/>
        <v>-1.6416334533328204E-9</v>
      </c>
      <c r="M1660" s="4">
        <f t="shared" si="230"/>
        <v>-2.0234973569547988E-9</v>
      </c>
      <c r="N1660" s="5">
        <f t="shared" si="231"/>
        <v>1.4489367658757485E-6</v>
      </c>
      <c r="O1660" s="5">
        <f t="shared" si="232"/>
        <v>2.542718255411591E-7</v>
      </c>
      <c r="P1660" s="5">
        <f t="shared" si="233"/>
        <v>9.6791408583092088E-8</v>
      </c>
      <c r="Q1660" s="1">
        <f t="shared" si="229"/>
        <v>1.7999999999999995E-6</v>
      </c>
    </row>
    <row r="1661" spans="1:17" x14ac:dyDescent="0.25">
      <c r="A1661" s="1">
        <v>82.95</v>
      </c>
      <c r="B1661" s="1">
        <v>4.2691999999999999E-3</v>
      </c>
      <c r="C1661" s="1">
        <v>1.9184000000000001E-4</v>
      </c>
      <c r="D1661" s="1">
        <v>3.279E-2</v>
      </c>
      <c r="E1661" s="1">
        <v>2.3663E-3</v>
      </c>
      <c r="F1661" s="1">
        <v>1.1445E-7</v>
      </c>
      <c r="G1661" s="1">
        <v>6.7103000000000002</v>
      </c>
      <c r="H1661" s="1">
        <v>1.9833999999999999E-7</v>
      </c>
      <c r="I1661" s="1">
        <f t="shared" si="225"/>
        <v>1.9833999999999999E-7</v>
      </c>
      <c r="J1661" s="4">
        <f t="shared" si="226"/>
        <v>-1.9055695353862067E-9</v>
      </c>
      <c r="K1661" s="4">
        <f t="shared" si="227"/>
        <v>-4.9583005980523209E-9</v>
      </c>
      <c r="L1661" s="4">
        <f t="shared" si="228"/>
        <v>-1.6358927299011416E-9</v>
      </c>
      <c r="M1661" s="4">
        <f t="shared" si="230"/>
        <v>-2.015647206749774E-9</v>
      </c>
      <c r="N1661" s="5">
        <f t="shared" si="231"/>
        <v>1.4503536042085136E-6</v>
      </c>
      <c r="O1661" s="5">
        <f t="shared" si="232"/>
        <v>2.5323474168524276E-7</v>
      </c>
      <c r="P1661" s="5">
        <f t="shared" si="233"/>
        <v>9.6411654106243454E-8</v>
      </c>
      <c r="Q1661" s="1">
        <f t="shared" si="229"/>
        <v>1.7999999999999999E-6</v>
      </c>
    </row>
    <row r="1662" spans="1:17" x14ac:dyDescent="0.25">
      <c r="A1662" s="1">
        <v>83</v>
      </c>
      <c r="B1662" s="1">
        <v>4.2642000000000001E-3</v>
      </c>
      <c r="C1662" s="1">
        <v>1.9144999999999999E-4</v>
      </c>
      <c r="D1662" s="1">
        <v>3.2793000000000003E-2</v>
      </c>
      <c r="E1662" s="1">
        <v>2.3603999999999999E-3</v>
      </c>
      <c r="F1662" s="1">
        <v>1.1423E-7</v>
      </c>
      <c r="G1662" s="1">
        <v>6.7102000000000004</v>
      </c>
      <c r="H1662" s="1">
        <v>1.9835E-7</v>
      </c>
      <c r="I1662" s="1">
        <f t="shared" si="225"/>
        <v>1.9835E-7</v>
      </c>
      <c r="J1662" s="4">
        <f t="shared" si="226"/>
        <v>-1.8997895416689404E-9</v>
      </c>
      <c r="K1662" s="4">
        <f t="shared" si="227"/>
        <v>-4.9380774628619538E-9</v>
      </c>
      <c r="L1662" s="4">
        <f t="shared" si="228"/>
        <v>-1.6300750343969017E-9</v>
      </c>
      <c r="M1662" s="4">
        <f t="shared" si="230"/>
        <v>-2.0078401849202803E-9</v>
      </c>
      <c r="N1662" s="5">
        <f t="shared" si="231"/>
        <v>1.4517618170953095E-6</v>
      </c>
      <c r="O1662" s="5">
        <f t="shared" si="232"/>
        <v>2.5220429394897003E-7</v>
      </c>
      <c r="P1662" s="5">
        <f t="shared" si="233"/>
        <v>9.6033888955720075E-8</v>
      </c>
      <c r="Q1662" s="1">
        <f t="shared" si="229"/>
        <v>1.7999999999999997E-6</v>
      </c>
    </row>
    <row r="1663" spans="1:17" x14ac:dyDescent="0.25">
      <c r="A1663" s="1">
        <v>83.05</v>
      </c>
      <c r="B1663" s="1">
        <v>4.2592000000000003E-3</v>
      </c>
      <c r="C1663" s="1">
        <v>1.9106E-4</v>
      </c>
      <c r="D1663" s="1">
        <v>3.2795999999999999E-2</v>
      </c>
      <c r="E1663" s="1">
        <v>2.3544E-3</v>
      </c>
      <c r="F1663" s="1">
        <v>1.14E-7</v>
      </c>
      <c r="G1663" s="1">
        <v>6.7102000000000004</v>
      </c>
      <c r="H1663" s="1">
        <v>1.9836000000000001E-7</v>
      </c>
      <c r="I1663" s="1">
        <f t="shared" si="225"/>
        <v>1.9836000000000001E-7</v>
      </c>
      <c r="J1663" s="4">
        <f t="shared" si="226"/>
        <v>-1.8943303762858168E-9</v>
      </c>
      <c r="K1663" s="4">
        <f t="shared" si="227"/>
        <v>-4.9179837320046357E-9</v>
      </c>
      <c r="L1663" s="4">
        <f t="shared" si="228"/>
        <v>-1.6244608503692483E-9</v>
      </c>
      <c r="M1663" s="4">
        <f t="shared" si="230"/>
        <v>-2.0000737968084296E-9</v>
      </c>
      <c r="N1663" s="5">
        <f t="shared" si="231"/>
        <v>1.453161009600659E-6</v>
      </c>
      <c r="O1663" s="5">
        <f t="shared" si="232"/>
        <v>2.5118071439005968E-7</v>
      </c>
      <c r="P1663" s="5">
        <f t="shared" si="233"/>
        <v>9.5658276009280904E-8</v>
      </c>
      <c r="Q1663" s="1">
        <f t="shared" si="229"/>
        <v>1.7999999999999997E-6</v>
      </c>
    </row>
    <row r="1664" spans="1:17" x14ac:dyDescent="0.25">
      <c r="A1664" s="1">
        <v>83.1</v>
      </c>
      <c r="B1664" s="1">
        <v>4.2542999999999999E-3</v>
      </c>
      <c r="C1664" s="1">
        <v>1.9068000000000001E-4</v>
      </c>
      <c r="D1664" s="1">
        <v>3.2798000000000001E-2</v>
      </c>
      <c r="E1664" s="1">
        <v>2.3484999999999999E-3</v>
      </c>
      <c r="F1664" s="1">
        <v>1.1378E-7</v>
      </c>
      <c r="G1664" s="1">
        <v>6.7102000000000004</v>
      </c>
      <c r="H1664" s="1">
        <v>1.9838000000000001E-7</v>
      </c>
      <c r="I1664" s="1">
        <f t="shared" si="225"/>
        <v>1.9838000000000001E-7</v>
      </c>
      <c r="J1664" s="4">
        <f t="shared" si="226"/>
        <v>-1.8885280480769094E-9</v>
      </c>
      <c r="K1664" s="4">
        <f t="shared" si="227"/>
        <v>-4.8980239306058849E-9</v>
      </c>
      <c r="L1664" s="4">
        <f t="shared" si="228"/>
        <v>-1.6186275711428019E-9</v>
      </c>
      <c r="M1664" s="4">
        <f t="shared" si="230"/>
        <v>-1.9923514410659875E-9</v>
      </c>
      <c r="N1664" s="5">
        <f t="shared" si="231"/>
        <v>1.4545518779120453E-6</v>
      </c>
      <c r="O1664" s="5">
        <f t="shared" si="232"/>
        <v>2.5016356994859669E-7</v>
      </c>
      <c r="P1664" s="5">
        <f t="shared" si="233"/>
        <v>9.5284552139357724E-8</v>
      </c>
      <c r="Q1664" s="1">
        <f t="shared" si="229"/>
        <v>1.7999999999999997E-6</v>
      </c>
    </row>
    <row r="1665" spans="1:17" x14ac:dyDescent="0.25">
      <c r="A1665" s="1">
        <v>83.15</v>
      </c>
      <c r="B1665" s="1">
        <v>4.2493000000000001E-3</v>
      </c>
      <c r="C1665" s="1">
        <v>1.9029999999999999E-4</v>
      </c>
      <c r="D1665" s="1">
        <v>3.2800999999999997E-2</v>
      </c>
      <c r="E1665" s="1">
        <v>2.3425999999999998E-3</v>
      </c>
      <c r="F1665" s="1">
        <v>1.1356000000000001E-7</v>
      </c>
      <c r="G1665" s="1">
        <v>6.7102000000000004</v>
      </c>
      <c r="H1665" s="1">
        <v>1.9838999999999999E-7</v>
      </c>
      <c r="I1665" s="1">
        <f t="shared" si="225"/>
        <v>1.9838999999999999E-7</v>
      </c>
      <c r="J1665" s="4">
        <f t="shared" si="226"/>
        <v>-1.8830466283464044E-9</v>
      </c>
      <c r="K1665" s="4">
        <f t="shared" si="227"/>
        <v>-4.8781896139987447E-9</v>
      </c>
      <c r="L1665" s="4">
        <f t="shared" si="228"/>
        <v>-1.6129979150717923E-9</v>
      </c>
      <c r="M1665" s="4">
        <f t="shared" si="230"/>
        <v>-1.9847676926080589E-9</v>
      </c>
      <c r="N1665" s="5">
        <f t="shared" si="231"/>
        <v>1.4559340229826256E-6</v>
      </c>
      <c r="O1665" s="5">
        <f t="shared" si="232"/>
        <v>2.4915319465555238E-7</v>
      </c>
      <c r="P1665" s="5">
        <f t="shared" si="233"/>
        <v>9.4912782361821453E-8</v>
      </c>
      <c r="Q1665" s="1">
        <f t="shared" si="229"/>
        <v>1.7999999999999995E-6</v>
      </c>
    </row>
    <row r="1666" spans="1:17" x14ac:dyDescent="0.25">
      <c r="A1666" s="1">
        <v>83.2</v>
      </c>
      <c r="B1666" s="1">
        <v>4.2443999999999997E-3</v>
      </c>
      <c r="C1666" s="1">
        <v>1.8992E-4</v>
      </c>
      <c r="D1666" s="1">
        <v>3.2804E-2</v>
      </c>
      <c r="E1666" s="1">
        <v>2.3367000000000001E-3</v>
      </c>
      <c r="F1666" s="1">
        <v>1.1333999999999999E-7</v>
      </c>
      <c r="G1666" s="1">
        <v>6.7100999999999997</v>
      </c>
      <c r="H1666" s="1">
        <v>1.984E-7</v>
      </c>
      <c r="I1666" s="1">
        <f t="shared" si="225"/>
        <v>1.984E-7</v>
      </c>
      <c r="J1666" s="4">
        <f t="shared" si="226"/>
        <v>-1.8775541130322372E-9</v>
      </c>
      <c r="K1666" s="4">
        <f t="shared" si="227"/>
        <v>-4.8584872957829954E-9</v>
      </c>
      <c r="L1666" s="4">
        <f t="shared" si="228"/>
        <v>-1.6073605847600975E-9</v>
      </c>
      <c r="M1666" s="4">
        <f t="shared" si="230"/>
        <v>-1.977123423739872E-9</v>
      </c>
      <c r="N1666" s="5">
        <f t="shared" si="231"/>
        <v>1.4573075955806164E-6</v>
      </c>
      <c r="O1666" s="5">
        <f t="shared" si="232"/>
        <v>2.4814938489654154E-7</v>
      </c>
      <c r="P1666" s="5">
        <f t="shared" si="233"/>
        <v>9.4543019522841679E-8</v>
      </c>
      <c r="Q1666" s="1">
        <f t="shared" si="229"/>
        <v>1.7999999999999997E-6</v>
      </c>
    </row>
    <row r="1667" spans="1:17" x14ac:dyDescent="0.25">
      <c r="A1667" s="1">
        <v>83.25</v>
      </c>
      <c r="B1667" s="1">
        <v>4.2393999999999999E-3</v>
      </c>
      <c r="C1667" s="1">
        <v>1.8955E-4</v>
      </c>
      <c r="D1667" s="1">
        <v>3.2806000000000002E-2</v>
      </c>
      <c r="E1667" s="1">
        <v>2.3308999999999999E-3</v>
      </c>
      <c r="F1667" s="1">
        <v>1.1312999999999999E-7</v>
      </c>
      <c r="G1667" s="1">
        <v>6.7100999999999997</v>
      </c>
      <c r="H1667" s="1">
        <v>1.9840999999999999E-7</v>
      </c>
      <c r="I1667" s="1">
        <f t="shared" ref="I1667:I1730" si="234">H1667</f>
        <v>1.9840999999999999E-7</v>
      </c>
      <c r="J1667" s="4">
        <f t="shared" ref="J1667:J1730" si="235">(-$T$4*F1666^2*N1666)*(A1667-A1666)</f>
        <v>-1.8720508668370292E-9</v>
      </c>
      <c r="K1667" s="4">
        <f t="shared" ref="K1667:K1730" si="236">-O1666*$T$7*(A1667-A1666)</f>
        <v>-4.838913005482285E-9</v>
      </c>
      <c r="L1667" s="4">
        <f t="shared" ref="L1667:L1730" si="237">-$T$5*F1666*E1666*(A1667-A1666)*N1666</f>
        <v>-1.6017159194664776E-9</v>
      </c>
      <c r="M1667" s="4">
        <f t="shared" si="230"/>
        <v>-1.969520182699726E-9</v>
      </c>
      <c r="N1667" s="5">
        <f t="shared" si="231"/>
        <v>1.4586727417997954E-6</v>
      </c>
      <c r="O1667" s="5">
        <f t="shared" si="232"/>
        <v>2.4715204294059603E-7</v>
      </c>
      <c r="P1667" s="5">
        <f t="shared" si="233"/>
        <v>9.4175215259608432E-8</v>
      </c>
      <c r="Q1667" s="1">
        <f t="shared" ref="Q1667:Q1730" si="238">N1667+O1667+P1667</f>
        <v>1.7999999999999999E-6</v>
      </c>
    </row>
    <row r="1668" spans="1:17" x14ac:dyDescent="0.25">
      <c r="A1668" s="1">
        <v>83.3</v>
      </c>
      <c r="B1668" s="1">
        <v>4.2345000000000004E-3</v>
      </c>
      <c r="C1668" s="1">
        <v>1.8918E-4</v>
      </c>
      <c r="D1668" s="1">
        <v>3.2808999999999998E-2</v>
      </c>
      <c r="E1668" s="1">
        <v>2.3249999999999998E-3</v>
      </c>
      <c r="F1668" s="1">
        <v>1.1291E-7</v>
      </c>
      <c r="G1668" s="1">
        <v>6.7100999999999997</v>
      </c>
      <c r="H1668" s="1">
        <v>1.9842E-7</v>
      </c>
      <c r="I1668" s="1">
        <f t="shared" si="234"/>
        <v>1.9842E-7</v>
      </c>
      <c r="J1668" s="4">
        <f t="shared" si="235"/>
        <v>-1.8668672696763939E-9</v>
      </c>
      <c r="K1668" s="4">
        <f t="shared" si="236"/>
        <v>-4.8194648373413483E-9</v>
      </c>
      <c r="L1668" s="4">
        <f t="shared" si="237"/>
        <v>-1.5962738277546302E-9</v>
      </c>
      <c r="M1668" s="4">
        <f t="shared" ref="M1668:M1731" si="239">-P1667*$T$8*I1667*(A1668-A1667)</f>
        <v>-1.9619569682640739E-9</v>
      </c>
      <c r="N1668" s="5">
        <f t="shared" ref="N1668:N1731" si="240">N1667+J1668-K1668+L1668</f>
        <v>1.460029065539706E-6</v>
      </c>
      <c r="O1668" s="5">
        <f t="shared" ref="O1668:O1731" si="241">-J1668+O1667+K1668-M1668</f>
        <v>2.4616140234119517E-7</v>
      </c>
      <c r="P1668" s="5">
        <f t="shared" ref="P1668:P1731" si="242">P1667-L1668+M1668</f>
        <v>9.3809532119098987E-8</v>
      </c>
      <c r="Q1668" s="1">
        <f t="shared" si="238"/>
        <v>1.8000000000000001E-6</v>
      </c>
    </row>
    <row r="1669" spans="1:17" x14ac:dyDescent="0.25">
      <c r="A1669" s="1">
        <v>83.35</v>
      </c>
      <c r="B1669" s="1">
        <v>4.2296E-3</v>
      </c>
      <c r="C1669" s="1">
        <v>1.8881E-4</v>
      </c>
      <c r="D1669" s="1">
        <v>3.2812000000000001E-2</v>
      </c>
      <c r="E1669" s="1">
        <v>2.3192E-3</v>
      </c>
      <c r="F1669" s="1">
        <v>1.127E-7</v>
      </c>
      <c r="G1669" s="1">
        <v>6.7100999999999997</v>
      </c>
      <c r="H1669" s="1">
        <v>1.9843000000000001E-7</v>
      </c>
      <c r="I1669" s="1">
        <f t="shared" si="234"/>
        <v>1.9843000000000001E-7</v>
      </c>
      <c r="J1669" s="4">
        <f t="shared" si="235"/>
        <v>-1.86134259729178E-9</v>
      </c>
      <c r="K1669" s="4">
        <f t="shared" si="236"/>
        <v>-4.8001473456530333E-9</v>
      </c>
      <c r="L1669" s="4">
        <f t="shared" si="237"/>
        <v>-1.5906145944220229E-9</v>
      </c>
      <c r="M1669" s="4">
        <f t="shared" si="239"/>
        <v>-1.9544371731224093E-9</v>
      </c>
      <c r="N1669" s="5">
        <f t="shared" si="240"/>
        <v>1.4613772556936453E-6</v>
      </c>
      <c r="O1669" s="5">
        <f t="shared" si="241"/>
        <v>2.4517703476595635E-7</v>
      </c>
      <c r="P1669" s="5">
        <f t="shared" si="242"/>
        <v>9.3445709540398608E-8</v>
      </c>
      <c r="Q1669" s="1">
        <f t="shared" si="238"/>
        <v>1.8000000000000003E-6</v>
      </c>
    </row>
    <row r="1670" spans="1:17" x14ac:dyDescent="0.25">
      <c r="A1670" s="1">
        <v>83.4</v>
      </c>
      <c r="B1670" s="1">
        <v>4.2246999999999996E-3</v>
      </c>
      <c r="C1670" s="1">
        <v>1.8845E-4</v>
      </c>
      <c r="D1670" s="1">
        <v>3.2814000000000003E-2</v>
      </c>
      <c r="E1670" s="1">
        <v>2.3134000000000002E-3</v>
      </c>
      <c r="F1670" s="1">
        <v>1.1249E-7</v>
      </c>
      <c r="G1670" s="1">
        <v>6.7100999999999997</v>
      </c>
      <c r="H1670" s="1">
        <v>1.9844E-7</v>
      </c>
      <c r="I1670" s="1">
        <f t="shared" si="234"/>
        <v>1.9844E-7</v>
      </c>
      <c r="J1670" s="4">
        <f t="shared" si="235"/>
        <v>-1.8561376323973358E-9</v>
      </c>
      <c r="K1670" s="4">
        <f t="shared" si="236"/>
        <v>-4.7809521779372365E-9</v>
      </c>
      <c r="L1670" s="4">
        <f t="shared" si="237"/>
        <v>-1.5851580077889964E-9</v>
      </c>
      <c r="M1670" s="4">
        <f t="shared" si="239"/>
        <v>-1.9469553751310786E-9</v>
      </c>
      <c r="N1670" s="5">
        <f t="shared" si="240"/>
        <v>1.4627169122313962E-6</v>
      </c>
      <c r="O1670" s="5">
        <f t="shared" si="241"/>
        <v>2.4419917559554754E-7</v>
      </c>
      <c r="P1670" s="5">
        <f t="shared" si="242"/>
        <v>9.3083912173056534E-8</v>
      </c>
      <c r="Q1670" s="1">
        <f t="shared" si="238"/>
        <v>1.8000000000000003E-6</v>
      </c>
    </row>
    <row r="1671" spans="1:17" x14ac:dyDescent="0.25">
      <c r="A1671" s="1">
        <v>83.45</v>
      </c>
      <c r="B1671" s="1">
        <v>4.2199000000000004E-3</v>
      </c>
      <c r="C1671" s="1">
        <v>1.8809E-4</v>
      </c>
      <c r="D1671" s="1">
        <v>3.2816999999999999E-2</v>
      </c>
      <c r="E1671" s="1">
        <v>2.3075999999999999E-3</v>
      </c>
      <c r="F1671" s="1">
        <v>1.1228E-7</v>
      </c>
      <c r="G1671" s="1">
        <v>6.71</v>
      </c>
      <c r="H1671" s="1">
        <v>1.9845000000000001E-7</v>
      </c>
      <c r="I1671" s="1">
        <f t="shared" si="234"/>
        <v>1.9845000000000001E-7</v>
      </c>
      <c r="J1671" s="4">
        <f t="shared" si="235"/>
        <v>-1.8509219953646724E-9</v>
      </c>
      <c r="K1671" s="4">
        <f t="shared" si="236"/>
        <v>-4.7618839241129064E-9</v>
      </c>
      <c r="L1671" s="4">
        <f t="shared" si="237"/>
        <v>-1.5796942144117726E-9</v>
      </c>
      <c r="M1671" s="4">
        <f t="shared" si="239"/>
        <v>-1.9395150108201304E-9</v>
      </c>
      <c r="N1671" s="5">
        <f t="shared" si="240"/>
        <v>1.4640481799457329E-6</v>
      </c>
      <c r="O1671" s="5">
        <f t="shared" si="241"/>
        <v>2.4322772867761943E-7</v>
      </c>
      <c r="P1671" s="5">
        <f t="shared" si="242"/>
        <v>9.2724091376648172E-8</v>
      </c>
      <c r="Q1671" s="1">
        <f t="shared" si="238"/>
        <v>1.8000000000000006E-6</v>
      </c>
    </row>
    <row r="1672" spans="1:17" x14ac:dyDescent="0.25">
      <c r="A1672" s="1">
        <v>83.5</v>
      </c>
      <c r="B1672" s="1">
        <v>4.215E-3</v>
      </c>
      <c r="C1672" s="1">
        <v>1.8773999999999999E-4</v>
      </c>
      <c r="D1672" s="1">
        <v>3.2820000000000002E-2</v>
      </c>
      <c r="E1672" s="1">
        <v>2.3018000000000001E-3</v>
      </c>
      <c r="F1672" s="1">
        <v>1.1208E-7</v>
      </c>
      <c r="G1672" s="1">
        <v>6.71</v>
      </c>
      <c r="H1672" s="1">
        <v>1.9845999999999999E-7</v>
      </c>
      <c r="I1672" s="1">
        <f t="shared" si="234"/>
        <v>1.9845999999999999E-7</v>
      </c>
      <c r="J1672" s="4">
        <f t="shared" si="235"/>
        <v>-1.8456960252461728E-9</v>
      </c>
      <c r="K1672" s="4">
        <f t="shared" si="236"/>
        <v>-4.7429407092133097E-9</v>
      </c>
      <c r="L1672" s="4">
        <f t="shared" si="237"/>
        <v>-1.5742235316718009E-9</v>
      </c>
      <c r="M1672" s="4">
        <f t="shared" si="239"/>
        <v>-1.9321150730379522E-9</v>
      </c>
      <c r="N1672" s="5">
        <f t="shared" si="240"/>
        <v>1.4653712010980282E-6</v>
      </c>
      <c r="O1672" s="5">
        <f t="shared" si="241"/>
        <v>2.4226259906669024E-7</v>
      </c>
      <c r="P1672" s="5">
        <f t="shared" si="242"/>
        <v>9.2366199835282021E-8</v>
      </c>
      <c r="Q1672" s="1">
        <f t="shared" si="238"/>
        <v>1.8000000000000006E-6</v>
      </c>
    </row>
    <row r="1673" spans="1:17" x14ac:dyDescent="0.25">
      <c r="A1673" s="1">
        <v>83.55</v>
      </c>
      <c r="B1673" s="1">
        <v>4.2100999999999996E-3</v>
      </c>
      <c r="C1673" s="1">
        <v>1.8738000000000001E-4</v>
      </c>
      <c r="D1673" s="1">
        <v>3.2821999999999997E-2</v>
      </c>
      <c r="E1673" s="1">
        <v>2.2961000000000001E-3</v>
      </c>
      <c r="F1673" s="1">
        <v>1.1187E-7</v>
      </c>
      <c r="G1673" s="1">
        <v>6.71</v>
      </c>
      <c r="H1673" s="1">
        <v>1.9847E-7</v>
      </c>
      <c r="I1673" s="1">
        <f t="shared" si="234"/>
        <v>1.9847E-7</v>
      </c>
      <c r="J1673" s="4">
        <f t="shared" si="235"/>
        <v>-1.8407885176871981E-9</v>
      </c>
      <c r="K1673" s="4">
        <f t="shared" si="236"/>
        <v>-4.7241206818001913E-9</v>
      </c>
      <c r="L1673" s="4">
        <f t="shared" si="237"/>
        <v>-1.5688862501384218E-9</v>
      </c>
      <c r="M1673" s="4">
        <f t="shared" si="239"/>
        <v>-1.9247545820274479E-9</v>
      </c>
      <c r="N1673" s="5">
        <f t="shared" si="240"/>
        <v>1.4666856470120029E-6</v>
      </c>
      <c r="O1673" s="5">
        <f t="shared" si="241"/>
        <v>2.413040214846047E-7</v>
      </c>
      <c r="P1673" s="5">
        <f t="shared" si="242"/>
        <v>9.2010331503393002E-8</v>
      </c>
      <c r="Q1673" s="1">
        <f t="shared" si="238"/>
        <v>1.8000000000000006E-6</v>
      </c>
    </row>
    <row r="1674" spans="1:17" x14ac:dyDescent="0.25">
      <c r="A1674" s="1">
        <v>83.6</v>
      </c>
      <c r="B1674" s="1">
        <v>4.2053000000000004E-3</v>
      </c>
      <c r="C1674" s="1">
        <v>1.8703E-4</v>
      </c>
      <c r="D1674" s="1">
        <v>3.2825E-2</v>
      </c>
      <c r="E1674" s="1">
        <v>2.2902999999999999E-3</v>
      </c>
      <c r="F1674" s="1">
        <v>1.1166999999999999E-7</v>
      </c>
      <c r="G1674" s="1">
        <v>6.71</v>
      </c>
      <c r="H1674" s="1">
        <v>1.9847999999999999E-7</v>
      </c>
      <c r="I1674" s="1">
        <f t="shared" si="234"/>
        <v>1.9847999999999999E-7</v>
      </c>
      <c r="J1674" s="4">
        <f t="shared" si="235"/>
        <v>-1.8355419657063965E-9</v>
      </c>
      <c r="K1674" s="4">
        <f t="shared" si="236"/>
        <v>-4.705428418949524E-9</v>
      </c>
      <c r="L1674" s="4">
        <f t="shared" si="237"/>
        <v>-1.5634700827704118E-9</v>
      </c>
      <c r="M1674" s="4">
        <f t="shared" si="239"/>
        <v>-1.9174355018151239E-9</v>
      </c>
      <c r="N1674" s="5">
        <f t="shared" si="240"/>
        <v>1.4679920633824757E-6</v>
      </c>
      <c r="O1674" s="5">
        <f t="shared" si="241"/>
        <v>2.4035157053317668E-7</v>
      </c>
      <c r="P1674" s="5">
        <f t="shared" si="242"/>
        <v>9.1656366084348296E-8</v>
      </c>
      <c r="Q1674" s="1">
        <f t="shared" si="238"/>
        <v>1.8000000000000006E-6</v>
      </c>
    </row>
    <row r="1675" spans="1:17" x14ac:dyDescent="0.25">
      <c r="A1675" s="1">
        <v>83.65</v>
      </c>
      <c r="B1675" s="1">
        <v>4.2005000000000002E-3</v>
      </c>
      <c r="C1675" s="1">
        <v>1.8667999999999999E-4</v>
      </c>
      <c r="D1675" s="1">
        <v>3.2827000000000002E-2</v>
      </c>
      <c r="E1675" s="1">
        <v>2.2845999999999999E-3</v>
      </c>
      <c r="F1675" s="1">
        <v>1.1147E-7</v>
      </c>
      <c r="G1675" s="1">
        <v>6.7099000000000002</v>
      </c>
      <c r="H1675" s="1">
        <v>1.9849E-7</v>
      </c>
      <c r="I1675" s="1">
        <f t="shared" si="234"/>
        <v>1.9849E-7</v>
      </c>
      <c r="J1675" s="4">
        <f t="shared" si="235"/>
        <v>-1.8306138334084406E-9</v>
      </c>
      <c r="K1675" s="4">
        <f t="shared" si="236"/>
        <v>-4.6868556253980111E-9</v>
      </c>
      <c r="L1675" s="4">
        <f t="shared" si="237"/>
        <v>-1.5581192513673957E-9</v>
      </c>
      <c r="M1675" s="4">
        <f t="shared" si="239"/>
        <v>-1.9101553317446865E-9</v>
      </c>
      <c r="N1675" s="5">
        <f t="shared" si="240"/>
        <v>1.4692901859230979E-6</v>
      </c>
      <c r="O1675" s="5">
        <f t="shared" si="241"/>
        <v>2.3940548407293179E-7</v>
      </c>
      <c r="P1675" s="5">
        <f t="shared" si="242"/>
        <v>9.1304330003970997E-8</v>
      </c>
      <c r="Q1675" s="1">
        <f t="shared" si="238"/>
        <v>1.8000000000000008E-6</v>
      </c>
    </row>
    <row r="1676" spans="1:17" x14ac:dyDescent="0.25">
      <c r="A1676" s="1">
        <v>83.7</v>
      </c>
      <c r="B1676" s="1">
        <v>4.1955999999999999E-3</v>
      </c>
      <c r="C1676" s="1">
        <v>1.8634000000000001E-4</v>
      </c>
      <c r="D1676" s="1">
        <v>3.2829999999999998E-2</v>
      </c>
      <c r="E1676" s="1">
        <v>2.2788000000000001E-3</v>
      </c>
      <c r="F1676" s="1">
        <v>1.1127E-7</v>
      </c>
      <c r="G1676" s="1">
        <v>6.7099000000000002</v>
      </c>
      <c r="H1676" s="1">
        <v>1.9850000000000001E-7</v>
      </c>
      <c r="I1676" s="1">
        <f t="shared" si="234"/>
        <v>1.9850000000000001E-7</v>
      </c>
      <c r="J1676" s="4">
        <f t="shared" si="235"/>
        <v>-1.8256754684958739E-9</v>
      </c>
      <c r="K1676" s="4">
        <f t="shared" si="236"/>
        <v>-4.668406939421905E-9</v>
      </c>
      <c r="L1676" s="4">
        <f t="shared" si="237"/>
        <v>-1.5528297683324253E-9</v>
      </c>
      <c r="M1676" s="4">
        <f t="shared" si="239"/>
        <v>-1.9029146285611534E-9</v>
      </c>
      <c r="N1676" s="5">
        <f t="shared" si="240"/>
        <v>1.4705800876256916E-6</v>
      </c>
      <c r="O1676" s="5">
        <f t="shared" si="241"/>
        <v>2.3846566723056692E-7</v>
      </c>
      <c r="P1676" s="5">
        <f t="shared" si="242"/>
        <v>9.0954245143742282E-8</v>
      </c>
      <c r="Q1676" s="1">
        <f t="shared" si="238"/>
        <v>1.800000000000001E-6</v>
      </c>
    </row>
    <row r="1677" spans="1:17" x14ac:dyDescent="0.25">
      <c r="A1677" s="1">
        <v>83.75</v>
      </c>
      <c r="B1677" s="1">
        <v>4.1907999999999997E-3</v>
      </c>
      <c r="C1677" s="1">
        <v>1.8599999999999999E-4</v>
      </c>
      <c r="D1677" s="1">
        <v>3.2833000000000001E-2</v>
      </c>
      <c r="E1677" s="1">
        <v>2.2731000000000001E-3</v>
      </c>
      <c r="F1677" s="1">
        <v>1.1107E-7</v>
      </c>
      <c r="G1677" s="1">
        <v>6.7099000000000002</v>
      </c>
      <c r="H1677" s="1">
        <v>1.9851E-7</v>
      </c>
      <c r="I1677" s="1">
        <f t="shared" si="234"/>
        <v>1.9851E-7</v>
      </c>
      <c r="J1677" s="4">
        <f t="shared" si="235"/>
        <v>-1.8207271035375786E-9</v>
      </c>
      <c r="K1677" s="4">
        <f t="shared" si="236"/>
        <v>-4.6500805109957908E-9</v>
      </c>
      <c r="L1677" s="4">
        <f t="shared" si="237"/>
        <v>-1.5474658607618362E-9</v>
      </c>
      <c r="M1677" s="4">
        <f t="shared" si="239"/>
        <v>-1.895713854408341E-9</v>
      </c>
      <c r="N1677" s="5">
        <f t="shared" si="240"/>
        <v>1.471861975172388E-6</v>
      </c>
      <c r="O1677" s="5">
        <f t="shared" si="241"/>
        <v>2.3753202767751707E-7</v>
      </c>
      <c r="P1677" s="5">
        <f t="shared" si="242"/>
        <v>9.0605997150095787E-8</v>
      </c>
      <c r="Q1677" s="1">
        <f t="shared" si="238"/>
        <v>1.8000000000000008E-6</v>
      </c>
    </row>
    <row r="1678" spans="1:17" x14ac:dyDescent="0.25">
      <c r="A1678" s="1">
        <v>83.8</v>
      </c>
      <c r="B1678" s="1">
        <v>4.1859999999999996E-3</v>
      </c>
      <c r="C1678" s="1">
        <v>1.8566000000000001E-4</v>
      </c>
      <c r="D1678" s="1">
        <v>3.2835000000000003E-2</v>
      </c>
      <c r="E1678" s="1">
        <v>2.2675E-3</v>
      </c>
      <c r="F1678" s="1">
        <v>1.1087E-7</v>
      </c>
      <c r="G1678" s="1">
        <v>6.7099000000000002</v>
      </c>
      <c r="H1678" s="1">
        <v>1.9852000000000001E-7</v>
      </c>
      <c r="I1678" s="1">
        <f t="shared" si="234"/>
        <v>1.9852000000000001E-7</v>
      </c>
      <c r="J1678" s="4">
        <f t="shared" si="235"/>
        <v>-1.8157691343315818E-9</v>
      </c>
      <c r="K1678" s="4">
        <f t="shared" si="236"/>
        <v>-4.6318745397113194E-9</v>
      </c>
      <c r="L1678" s="4">
        <f t="shared" si="237"/>
        <v>-1.5421637705846622E-9</v>
      </c>
      <c r="M1678" s="4">
        <f t="shared" si="239"/>
        <v>-1.8885506318977717E-9</v>
      </c>
      <c r="N1678" s="5">
        <f t="shared" si="240"/>
        <v>1.473135916807183E-6</v>
      </c>
      <c r="O1678" s="5">
        <f t="shared" si="241"/>
        <v>2.3660447290403513E-7</v>
      </c>
      <c r="P1678" s="5">
        <f t="shared" si="242"/>
        <v>9.0259610288782679E-8</v>
      </c>
      <c r="Q1678" s="1">
        <f t="shared" si="238"/>
        <v>1.800000000000001E-6</v>
      </c>
    </row>
    <row r="1679" spans="1:17" x14ac:dyDescent="0.25">
      <c r="A1679" s="1">
        <v>83.85</v>
      </c>
      <c r="B1679" s="1">
        <v>4.1812000000000004E-3</v>
      </c>
      <c r="C1679" s="1">
        <v>1.8532999999999999E-4</v>
      </c>
      <c r="D1679" s="1">
        <v>3.2837999999999999E-2</v>
      </c>
      <c r="E1679" s="1">
        <v>2.2618E-3</v>
      </c>
      <c r="F1679" s="1">
        <v>1.1068E-7</v>
      </c>
      <c r="G1679" s="1">
        <v>6.7098000000000004</v>
      </c>
      <c r="H1679" s="1">
        <v>1.9852999999999999E-7</v>
      </c>
      <c r="I1679" s="1">
        <f t="shared" si="234"/>
        <v>1.9852999999999999E-7</v>
      </c>
      <c r="J1679" s="4">
        <f t="shared" si="235"/>
        <v>-1.8108017824418211E-9</v>
      </c>
      <c r="K1679" s="4">
        <f t="shared" si="236"/>
        <v>-4.613787221628423E-9</v>
      </c>
      <c r="L1679" s="4">
        <f t="shared" si="237"/>
        <v>-1.5369235251195402E-9</v>
      </c>
      <c r="M1679" s="4">
        <f t="shared" si="239"/>
        <v>-1.8814254726254527E-9</v>
      </c>
      <c r="N1679" s="5">
        <f t="shared" si="240"/>
        <v>1.47440197872125E-6</v>
      </c>
      <c r="O1679" s="5">
        <f t="shared" si="241"/>
        <v>2.3568291293747397E-7</v>
      </c>
      <c r="P1679" s="5">
        <f t="shared" si="242"/>
        <v>8.9915108341276764E-8</v>
      </c>
      <c r="Q1679" s="1">
        <f t="shared" si="238"/>
        <v>1.8000000000000008E-6</v>
      </c>
    </row>
    <row r="1680" spans="1:17" x14ac:dyDescent="0.25">
      <c r="A1680" s="1">
        <v>83.9</v>
      </c>
      <c r="B1680" s="1">
        <v>4.1764999999999997E-3</v>
      </c>
      <c r="C1680" s="1">
        <v>1.8499E-4</v>
      </c>
      <c r="D1680" s="1">
        <v>3.2840000000000001E-2</v>
      </c>
      <c r="E1680" s="1">
        <v>2.2561E-3</v>
      </c>
      <c r="F1680" s="1">
        <v>1.1049000000000001E-7</v>
      </c>
      <c r="G1680" s="1">
        <v>6.7098000000000004</v>
      </c>
      <c r="H1680" s="1">
        <v>1.9854E-7</v>
      </c>
      <c r="I1680" s="1">
        <f t="shared" si="234"/>
        <v>1.9854E-7</v>
      </c>
      <c r="J1680" s="4">
        <f t="shared" si="235"/>
        <v>-1.8061516242022891E-9</v>
      </c>
      <c r="K1680" s="4">
        <f t="shared" si="236"/>
        <v>-4.5958168022817874E-9</v>
      </c>
      <c r="L1680" s="4">
        <f t="shared" si="237"/>
        <v>-1.5317481058932109E-9</v>
      </c>
      <c r="M1680" s="4">
        <f t="shared" si="239"/>
        <v>-1.8743388781947618E-9</v>
      </c>
      <c r="N1680" s="5">
        <f t="shared" si="240"/>
        <v>1.4756598957934365E-6</v>
      </c>
      <c r="O1680" s="5">
        <f t="shared" si="241"/>
        <v>2.3476758663758924E-7</v>
      </c>
      <c r="P1680" s="5">
        <f t="shared" si="242"/>
        <v>8.9572517568975217E-8</v>
      </c>
      <c r="Q1680" s="1">
        <f t="shared" si="238"/>
        <v>1.800000000000001E-6</v>
      </c>
    </row>
    <row r="1681" spans="1:17" x14ac:dyDescent="0.25">
      <c r="A1681" s="1">
        <v>83.95</v>
      </c>
      <c r="B1681" s="1">
        <v>4.1717000000000004E-3</v>
      </c>
      <c r="C1681" s="1">
        <v>1.8466000000000001E-4</v>
      </c>
      <c r="D1681" s="1">
        <v>3.2842999999999997E-2</v>
      </c>
      <c r="E1681" s="1">
        <v>2.2504999999999999E-3</v>
      </c>
      <c r="F1681" s="1">
        <v>1.103E-7</v>
      </c>
      <c r="G1681" s="1">
        <v>6.7098000000000004</v>
      </c>
      <c r="H1681" s="1">
        <v>1.9854999999999999E-7</v>
      </c>
      <c r="I1681" s="1">
        <f t="shared" si="234"/>
        <v>1.9854999999999999E-7</v>
      </c>
      <c r="J1681" s="4">
        <f t="shared" si="235"/>
        <v>-1.8014915181807073E-9</v>
      </c>
      <c r="K1681" s="4">
        <f t="shared" si="236"/>
        <v>-4.5779679394327307E-9</v>
      </c>
      <c r="L1681" s="4">
        <f t="shared" si="237"/>
        <v>-1.5265663687931125E-9</v>
      </c>
      <c r="M1681" s="4">
        <f t="shared" si="239"/>
        <v>-1.8672914020050495E-9</v>
      </c>
      <c r="N1681" s="5">
        <f t="shared" si="240"/>
        <v>1.4769098058458953E-6</v>
      </c>
      <c r="O1681" s="5">
        <f t="shared" si="241"/>
        <v>2.3385840161834226E-7</v>
      </c>
      <c r="P1681" s="5">
        <f t="shared" si="242"/>
        <v>8.9231792535763282E-8</v>
      </c>
      <c r="Q1681" s="1">
        <f t="shared" si="238"/>
        <v>1.8000000000000008E-6</v>
      </c>
    </row>
    <row r="1682" spans="1:17" x14ac:dyDescent="0.25">
      <c r="A1682" s="1">
        <v>84</v>
      </c>
      <c r="B1682" s="1">
        <v>4.1669999999999997E-3</v>
      </c>
      <c r="C1682" s="1">
        <v>1.8433999999999999E-4</v>
      </c>
      <c r="D1682" s="1">
        <v>3.2844999999999999E-2</v>
      </c>
      <c r="E1682" s="1">
        <v>2.2449000000000002E-3</v>
      </c>
      <c r="F1682" s="1">
        <v>1.1011E-7</v>
      </c>
      <c r="G1682" s="1">
        <v>6.7098000000000004</v>
      </c>
      <c r="H1682" s="1">
        <v>1.9856E-7</v>
      </c>
      <c r="I1682" s="1">
        <f t="shared" si="234"/>
        <v>1.9856E-7</v>
      </c>
      <c r="J1682" s="4">
        <f t="shared" si="235"/>
        <v>-1.7968217619802667E-9</v>
      </c>
      <c r="K1682" s="4">
        <f t="shared" si="236"/>
        <v>-4.5602388315574152E-9</v>
      </c>
      <c r="L1682" s="4">
        <f t="shared" si="237"/>
        <v>-1.5214462019625426E-9</v>
      </c>
      <c r="M1682" s="4">
        <f t="shared" si="239"/>
        <v>-1.8602821028373531E-9</v>
      </c>
      <c r="N1682" s="5">
        <f t="shared" si="240"/>
        <v>1.4781517767135099E-6</v>
      </c>
      <c r="O1682" s="5">
        <f t="shared" si="241"/>
        <v>2.3295526665160246E-7</v>
      </c>
      <c r="P1682" s="5">
        <f t="shared" si="242"/>
        <v>8.8892956634888476E-8</v>
      </c>
      <c r="Q1682" s="1">
        <f t="shared" si="238"/>
        <v>1.8000000000000008E-6</v>
      </c>
    </row>
    <row r="1683" spans="1:17" x14ac:dyDescent="0.25">
      <c r="A1683" s="1">
        <v>84.05</v>
      </c>
      <c r="B1683" s="1">
        <v>4.1621999999999996E-3</v>
      </c>
      <c r="C1683" s="1">
        <v>1.8400999999999999E-4</v>
      </c>
      <c r="D1683" s="1">
        <v>3.2848000000000002E-2</v>
      </c>
      <c r="E1683" s="1">
        <v>2.2391999999999998E-3</v>
      </c>
      <c r="F1683" s="1">
        <v>1.0991999999999999E-7</v>
      </c>
      <c r="G1683" s="1">
        <v>6.7096999999999998</v>
      </c>
      <c r="H1683" s="1">
        <v>1.9857000000000001E-7</v>
      </c>
      <c r="I1683" s="1">
        <f t="shared" si="234"/>
        <v>1.9857000000000001E-7</v>
      </c>
      <c r="J1683" s="4">
        <f t="shared" si="235"/>
        <v>-1.7921425656865416E-9</v>
      </c>
      <c r="K1683" s="4">
        <f t="shared" si="236"/>
        <v>-4.5426276997059896E-9</v>
      </c>
      <c r="L1683" s="4">
        <f t="shared" si="237"/>
        <v>-1.5163200898824198E-9</v>
      </c>
      <c r="M1683" s="4">
        <f t="shared" si="239"/>
        <v>-1.8533114742893575E-9</v>
      </c>
      <c r="N1683" s="5">
        <f t="shared" si="240"/>
        <v>1.4793859417576469E-6</v>
      </c>
      <c r="O1683" s="5">
        <f t="shared" si="241"/>
        <v>2.3205809299187237E-7</v>
      </c>
      <c r="P1683" s="5">
        <f t="shared" si="242"/>
        <v>8.8555965250481534E-8</v>
      </c>
      <c r="Q1683" s="1">
        <f t="shared" si="238"/>
        <v>1.8000000000000008E-6</v>
      </c>
    </row>
    <row r="1684" spans="1:17" x14ac:dyDescent="0.25">
      <c r="A1684" s="1">
        <v>84.1</v>
      </c>
      <c r="B1684" s="1">
        <v>4.1574999999999997E-3</v>
      </c>
      <c r="C1684" s="1">
        <v>1.8369E-4</v>
      </c>
      <c r="D1684" s="1">
        <v>3.2849999999999997E-2</v>
      </c>
      <c r="E1684" s="1">
        <v>2.2336000000000001E-3</v>
      </c>
      <c r="F1684" s="1">
        <v>1.0973E-7</v>
      </c>
      <c r="G1684" s="1">
        <v>6.7096999999999998</v>
      </c>
      <c r="H1684" s="1">
        <v>1.9858E-7</v>
      </c>
      <c r="I1684" s="1">
        <f t="shared" si="234"/>
        <v>1.9858E-7</v>
      </c>
      <c r="J1684" s="4">
        <f t="shared" si="235"/>
        <v>-1.7874542170761602E-9</v>
      </c>
      <c r="K1684" s="4">
        <f t="shared" si="236"/>
        <v>-4.5251328133412538E-9</v>
      </c>
      <c r="L1684" s="4">
        <f t="shared" si="237"/>
        <v>-1.5111208200454236E-9</v>
      </c>
      <c r="M1684" s="4">
        <f t="shared" si="239"/>
        <v>-1.8463785920776474E-9</v>
      </c>
      <c r="N1684" s="5">
        <f t="shared" si="240"/>
        <v>1.4806124995338666E-6</v>
      </c>
      <c r="O1684" s="5">
        <f t="shared" si="241"/>
        <v>2.3116679298768492E-7</v>
      </c>
      <c r="P1684" s="5">
        <f t="shared" si="242"/>
        <v>8.8220707478449315E-8</v>
      </c>
      <c r="Q1684" s="1">
        <f t="shared" si="238"/>
        <v>1.800000000000001E-6</v>
      </c>
    </row>
    <row r="1685" spans="1:17" x14ac:dyDescent="0.25">
      <c r="A1685" s="1">
        <v>84.15</v>
      </c>
      <c r="B1685" s="1">
        <v>4.1527999999999999E-3</v>
      </c>
      <c r="C1685" s="1">
        <v>1.8337E-4</v>
      </c>
      <c r="D1685" s="1">
        <v>3.2853E-2</v>
      </c>
      <c r="E1685" s="1">
        <v>2.2280999999999998E-3</v>
      </c>
      <c r="F1685" s="1">
        <v>1.0955E-7</v>
      </c>
      <c r="G1685" s="1">
        <v>6.7096999999999998</v>
      </c>
      <c r="H1685" s="1">
        <v>1.9859000000000001E-7</v>
      </c>
      <c r="I1685" s="1">
        <f t="shared" si="234"/>
        <v>1.9859000000000001E-7</v>
      </c>
      <c r="J1685" s="4">
        <f t="shared" si="235"/>
        <v>-1.7827570798542745E-9</v>
      </c>
      <c r="K1685" s="4">
        <f t="shared" si="236"/>
        <v>-4.5077524632608809E-9</v>
      </c>
      <c r="L1685" s="4">
        <f t="shared" si="237"/>
        <v>-1.5059837588885815E-9</v>
      </c>
      <c r="M1685" s="4">
        <f t="shared" si="239"/>
        <v>-1.8394811495628169E-9</v>
      </c>
      <c r="N1685" s="5">
        <f t="shared" si="240"/>
        <v>1.4818315111583848E-6</v>
      </c>
      <c r="O1685" s="5">
        <f t="shared" si="241"/>
        <v>2.3028127875384114E-7</v>
      </c>
      <c r="P1685" s="5">
        <f t="shared" si="242"/>
        <v>8.7887210087775078E-8</v>
      </c>
      <c r="Q1685" s="1">
        <f t="shared" si="238"/>
        <v>1.800000000000001E-6</v>
      </c>
    </row>
    <row r="1686" spans="1:17" x14ac:dyDescent="0.25">
      <c r="A1686" s="1">
        <v>84.2</v>
      </c>
      <c r="B1686" s="1">
        <v>4.1481000000000001E-3</v>
      </c>
      <c r="C1686" s="1">
        <v>1.8306E-4</v>
      </c>
      <c r="D1686" s="1">
        <v>3.2855000000000002E-2</v>
      </c>
      <c r="E1686" s="1">
        <v>2.2225000000000001E-3</v>
      </c>
      <c r="F1686" s="1">
        <v>1.0935999999999999E-7</v>
      </c>
      <c r="G1686" s="1">
        <v>6.7096999999999998</v>
      </c>
      <c r="H1686" s="1">
        <v>1.9859999999999999E-7</v>
      </c>
      <c r="I1686" s="1">
        <f t="shared" si="234"/>
        <v>1.9859999999999999E-7</v>
      </c>
      <c r="J1686" s="4">
        <f t="shared" si="235"/>
        <v>-1.7783760036291772E-9</v>
      </c>
      <c r="K1686" s="4">
        <f t="shared" si="236"/>
        <v>-4.4904849356996469E-9</v>
      </c>
      <c r="L1686" s="4">
        <f t="shared" si="237"/>
        <v>-1.5010459361750434E-9</v>
      </c>
      <c r="M1686" s="4">
        <f t="shared" si="239"/>
        <v>-1.8326197103896775E-9</v>
      </c>
      <c r="N1686" s="5">
        <f t="shared" si="240"/>
        <v>1.4830425741542802E-6</v>
      </c>
      <c r="O1686" s="5">
        <f t="shared" si="241"/>
        <v>2.2940178953216034E-7</v>
      </c>
      <c r="P1686" s="5">
        <f t="shared" si="242"/>
        <v>8.7555636313560437E-8</v>
      </c>
      <c r="Q1686" s="1">
        <f t="shared" si="238"/>
        <v>1.800000000000001E-6</v>
      </c>
    </row>
    <row r="1687" spans="1:17" x14ac:dyDescent="0.25">
      <c r="A1687" s="1">
        <v>84.25</v>
      </c>
      <c r="B1687" s="1">
        <v>4.1434000000000002E-3</v>
      </c>
      <c r="C1687" s="1">
        <v>1.8274E-4</v>
      </c>
      <c r="D1687" s="1">
        <v>3.2857999999999998E-2</v>
      </c>
      <c r="E1687" s="1">
        <v>2.2168999999999999E-3</v>
      </c>
      <c r="F1687" s="1">
        <v>1.0918E-7</v>
      </c>
      <c r="G1687" s="1">
        <v>6.7096999999999998</v>
      </c>
      <c r="H1687" s="1">
        <v>1.9861E-7</v>
      </c>
      <c r="I1687" s="1">
        <f t="shared" si="234"/>
        <v>1.9861E-7</v>
      </c>
      <c r="J1687" s="4">
        <f t="shared" si="235"/>
        <v>-1.773661020706323E-9</v>
      </c>
      <c r="K1687" s="4">
        <f t="shared" si="236"/>
        <v>-4.4733348958768725E-9</v>
      </c>
      <c r="L1687" s="4">
        <f t="shared" si="237"/>
        <v>-1.4958980172693108E-9</v>
      </c>
      <c r="M1687" s="4">
        <f t="shared" si="239"/>
        <v>-1.8257976840465719E-9</v>
      </c>
      <c r="N1687" s="5">
        <f t="shared" si="240"/>
        <v>1.4842463500121813E-6</v>
      </c>
      <c r="O1687" s="5">
        <f t="shared" si="241"/>
        <v>2.2852791334103634E-7</v>
      </c>
      <c r="P1687" s="5">
        <f t="shared" si="242"/>
        <v>8.7225736646783173E-8</v>
      </c>
      <c r="Q1687" s="1">
        <f t="shared" si="238"/>
        <v>1.8000000000000008E-6</v>
      </c>
    </row>
    <row r="1688" spans="1:17" x14ac:dyDescent="0.25">
      <c r="A1688" s="1">
        <v>84.3</v>
      </c>
      <c r="B1688" s="1">
        <v>4.1387000000000004E-3</v>
      </c>
      <c r="C1688" s="1">
        <v>1.8243E-4</v>
      </c>
      <c r="D1688" s="1">
        <v>3.286E-2</v>
      </c>
      <c r="E1688" s="1">
        <v>2.2114000000000001E-3</v>
      </c>
      <c r="F1688" s="1">
        <v>1.09E-7</v>
      </c>
      <c r="G1688" s="1">
        <v>6.7096</v>
      </c>
      <c r="H1688" s="1">
        <v>1.9861999999999999E-7</v>
      </c>
      <c r="I1688" s="1">
        <f t="shared" si="234"/>
        <v>1.9861999999999999E-7</v>
      </c>
      <c r="J1688" s="4">
        <f t="shared" si="235"/>
        <v>-1.7692620800849942E-9</v>
      </c>
      <c r="K1688" s="4">
        <f t="shared" si="236"/>
        <v>-4.4562943101499551E-9</v>
      </c>
      <c r="L1688" s="4">
        <f t="shared" si="237"/>
        <v>-1.4908820284999775E-9</v>
      </c>
      <c r="M1688" s="4">
        <f t="shared" si="239"/>
        <v>-1.8190098733187453E-9</v>
      </c>
      <c r="N1688" s="5">
        <f t="shared" si="240"/>
        <v>1.4854425002137462E-6</v>
      </c>
      <c r="O1688" s="5">
        <f t="shared" si="241"/>
        <v>2.2765989098429012E-7</v>
      </c>
      <c r="P1688" s="5">
        <f t="shared" si="242"/>
        <v>8.6897608801964411E-8</v>
      </c>
      <c r="Q1688" s="1">
        <f t="shared" si="238"/>
        <v>1.8000000000000008E-6</v>
      </c>
    </row>
    <row r="1689" spans="1:17" x14ac:dyDescent="0.25">
      <c r="A1689" s="1">
        <v>84.35</v>
      </c>
      <c r="B1689" s="1">
        <v>4.1339999999999997E-3</v>
      </c>
      <c r="C1689" s="1">
        <v>1.8212E-4</v>
      </c>
      <c r="D1689" s="1">
        <v>3.2863000000000003E-2</v>
      </c>
      <c r="E1689" s="1">
        <v>2.2058999999999998E-3</v>
      </c>
      <c r="F1689" s="1">
        <v>1.0882E-7</v>
      </c>
      <c r="G1689" s="1">
        <v>6.7096</v>
      </c>
      <c r="H1689" s="1">
        <v>1.9861999999999999E-7</v>
      </c>
      <c r="I1689" s="1">
        <f t="shared" si="234"/>
        <v>1.9861999999999999E-7</v>
      </c>
      <c r="J1689" s="4">
        <f t="shared" si="235"/>
        <v>-1.7648542345038514E-9</v>
      </c>
      <c r="K1689" s="4">
        <f t="shared" si="236"/>
        <v>-4.4393678741934057E-9</v>
      </c>
      <c r="L1689" s="4">
        <f t="shared" si="237"/>
        <v>-1.4859279279683068E-9</v>
      </c>
      <c r="M1689" s="4">
        <f t="shared" si="239"/>
        <v>-1.812258321325745E-9</v>
      </c>
      <c r="N1689" s="5">
        <f t="shared" si="240"/>
        <v>1.4866310859254674E-6</v>
      </c>
      <c r="O1689" s="5">
        <f t="shared" si="241"/>
        <v>2.2679763566592628E-7</v>
      </c>
      <c r="P1689" s="5">
        <f t="shared" si="242"/>
        <v>8.6571278408606977E-8</v>
      </c>
      <c r="Q1689" s="1">
        <f t="shared" si="238"/>
        <v>1.8000000000000006E-6</v>
      </c>
    </row>
    <row r="1690" spans="1:17" x14ac:dyDescent="0.25">
      <c r="A1690" s="1">
        <v>84.4</v>
      </c>
      <c r="B1690" s="1">
        <v>4.1294000000000001E-3</v>
      </c>
      <c r="C1690" s="1">
        <v>1.8181999999999999E-4</v>
      </c>
      <c r="D1690" s="1">
        <v>3.2864999999999998E-2</v>
      </c>
      <c r="E1690" s="1">
        <v>2.2003999999999999E-3</v>
      </c>
      <c r="F1690" s="1">
        <v>1.0865E-7</v>
      </c>
      <c r="G1690" s="1">
        <v>6.7096</v>
      </c>
      <c r="H1690" s="1">
        <v>1.9863E-7</v>
      </c>
      <c r="I1690" s="1">
        <f t="shared" si="234"/>
        <v>1.9863E-7</v>
      </c>
      <c r="J1690" s="4">
        <f t="shared" si="235"/>
        <v>-1.7604376694919952E-9</v>
      </c>
      <c r="K1690" s="4">
        <f t="shared" si="236"/>
        <v>-4.4225538954865686E-9</v>
      </c>
      <c r="L1690" s="4">
        <f t="shared" si="237"/>
        <v>-1.4809685938981275E-9</v>
      </c>
      <c r="M1690" s="4">
        <f t="shared" si="239"/>
        <v>-1.8054526683397496E-9</v>
      </c>
      <c r="N1690" s="5">
        <f t="shared" si="240"/>
        <v>1.4878122335575639E-6</v>
      </c>
      <c r="O1690" s="5">
        <f t="shared" si="241"/>
        <v>2.2594097210827146E-7</v>
      </c>
      <c r="P1690" s="5">
        <f t="shared" si="242"/>
        <v>8.6246794334165362E-8</v>
      </c>
      <c r="Q1690" s="1">
        <f t="shared" si="238"/>
        <v>1.8000000000000006E-6</v>
      </c>
    </row>
    <row r="1691" spans="1:17" x14ac:dyDescent="0.25">
      <c r="A1691" s="1">
        <v>84.45</v>
      </c>
      <c r="B1691" s="1">
        <v>4.1247000000000002E-3</v>
      </c>
      <c r="C1691" s="1">
        <v>1.8150999999999999E-4</v>
      </c>
      <c r="D1691" s="1">
        <v>3.2868000000000001E-2</v>
      </c>
      <c r="E1691" s="1">
        <v>2.1949000000000001E-3</v>
      </c>
      <c r="F1691" s="1">
        <v>1.0847E-7</v>
      </c>
      <c r="G1691" s="1">
        <v>6.7096</v>
      </c>
      <c r="H1691" s="1">
        <v>1.9864000000000001E-7</v>
      </c>
      <c r="I1691" s="1">
        <f t="shared" si="234"/>
        <v>1.9864000000000001E-7</v>
      </c>
      <c r="J1691" s="4">
        <f t="shared" si="235"/>
        <v>-1.7563359330474585E-9</v>
      </c>
      <c r="K1691" s="4">
        <f t="shared" si="236"/>
        <v>-4.405848956111043E-9</v>
      </c>
      <c r="L1691" s="4">
        <f t="shared" si="237"/>
        <v>-1.4761401368036958E-9</v>
      </c>
      <c r="M1691" s="4">
        <f t="shared" si="239"/>
        <v>-1.7987760796524007E-9</v>
      </c>
      <c r="N1691" s="5">
        <f t="shared" si="240"/>
        <v>1.4889856064438238E-6</v>
      </c>
      <c r="O1691" s="5">
        <f t="shared" si="241"/>
        <v>2.2509023516486026E-7</v>
      </c>
      <c r="P1691" s="5">
        <f t="shared" si="242"/>
        <v>8.5924158391316661E-8</v>
      </c>
      <c r="Q1691" s="1">
        <f t="shared" si="238"/>
        <v>1.8000000000000006E-6</v>
      </c>
    </row>
    <row r="1692" spans="1:17" x14ac:dyDescent="0.25">
      <c r="A1692" s="1">
        <v>84.5</v>
      </c>
      <c r="B1692" s="1">
        <v>4.1200999999999998E-3</v>
      </c>
      <c r="C1692" s="1">
        <v>1.8121000000000001E-4</v>
      </c>
      <c r="D1692" s="1">
        <v>3.2870000000000003E-2</v>
      </c>
      <c r="E1692" s="1">
        <v>2.1894000000000002E-3</v>
      </c>
      <c r="F1692" s="1">
        <v>1.083E-7</v>
      </c>
      <c r="G1692" s="1">
        <v>6.7095000000000002</v>
      </c>
      <c r="H1692" s="1">
        <v>1.9865E-7</v>
      </c>
      <c r="I1692" s="1">
        <f t="shared" si="234"/>
        <v>1.9865E-7</v>
      </c>
      <c r="J1692" s="4">
        <f t="shared" si="235"/>
        <v>-1.7519018849246409E-9</v>
      </c>
      <c r="K1692" s="4">
        <f t="shared" si="236"/>
        <v>-4.389259585714526E-9</v>
      </c>
      <c r="L1692" s="4">
        <f t="shared" si="237"/>
        <v>-1.4711703886759048E-9</v>
      </c>
      <c r="M1692" s="4">
        <f t="shared" si="239"/>
        <v>-1.7921373563992681E-9</v>
      </c>
      <c r="N1692" s="5">
        <f t="shared" si="240"/>
        <v>1.490151793755938E-6</v>
      </c>
      <c r="O1692" s="5">
        <f t="shared" si="241"/>
        <v>2.2424501482046963E-7</v>
      </c>
      <c r="P1692" s="5">
        <f t="shared" si="242"/>
        <v>8.5603191423593296E-8</v>
      </c>
      <c r="Q1692" s="1">
        <f t="shared" si="238"/>
        <v>1.800000000000001E-6</v>
      </c>
    </row>
    <row r="1693" spans="1:17" x14ac:dyDescent="0.25">
      <c r="A1693" s="1">
        <v>84.55</v>
      </c>
      <c r="B1693" s="1">
        <v>4.1154E-3</v>
      </c>
      <c r="C1693" s="1">
        <v>1.8092E-4</v>
      </c>
      <c r="D1693" s="1">
        <v>3.2872999999999999E-2</v>
      </c>
      <c r="E1693" s="1">
        <v>2.1838999999999999E-3</v>
      </c>
      <c r="F1693" s="1">
        <v>1.0813E-7</v>
      </c>
      <c r="G1693" s="1">
        <v>6.7095000000000002</v>
      </c>
      <c r="H1693" s="1">
        <v>1.9866000000000001E-7</v>
      </c>
      <c r="I1693" s="1">
        <f t="shared" si="234"/>
        <v>1.9866000000000001E-7</v>
      </c>
      <c r="J1693" s="4">
        <f t="shared" si="235"/>
        <v>-1.7477826472265089E-9</v>
      </c>
      <c r="K1693" s="4">
        <f t="shared" si="236"/>
        <v>-4.372777788998909E-9</v>
      </c>
      <c r="L1693" s="4">
        <f t="shared" si="237"/>
        <v>-1.4663315429849061E-9</v>
      </c>
      <c r="M1693" s="4">
        <f t="shared" si="239"/>
        <v>-1.7855327675110632E-9</v>
      </c>
      <c r="N1693" s="5">
        <f t="shared" si="240"/>
        <v>1.4913104573547255E-6</v>
      </c>
      <c r="O1693" s="5">
        <f t="shared" si="241"/>
        <v>2.234055524462083E-7</v>
      </c>
      <c r="P1693" s="5">
        <f t="shared" si="242"/>
        <v>8.528399019906713E-8</v>
      </c>
      <c r="Q1693" s="1">
        <f t="shared" si="238"/>
        <v>1.800000000000001E-6</v>
      </c>
    </row>
    <row r="1694" spans="1:17" x14ac:dyDescent="0.25">
      <c r="A1694" s="1">
        <v>84.6</v>
      </c>
      <c r="B1694" s="1">
        <v>4.1108000000000004E-3</v>
      </c>
      <c r="C1694" s="1">
        <v>1.8061999999999999E-4</v>
      </c>
      <c r="D1694" s="1">
        <v>3.2875000000000001E-2</v>
      </c>
      <c r="E1694" s="1">
        <v>2.1784999999999999E-3</v>
      </c>
      <c r="F1694" s="1">
        <v>1.0796E-7</v>
      </c>
      <c r="G1694" s="1">
        <v>6.7095000000000002</v>
      </c>
      <c r="H1694" s="1">
        <v>1.9866999999999999E-7</v>
      </c>
      <c r="I1694" s="1">
        <f t="shared" si="234"/>
        <v>1.9866999999999999E-7</v>
      </c>
      <c r="J1694" s="4">
        <f t="shared" si="235"/>
        <v>-1.7436546375373779E-9</v>
      </c>
      <c r="K1694" s="4">
        <f t="shared" si="236"/>
        <v>-4.3564082727008144E-9</v>
      </c>
      <c r="L1694" s="4">
        <f t="shared" si="237"/>
        <v>-1.4614875202172569E-9</v>
      </c>
      <c r="M1694" s="4">
        <f t="shared" si="239"/>
        <v>-1.7789643367592998E-9</v>
      </c>
      <c r="N1694" s="5">
        <f t="shared" si="240"/>
        <v>1.4924617234696716E-6</v>
      </c>
      <c r="O1694" s="5">
        <f t="shared" si="241"/>
        <v>2.2257176314780416E-7</v>
      </c>
      <c r="P1694" s="5">
        <f t="shared" si="242"/>
        <v>8.4966513382525084E-8</v>
      </c>
      <c r="Q1694" s="1">
        <f t="shared" si="238"/>
        <v>1.800000000000001E-6</v>
      </c>
    </row>
    <row r="1695" spans="1:17" x14ac:dyDescent="0.25">
      <c r="A1695" s="1">
        <v>84.65</v>
      </c>
      <c r="B1695" s="1">
        <v>4.1062E-3</v>
      </c>
      <c r="C1695" s="1">
        <v>1.8033E-4</v>
      </c>
      <c r="D1695" s="1">
        <v>3.2877999999999998E-2</v>
      </c>
      <c r="E1695" s="1">
        <v>2.173E-3</v>
      </c>
      <c r="F1695" s="1">
        <v>1.0779E-7</v>
      </c>
      <c r="G1695" s="1">
        <v>6.7095000000000002</v>
      </c>
      <c r="H1695" s="1">
        <v>1.9868E-7</v>
      </c>
      <c r="I1695" s="1">
        <f t="shared" si="234"/>
        <v>1.9868E-7</v>
      </c>
      <c r="J1695" s="4">
        <f t="shared" si="235"/>
        <v>-1.7395181061202182E-9</v>
      </c>
      <c r="K1695" s="4">
        <f t="shared" si="236"/>
        <v>-4.3401493813831679E-9</v>
      </c>
      <c r="L1695" s="4">
        <f t="shared" si="237"/>
        <v>-1.4567054284789751E-9</v>
      </c>
      <c r="M1695" s="4">
        <f t="shared" si="239"/>
        <v>-1.7724312074395603E-9</v>
      </c>
      <c r="N1695" s="5">
        <f t="shared" si="240"/>
        <v>1.4936056493164556E-6</v>
      </c>
      <c r="O1695" s="5">
        <f t="shared" si="241"/>
        <v>2.2174356307998077E-7</v>
      </c>
      <c r="P1695" s="5">
        <f t="shared" si="242"/>
        <v>8.46507876035645E-8</v>
      </c>
      <c r="Q1695" s="1">
        <f t="shared" si="238"/>
        <v>1.8000000000000008E-6</v>
      </c>
    </row>
    <row r="1696" spans="1:17" x14ac:dyDescent="0.25">
      <c r="A1696" s="1">
        <v>84.7</v>
      </c>
      <c r="B1696" s="1">
        <v>4.1016000000000004E-3</v>
      </c>
      <c r="C1696" s="1">
        <v>1.8003999999999999E-4</v>
      </c>
      <c r="D1696" s="1">
        <v>3.288E-2</v>
      </c>
      <c r="E1696" s="1">
        <v>2.1676E-3</v>
      </c>
      <c r="F1696" s="1">
        <v>1.0761999999999999E-7</v>
      </c>
      <c r="G1696" s="1">
        <v>6.7095000000000002</v>
      </c>
      <c r="H1696" s="1">
        <v>1.9868999999999999E-7</v>
      </c>
      <c r="I1696" s="1">
        <f t="shared" si="234"/>
        <v>1.9868999999999999E-7</v>
      </c>
      <c r="J1696" s="4">
        <f t="shared" si="235"/>
        <v>-1.735373220938229E-9</v>
      </c>
      <c r="K1696" s="4">
        <f t="shared" si="236"/>
        <v>-4.3239994800593797E-9</v>
      </c>
      <c r="L1696" s="4">
        <f t="shared" si="237"/>
        <v>-1.4518516502235739E-9</v>
      </c>
      <c r="M1696" s="4">
        <f t="shared" si="239"/>
        <v>-1.7659339405129001E-9</v>
      </c>
      <c r="N1696" s="5">
        <f t="shared" si="240"/>
        <v>1.4947424239253531E-6</v>
      </c>
      <c r="O1696" s="5">
        <f t="shared" si="241"/>
        <v>2.2092087076137253E-7</v>
      </c>
      <c r="P1696" s="5">
        <f t="shared" si="242"/>
        <v>8.4336705313275173E-8</v>
      </c>
      <c r="Q1696" s="1">
        <f t="shared" si="238"/>
        <v>1.8000000000000008E-6</v>
      </c>
    </row>
    <row r="1697" spans="1:17" x14ac:dyDescent="0.25">
      <c r="A1697" s="1">
        <v>84.75</v>
      </c>
      <c r="B1697" s="1">
        <v>4.0971000000000002E-3</v>
      </c>
      <c r="C1697" s="1">
        <v>1.7975000000000001E-4</v>
      </c>
      <c r="D1697" s="1">
        <v>3.2883000000000003E-2</v>
      </c>
      <c r="E1697" s="1">
        <v>2.1622E-3</v>
      </c>
      <c r="F1697" s="1">
        <v>1.0745E-7</v>
      </c>
      <c r="G1697" s="1">
        <v>6.7093999999999996</v>
      </c>
      <c r="H1697" s="1">
        <v>1.987E-7</v>
      </c>
      <c r="I1697" s="1">
        <f t="shared" si="234"/>
        <v>1.987E-7</v>
      </c>
      <c r="J1697" s="4">
        <f t="shared" si="235"/>
        <v>-1.7312203015314555E-9</v>
      </c>
      <c r="K1697" s="4">
        <f t="shared" si="236"/>
        <v>-4.3079569798465194E-9</v>
      </c>
      <c r="L1697" s="4">
        <f t="shared" si="237"/>
        <v>-1.4470601627242396E-9</v>
      </c>
      <c r="M1697" s="4">
        <f t="shared" si="239"/>
        <v>-1.7594702977628377E-9</v>
      </c>
      <c r="N1697" s="5">
        <f t="shared" si="240"/>
        <v>1.4958721004409439E-6</v>
      </c>
      <c r="O1697" s="5">
        <f t="shared" si="241"/>
        <v>2.2010360438082031E-7</v>
      </c>
      <c r="P1697" s="5">
        <f t="shared" si="242"/>
        <v>8.4024295178236587E-8</v>
      </c>
      <c r="Q1697" s="1">
        <f t="shared" si="238"/>
        <v>1.8000000000000008E-6</v>
      </c>
    </row>
    <row r="1698" spans="1:17" x14ac:dyDescent="0.25">
      <c r="A1698" s="1">
        <v>84.8</v>
      </c>
      <c r="B1698" s="1">
        <v>4.0924999999999998E-3</v>
      </c>
      <c r="C1698" s="1">
        <v>1.7946999999999999E-4</v>
      </c>
      <c r="D1698" s="1">
        <v>3.2884999999999998E-2</v>
      </c>
      <c r="E1698" s="1">
        <v>2.1567999999999999E-3</v>
      </c>
      <c r="F1698" s="1">
        <v>1.0729E-7</v>
      </c>
      <c r="G1698" s="1">
        <v>6.7093999999999996</v>
      </c>
      <c r="H1698" s="1">
        <v>1.9871000000000001E-7</v>
      </c>
      <c r="I1698" s="1">
        <f t="shared" si="234"/>
        <v>1.9871000000000001E-7</v>
      </c>
      <c r="J1698" s="4">
        <f t="shared" si="235"/>
        <v>-1.7270595075320185E-9</v>
      </c>
      <c r="K1698" s="4">
        <f t="shared" si="236"/>
        <v>-4.2920202854257521E-9</v>
      </c>
      <c r="L1698" s="4">
        <f t="shared" si="237"/>
        <v>-1.4422642604765738E-9</v>
      </c>
      <c r="M1698" s="4">
        <f t="shared" si="239"/>
        <v>-1.7530408824510393E-9</v>
      </c>
      <c r="N1698" s="5">
        <f t="shared" si="240"/>
        <v>1.496994796958361E-6</v>
      </c>
      <c r="O1698" s="5">
        <f t="shared" si="241"/>
        <v>2.1929168448537761E-7</v>
      </c>
      <c r="P1698" s="5">
        <f t="shared" si="242"/>
        <v>8.371351855626213E-8</v>
      </c>
      <c r="Q1698" s="1">
        <f t="shared" si="238"/>
        <v>1.8000000000000008E-6</v>
      </c>
    </row>
    <row r="1699" spans="1:17" x14ac:dyDescent="0.25">
      <c r="A1699" s="1">
        <v>84.85</v>
      </c>
      <c r="B1699" s="1">
        <v>4.0879000000000002E-3</v>
      </c>
      <c r="C1699" s="1">
        <v>1.7918E-4</v>
      </c>
      <c r="D1699" s="1">
        <v>3.2887E-2</v>
      </c>
      <c r="E1699" s="1">
        <v>2.1513999999999999E-3</v>
      </c>
      <c r="F1699" s="1">
        <v>1.0712E-7</v>
      </c>
      <c r="G1699" s="1">
        <v>6.7093999999999996</v>
      </c>
      <c r="H1699" s="1">
        <v>1.9872E-7</v>
      </c>
      <c r="I1699" s="1">
        <f t="shared" si="234"/>
        <v>1.9872E-7</v>
      </c>
      <c r="J1699" s="4">
        <f t="shared" si="235"/>
        <v>-1.7232122824736957E-9</v>
      </c>
      <c r="K1699" s="4">
        <f t="shared" si="236"/>
        <v>-4.2761878474646203E-9</v>
      </c>
      <c r="L1699" s="4">
        <f t="shared" si="237"/>
        <v>-1.4375981583542695E-9</v>
      </c>
      <c r="M1699" s="4">
        <f t="shared" si="239"/>
        <v>-1.7466448935929596E-9</v>
      </c>
      <c r="N1699" s="5">
        <f t="shared" si="240"/>
        <v>1.4981101743649977E-6</v>
      </c>
      <c r="O1699" s="5">
        <f t="shared" si="241"/>
        <v>2.1848535381397965E-7</v>
      </c>
      <c r="P1699" s="5">
        <f t="shared" si="242"/>
        <v>8.3404471821023436E-8</v>
      </c>
      <c r="Q1699" s="1">
        <f t="shared" si="238"/>
        <v>1.8000000000000008E-6</v>
      </c>
    </row>
    <row r="1700" spans="1:17" x14ac:dyDescent="0.25">
      <c r="A1700" s="1">
        <v>84.9</v>
      </c>
      <c r="B1700" s="1">
        <v>4.0834000000000001E-3</v>
      </c>
      <c r="C1700" s="1">
        <v>1.7890000000000001E-4</v>
      </c>
      <c r="D1700" s="1">
        <v>3.2890000000000003E-2</v>
      </c>
      <c r="E1700" s="1">
        <v>2.1461000000000002E-3</v>
      </c>
      <c r="F1700" s="1">
        <v>1.0696E-7</v>
      </c>
      <c r="G1700" s="1">
        <v>6.7093999999999996</v>
      </c>
      <c r="H1700" s="1">
        <v>1.9873000000000001E-7</v>
      </c>
      <c r="I1700" s="1">
        <f t="shared" si="234"/>
        <v>1.9873000000000001E-7</v>
      </c>
      <c r="J1700" s="4">
        <f t="shared" si="235"/>
        <v>-1.7190356428372968E-9</v>
      </c>
      <c r="K1700" s="4">
        <f t="shared" si="236"/>
        <v>-4.2604643993735726E-9</v>
      </c>
      <c r="L1700" s="4">
        <f t="shared" si="237"/>
        <v>-1.4327934204911003E-9</v>
      </c>
      <c r="M1700" s="4">
        <f t="shared" si="239"/>
        <v>-1.7402843472291423E-9</v>
      </c>
      <c r="N1700" s="5">
        <f t="shared" si="240"/>
        <v>1.4992188097010429E-6</v>
      </c>
      <c r="O1700" s="5">
        <f t="shared" si="241"/>
        <v>2.1768420940467253E-7</v>
      </c>
      <c r="P1700" s="5">
        <f t="shared" si="242"/>
        <v>8.3096980894285395E-8</v>
      </c>
      <c r="Q1700" s="1">
        <f t="shared" si="238"/>
        <v>1.800000000000001E-6</v>
      </c>
    </row>
    <row r="1701" spans="1:17" x14ac:dyDescent="0.25">
      <c r="A1701" s="1">
        <v>84.95</v>
      </c>
      <c r="B1701" s="1">
        <v>4.0788999999999999E-3</v>
      </c>
      <c r="C1701" s="1">
        <v>1.7862999999999999E-4</v>
      </c>
      <c r="D1701" s="1">
        <v>3.2891999999999998E-2</v>
      </c>
      <c r="E1701" s="1">
        <v>2.1407000000000002E-3</v>
      </c>
      <c r="F1701" s="1">
        <v>1.068E-7</v>
      </c>
      <c r="G1701" s="1">
        <v>6.7092999999999998</v>
      </c>
      <c r="H1701" s="1">
        <v>1.9873999999999999E-7</v>
      </c>
      <c r="I1701" s="1">
        <f t="shared" si="234"/>
        <v>1.9873999999999999E-7</v>
      </c>
      <c r="J1701" s="4">
        <f t="shared" si="235"/>
        <v>-1.715172523800532E-9</v>
      </c>
      <c r="K1701" s="4">
        <f t="shared" si="236"/>
        <v>-4.2448420833908728E-9</v>
      </c>
      <c r="L1701" s="4">
        <f t="shared" si="237"/>
        <v>-1.4281850015251063E-9</v>
      </c>
      <c r="M1701" s="4">
        <f t="shared" si="239"/>
        <v>-1.7339556163776417E-9</v>
      </c>
      <c r="N1701" s="5">
        <f t="shared" si="240"/>
        <v>1.5003202942591082E-6</v>
      </c>
      <c r="O1701" s="5">
        <f t="shared" si="241"/>
        <v>2.1688849546145984E-7</v>
      </c>
      <c r="P1701" s="5">
        <f t="shared" si="242"/>
        <v>8.2791210279432858E-8</v>
      </c>
      <c r="Q1701" s="1">
        <f t="shared" si="238"/>
        <v>1.800000000000001E-6</v>
      </c>
    </row>
    <row r="1702" spans="1:17" x14ac:dyDescent="0.25">
      <c r="A1702" s="1">
        <v>85</v>
      </c>
      <c r="B1702" s="1">
        <v>4.0743000000000003E-3</v>
      </c>
      <c r="C1702" s="1">
        <v>1.7835E-4</v>
      </c>
      <c r="D1702" s="1">
        <v>3.2895000000000001E-2</v>
      </c>
      <c r="E1702" s="1">
        <v>2.1354E-3</v>
      </c>
      <c r="F1702" s="1">
        <v>1.0663999999999999E-7</v>
      </c>
      <c r="G1702" s="1">
        <v>6.7092999999999998</v>
      </c>
      <c r="H1702" s="1">
        <v>1.9875E-7</v>
      </c>
      <c r="I1702" s="1">
        <f t="shared" si="234"/>
        <v>1.9875E-7</v>
      </c>
      <c r="J1702" s="4">
        <f t="shared" si="235"/>
        <v>-1.7113013353189039E-9</v>
      </c>
      <c r="K1702" s="4">
        <f t="shared" si="236"/>
        <v>-4.2293256614982272E-9</v>
      </c>
      <c r="L1702" s="4">
        <f t="shared" si="237"/>
        <v>-1.4235054765305513E-9</v>
      </c>
      <c r="M1702" s="4">
        <f t="shared" si="239"/>
        <v>-1.7276621387480227E-9</v>
      </c>
      <c r="N1702" s="5">
        <f t="shared" si="240"/>
        <v>1.5014148131087571E-6</v>
      </c>
      <c r="O1702" s="5">
        <f t="shared" si="241"/>
        <v>2.1609813327402851E-7</v>
      </c>
      <c r="P1702" s="5">
        <f t="shared" si="242"/>
        <v>8.2487053617215382E-8</v>
      </c>
      <c r="Q1702" s="1">
        <f t="shared" si="238"/>
        <v>1.800000000000001E-6</v>
      </c>
    </row>
    <row r="1703" spans="1:17" x14ac:dyDescent="0.25">
      <c r="A1703" s="1">
        <v>85.05</v>
      </c>
      <c r="B1703" s="1">
        <v>4.0698000000000002E-3</v>
      </c>
      <c r="C1703" s="1">
        <v>1.7808E-4</v>
      </c>
      <c r="D1703" s="1">
        <v>3.2897000000000003E-2</v>
      </c>
      <c r="E1703" s="1">
        <v>2.1300999999999998E-3</v>
      </c>
      <c r="F1703" s="1">
        <v>1.0648E-7</v>
      </c>
      <c r="G1703" s="1">
        <v>6.7092999999999998</v>
      </c>
      <c r="H1703" s="1">
        <v>1.9875999999999999E-7</v>
      </c>
      <c r="I1703" s="1">
        <f t="shared" si="234"/>
        <v>1.9875999999999999E-7</v>
      </c>
      <c r="J1703" s="4">
        <f t="shared" si="235"/>
        <v>-1.7074223781439067E-9</v>
      </c>
      <c r="K1703" s="4">
        <f t="shared" si="236"/>
        <v>-4.2139135988433164E-9</v>
      </c>
      <c r="L1703" s="4">
        <f t="shared" si="237"/>
        <v>-1.4188881702079211E-9</v>
      </c>
      <c r="M1703" s="4">
        <f t="shared" si="239"/>
        <v>-1.7214017001741656E-9</v>
      </c>
      <c r="N1703" s="5">
        <f t="shared" si="240"/>
        <v>1.5025024161592486E-6</v>
      </c>
      <c r="O1703" s="5">
        <f t="shared" si="241"/>
        <v>2.1531304375350327E-7</v>
      </c>
      <c r="P1703" s="5">
        <f t="shared" si="242"/>
        <v>8.2184540087249135E-8</v>
      </c>
      <c r="Q1703" s="1">
        <f t="shared" si="238"/>
        <v>1.800000000000001E-6</v>
      </c>
    </row>
    <row r="1704" spans="1:17" x14ac:dyDescent="0.25">
      <c r="A1704" s="1">
        <v>85.1</v>
      </c>
      <c r="B1704" s="1">
        <v>4.0653E-3</v>
      </c>
      <c r="C1704" s="1">
        <v>1.7781000000000001E-4</v>
      </c>
      <c r="D1704" s="1">
        <v>3.2898999999999998E-2</v>
      </c>
      <c r="E1704" s="1">
        <v>2.1248E-3</v>
      </c>
      <c r="F1704" s="1">
        <v>1.0633E-7</v>
      </c>
      <c r="G1704" s="1">
        <v>6.7092999999999998</v>
      </c>
      <c r="H1704" s="1">
        <v>1.9877E-7</v>
      </c>
      <c r="I1704" s="1">
        <f t="shared" si="234"/>
        <v>1.9877E-7</v>
      </c>
      <c r="J1704" s="4">
        <f t="shared" si="235"/>
        <v>-1.7035357970389395E-9</v>
      </c>
      <c r="K1704" s="4">
        <f t="shared" si="236"/>
        <v>-4.1986043531930748E-9</v>
      </c>
      <c r="L1704" s="4">
        <f t="shared" si="237"/>
        <v>-1.4142666834411605E-9</v>
      </c>
      <c r="M1704" s="4">
        <f t="shared" si="239"/>
        <v>-1.7151749147127744E-9</v>
      </c>
      <c r="N1704" s="5">
        <f t="shared" si="240"/>
        <v>1.5035832180319617E-6</v>
      </c>
      <c r="O1704" s="5">
        <f t="shared" si="241"/>
        <v>2.145331501120619E-7</v>
      </c>
      <c r="P1704" s="5">
        <f t="shared" si="242"/>
        <v>8.1883631855977515E-8</v>
      </c>
      <c r="Q1704" s="1">
        <f t="shared" si="238"/>
        <v>1.800000000000001E-6</v>
      </c>
    </row>
    <row r="1705" spans="1:17" x14ac:dyDescent="0.25">
      <c r="A1705" s="1">
        <v>85.15</v>
      </c>
      <c r="B1705" s="1">
        <v>4.0607999999999998E-3</v>
      </c>
      <c r="C1705" s="1">
        <v>1.7754000000000001E-4</v>
      </c>
      <c r="D1705" s="1">
        <v>3.2902000000000001E-2</v>
      </c>
      <c r="E1705" s="1">
        <v>2.1194999999999999E-3</v>
      </c>
      <c r="F1705" s="1">
        <v>1.0617E-7</v>
      </c>
      <c r="G1705" s="1">
        <v>6.7092999999999998</v>
      </c>
      <c r="H1705" s="1">
        <v>1.9878000000000001E-7</v>
      </c>
      <c r="I1705" s="1">
        <f t="shared" si="234"/>
        <v>1.9878000000000001E-7</v>
      </c>
      <c r="J1705" s="4">
        <f t="shared" si="235"/>
        <v>-1.6999615459956946E-9</v>
      </c>
      <c r="K1705" s="4">
        <f t="shared" si="236"/>
        <v>-4.1833964271861585E-9</v>
      </c>
      <c r="L1705" s="4">
        <f t="shared" si="237"/>
        <v>-1.4097738094297334E-9</v>
      </c>
      <c r="M1705" s="4">
        <f t="shared" si="239"/>
        <v>-1.7089809979217169E-9</v>
      </c>
      <c r="N1705" s="5">
        <f t="shared" si="240"/>
        <v>1.5046568791037227E-6</v>
      </c>
      <c r="O1705" s="5">
        <f t="shared" si="241"/>
        <v>2.1375869622879317E-7</v>
      </c>
      <c r="P1705" s="5">
        <f t="shared" si="242"/>
        <v>8.1584424667485534E-8</v>
      </c>
      <c r="Q1705" s="1">
        <f t="shared" si="238"/>
        <v>1.8000000000000014E-6</v>
      </c>
    </row>
    <row r="1706" spans="1:17" x14ac:dyDescent="0.25">
      <c r="A1706" s="1">
        <v>85.2</v>
      </c>
      <c r="B1706" s="1">
        <v>4.0562999999999997E-3</v>
      </c>
      <c r="C1706" s="1">
        <v>1.7726999999999999E-4</v>
      </c>
      <c r="D1706" s="1">
        <v>3.2904000000000003E-2</v>
      </c>
      <c r="E1706" s="1">
        <v>2.1142000000000001E-3</v>
      </c>
      <c r="F1706" s="1">
        <v>1.0602000000000001E-7</v>
      </c>
      <c r="G1706" s="1">
        <v>6.7092000000000001</v>
      </c>
      <c r="H1706" s="1">
        <v>1.9879E-7</v>
      </c>
      <c r="I1706" s="1">
        <f t="shared" si="234"/>
        <v>1.9879E-7</v>
      </c>
      <c r="J1706" s="4">
        <f t="shared" si="235"/>
        <v>-1.6960596012115165E-9</v>
      </c>
      <c r="K1706" s="4">
        <f t="shared" si="236"/>
        <v>-4.16829457646123E-9</v>
      </c>
      <c r="L1706" s="4">
        <f t="shared" si="237"/>
        <v>-1.4051439246290299E-9</v>
      </c>
      <c r="M1706" s="4">
        <f t="shared" si="239"/>
        <v>-1.7028219532171948E-9</v>
      </c>
      <c r="N1706" s="5">
        <f t="shared" si="240"/>
        <v>1.5057239701543433E-6</v>
      </c>
      <c r="O1706" s="5">
        <f t="shared" si="241"/>
        <v>2.1298928320676063E-7</v>
      </c>
      <c r="P1706" s="5">
        <f t="shared" si="242"/>
        <v>8.1286746638897375E-8</v>
      </c>
      <c r="Q1706" s="1">
        <f t="shared" si="238"/>
        <v>1.8000000000000014E-6</v>
      </c>
    </row>
    <row r="1707" spans="1:17" x14ac:dyDescent="0.25">
      <c r="A1707" s="1">
        <v>85.25</v>
      </c>
      <c r="B1707" s="1">
        <v>4.0518999999999998E-3</v>
      </c>
      <c r="C1707" s="1">
        <v>1.7700999999999999E-4</v>
      </c>
      <c r="D1707" s="1">
        <v>3.2906999999999999E-2</v>
      </c>
      <c r="E1707" s="1">
        <v>2.1088999999999999E-3</v>
      </c>
      <c r="F1707" s="1">
        <v>1.0586999999999999E-7</v>
      </c>
      <c r="G1707" s="1">
        <v>6.7092000000000001</v>
      </c>
      <c r="H1707" s="1">
        <v>1.9879E-7</v>
      </c>
      <c r="I1707" s="1">
        <f t="shared" si="234"/>
        <v>1.9879E-7</v>
      </c>
      <c r="J1707" s="4">
        <f t="shared" si="235"/>
        <v>-1.6924699400576282E-9</v>
      </c>
      <c r="K1707" s="4">
        <f t="shared" si="236"/>
        <v>-4.153291022531596E-9</v>
      </c>
      <c r="L1707" s="4">
        <f t="shared" si="237"/>
        <v>-1.4006425939605575E-9</v>
      </c>
      <c r="M1707" s="4">
        <f t="shared" si="239"/>
        <v>-1.6966941982562768E-9</v>
      </c>
      <c r="N1707" s="5">
        <f t="shared" si="240"/>
        <v>1.5067841486428567E-6</v>
      </c>
      <c r="O1707" s="5">
        <f t="shared" si="241"/>
        <v>2.1222515632254294E-7</v>
      </c>
      <c r="P1707" s="5">
        <f t="shared" si="242"/>
        <v>8.0990695034601659E-8</v>
      </c>
      <c r="Q1707" s="1">
        <f t="shared" si="238"/>
        <v>1.8000000000000014E-6</v>
      </c>
    </row>
    <row r="1708" spans="1:17" x14ac:dyDescent="0.25">
      <c r="A1708" s="1">
        <v>85.3</v>
      </c>
      <c r="B1708" s="1">
        <v>4.0473999999999996E-3</v>
      </c>
      <c r="C1708" s="1">
        <v>1.7674999999999999E-4</v>
      </c>
      <c r="D1708" s="1">
        <v>3.2909000000000001E-2</v>
      </c>
      <c r="E1708" s="1">
        <v>2.1037E-3</v>
      </c>
      <c r="F1708" s="1">
        <v>1.0572E-7</v>
      </c>
      <c r="G1708" s="1">
        <v>6.7092000000000001</v>
      </c>
      <c r="H1708" s="1">
        <v>1.9880000000000001E-7</v>
      </c>
      <c r="I1708" s="1">
        <f t="shared" si="234"/>
        <v>1.9880000000000001E-7</v>
      </c>
      <c r="J1708" s="4">
        <f t="shared" si="235"/>
        <v>-1.6888725187665689E-9</v>
      </c>
      <c r="K1708" s="4">
        <f t="shared" si="236"/>
        <v>-4.1383905482893524E-9</v>
      </c>
      <c r="L1708" s="4">
        <f t="shared" si="237"/>
        <v>-1.3961370083622645E-9</v>
      </c>
      <c r="M1708" s="4">
        <f t="shared" si="239"/>
        <v>-1.6905147279223925E-9</v>
      </c>
      <c r="N1708" s="5">
        <f t="shared" si="240"/>
        <v>1.5078375296640171E-6</v>
      </c>
      <c r="O1708" s="5">
        <f t="shared" si="241"/>
        <v>2.1146615302094257E-7</v>
      </c>
      <c r="P1708" s="5">
        <f t="shared" si="242"/>
        <v>8.0696317315041539E-8</v>
      </c>
      <c r="Q1708" s="1">
        <f t="shared" si="238"/>
        <v>1.8000000000000014E-6</v>
      </c>
    </row>
    <row r="1709" spans="1:17" x14ac:dyDescent="0.25">
      <c r="A1709" s="1">
        <v>85.35</v>
      </c>
      <c r="B1709" s="1">
        <v>4.0429999999999997E-3</v>
      </c>
      <c r="C1709" s="1">
        <v>1.7649000000000001E-4</v>
      </c>
      <c r="D1709" s="1">
        <v>3.2911000000000003E-2</v>
      </c>
      <c r="E1709" s="1">
        <v>2.0985000000000001E-3</v>
      </c>
      <c r="F1709" s="1">
        <v>1.0557E-7</v>
      </c>
      <c r="G1709" s="1">
        <v>6.7092000000000001</v>
      </c>
      <c r="H1709" s="1">
        <v>1.9880999999999999E-7</v>
      </c>
      <c r="I1709" s="1">
        <f t="shared" si="234"/>
        <v>1.9880999999999999E-7</v>
      </c>
      <c r="J1709" s="4">
        <f t="shared" si="235"/>
        <v>-1.6852675462005406E-9</v>
      </c>
      <c r="K1709" s="4">
        <f t="shared" si="236"/>
        <v>-4.1235899839081461E-9</v>
      </c>
      <c r="L1709" s="4">
        <f t="shared" si="237"/>
        <v>-1.3916935251900893E-9</v>
      </c>
      <c r="M1709" s="4">
        <f t="shared" si="239"/>
        <v>-1.6844549276340814E-9</v>
      </c>
      <c r="N1709" s="5">
        <f t="shared" si="240"/>
        <v>1.5088841585765349E-6</v>
      </c>
      <c r="O1709" s="5">
        <f t="shared" si="241"/>
        <v>2.1071228551086904E-7</v>
      </c>
      <c r="P1709" s="5">
        <f t="shared" si="242"/>
        <v>8.0403555912597543E-8</v>
      </c>
      <c r="Q1709" s="1">
        <f t="shared" si="238"/>
        <v>1.8000000000000014E-6</v>
      </c>
    </row>
    <row r="1710" spans="1:17" x14ac:dyDescent="0.25">
      <c r="A1710" s="1">
        <v>85.4</v>
      </c>
      <c r="B1710" s="1">
        <v>4.0385000000000004E-3</v>
      </c>
      <c r="C1710" s="1">
        <v>1.7623000000000001E-4</v>
      </c>
      <c r="D1710" s="1">
        <v>3.2913999999999999E-2</v>
      </c>
      <c r="E1710" s="1">
        <v>2.0931999999999999E-3</v>
      </c>
      <c r="F1710" s="1">
        <v>1.0542E-7</v>
      </c>
      <c r="G1710" s="1">
        <v>6.7091000000000003</v>
      </c>
      <c r="H1710" s="1">
        <v>1.9882E-7</v>
      </c>
      <c r="I1710" s="1">
        <f t="shared" si="234"/>
        <v>1.9882E-7</v>
      </c>
      <c r="J1710" s="4">
        <f t="shared" si="235"/>
        <v>-1.6816551518554853E-9</v>
      </c>
      <c r="K1710" s="4">
        <f t="shared" si="236"/>
        <v>-4.1088895674628805E-9</v>
      </c>
      <c r="L1710" s="4">
        <f t="shared" si="237"/>
        <v>-1.3872460306053095E-9</v>
      </c>
      <c r="M1710" s="4">
        <f t="shared" si="239"/>
        <v>-1.6784282498536509E-9</v>
      </c>
      <c r="N1710" s="5">
        <f t="shared" si="240"/>
        <v>1.509924146961537E-6</v>
      </c>
      <c r="O1710" s="5">
        <f t="shared" si="241"/>
        <v>2.0996347934511529E-7</v>
      </c>
      <c r="P1710" s="5">
        <f t="shared" si="242"/>
        <v>8.0112373693349208E-8</v>
      </c>
      <c r="Q1710" s="1">
        <f t="shared" si="238"/>
        <v>1.8000000000000014E-6</v>
      </c>
    </row>
    <row r="1711" spans="1:17" x14ac:dyDescent="0.25">
      <c r="A1711" s="1">
        <v>85.45</v>
      </c>
      <c r="B1711" s="1">
        <v>4.0340999999999997E-3</v>
      </c>
      <c r="C1711" s="1">
        <v>1.7598000000000001E-4</v>
      </c>
      <c r="D1711" s="1">
        <v>3.2916000000000001E-2</v>
      </c>
      <c r="E1711" s="1">
        <v>2.088E-3</v>
      </c>
      <c r="F1711" s="1">
        <v>1.0527E-7</v>
      </c>
      <c r="G1711" s="1">
        <v>6.7091000000000003</v>
      </c>
      <c r="H1711" s="1">
        <v>1.9882999999999999E-7</v>
      </c>
      <c r="I1711" s="1">
        <f t="shared" si="234"/>
        <v>1.9882999999999999E-7</v>
      </c>
      <c r="J1711" s="4">
        <f t="shared" si="235"/>
        <v>-1.6780355380631526E-9</v>
      </c>
      <c r="K1711" s="4">
        <f t="shared" si="236"/>
        <v>-4.0942878472295158E-9</v>
      </c>
      <c r="L1711" s="4">
        <f t="shared" si="237"/>
        <v>-1.3827286616710519E-9</v>
      </c>
      <c r="M1711" s="4">
        <f t="shared" si="239"/>
        <v>-1.6724339244596323E-9</v>
      </c>
      <c r="N1711" s="5">
        <f t="shared" si="240"/>
        <v>1.5109576706090321E-6</v>
      </c>
      <c r="O1711" s="5">
        <f t="shared" si="241"/>
        <v>2.0921966096040855E-7</v>
      </c>
      <c r="P1711" s="5">
        <f t="shared" si="242"/>
        <v>7.9822668430560624E-8</v>
      </c>
      <c r="Q1711" s="1">
        <f t="shared" si="238"/>
        <v>1.8000000000000012E-6</v>
      </c>
    </row>
    <row r="1712" spans="1:17" x14ac:dyDescent="0.25">
      <c r="A1712" s="1">
        <v>85.5</v>
      </c>
      <c r="B1712" s="1">
        <v>4.0296999999999998E-3</v>
      </c>
      <c r="C1712" s="1">
        <v>1.7573E-4</v>
      </c>
      <c r="D1712" s="1">
        <v>3.2918000000000003E-2</v>
      </c>
      <c r="E1712" s="1">
        <v>2.0828000000000001E-3</v>
      </c>
      <c r="F1712" s="1">
        <v>1.0512E-7</v>
      </c>
      <c r="G1712" s="1">
        <v>6.7091000000000003</v>
      </c>
      <c r="H1712" s="1">
        <v>1.9884E-7</v>
      </c>
      <c r="I1712" s="1">
        <f t="shared" si="234"/>
        <v>1.9884E-7</v>
      </c>
      <c r="J1712" s="4">
        <f t="shared" si="235"/>
        <v>-1.674408976720135E-9</v>
      </c>
      <c r="K1712" s="4">
        <f t="shared" si="236"/>
        <v>-4.0797833887277348E-9</v>
      </c>
      <c r="L1712" s="4">
        <f t="shared" si="237"/>
        <v>-1.3782738353828548E-9</v>
      </c>
      <c r="M1712" s="4">
        <f t="shared" si="239"/>
        <v>-1.6664698222249839E-9</v>
      </c>
      <c r="N1712" s="5">
        <f t="shared" si="240"/>
        <v>1.5119847711856569E-6</v>
      </c>
      <c r="O1712" s="5">
        <f t="shared" si="241"/>
        <v>2.0848075637062592E-7</v>
      </c>
      <c r="P1712" s="5">
        <f t="shared" si="242"/>
        <v>7.9534472443718495E-8</v>
      </c>
      <c r="Q1712" s="1">
        <f t="shared" si="238"/>
        <v>1.8000000000000014E-6</v>
      </c>
    </row>
    <row r="1713" spans="1:17" x14ac:dyDescent="0.25">
      <c r="A1713" s="1">
        <v>85.55</v>
      </c>
      <c r="B1713" s="1">
        <v>4.0252999999999999E-3</v>
      </c>
      <c r="C1713" s="1">
        <v>1.7547999999999999E-4</v>
      </c>
      <c r="D1713" s="1">
        <v>3.2920999999999999E-2</v>
      </c>
      <c r="E1713" s="1">
        <v>2.0777E-3</v>
      </c>
      <c r="F1713" s="1">
        <v>1.0498E-7</v>
      </c>
      <c r="G1713" s="1">
        <v>6.7091000000000003</v>
      </c>
      <c r="H1713" s="1">
        <v>1.9885000000000001E-7</v>
      </c>
      <c r="I1713" s="1">
        <f t="shared" si="234"/>
        <v>1.9885000000000001E-7</v>
      </c>
      <c r="J1713" s="4">
        <f t="shared" si="235"/>
        <v>-1.6707755891135501E-9</v>
      </c>
      <c r="K1713" s="4">
        <f t="shared" si="236"/>
        <v>-4.0653747492269739E-9</v>
      </c>
      <c r="L1713" s="4">
        <f t="shared" si="237"/>
        <v>-1.3738155724480276E-9</v>
      </c>
      <c r="M1713" s="4">
        <f t="shared" si="239"/>
        <v>-1.660536622574349E-9</v>
      </c>
      <c r="N1713" s="5">
        <f t="shared" si="240"/>
        <v>1.5130055547733222E-6</v>
      </c>
      <c r="O1713" s="5">
        <f t="shared" si="241"/>
        <v>2.0774669383308685E-7</v>
      </c>
      <c r="P1713" s="5">
        <f t="shared" si="242"/>
        <v>7.9247751393592169E-8</v>
      </c>
      <c r="Q1713" s="1">
        <f t="shared" si="238"/>
        <v>1.8000000000000012E-6</v>
      </c>
    </row>
    <row r="1714" spans="1:17" x14ac:dyDescent="0.25">
      <c r="A1714" s="1">
        <v>85.6</v>
      </c>
      <c r="B1714" s="1">
        <v>4.0209E-3</v>
      </c>
      <c r="C1714" s="1">
        <v>1.7522999999999999E-4</v>
      </c>
      <c r="D1714" s="1">
        <v>3.2923000000000001E-2</v>
      </c>
      <c r="E1714" s="1">
        <v>2.0725000000000001E-3</v>
      </c>
      <c r="F1714" s="1">
        <v>1.0484E-7</v>
      </c>
      <c r="G1714" s="1">
        <v>6.7091000000000003</v>
      </c>
      <c r="H1714" s="1">
        <v>1.9886E-7</v>
      </c>
      <c r="I1714" s="1">
        <f t="shared" si="234"/>
        <v>1.9886E-7</v>
      </c>
      <c r="J1714" s="4">
        <f t="shared" si="235"/>
        <v>-1.6674532223247104E-9</v>
      </c>
      <c r="K1714" s="4">
        <f t="shared" si="236"/>
        <v>-4.0510605297449636E-9</v>
      </c>
      <c r="L1714" s="4">
        <f t="shared" si="237"/>
        <v>-1.3695504261859222E-9</v>
      </c>
      <c r="M1714" s="4">
        <f t="shared" si="239"/>
        <v>-1.6546336132845651E-9</v>
      </c>
      <c r="N1714" s="5">
        <f t="shared" si="240"/>
        <v>1.5140196116545567E-6</v>
      </c>
      <c r="O1714" s="5">
        <f t="shared" si="241"/>
        <v>2.0701772013895117E-7</v>
      </c>
      <c r="P1714" s="5">
        <f t="shared" si="242"/>
        <v>7.8962668206493534E-8</v>
      </c>
      <c r="Q1714" s="1">
        <f t="shared" si="238"/>
        <v>1.8000000000000014E-6</v>
      </c>
    </row>
    <row r="1715" spans="1:17" x14ac:dyDescent="0.25">
      <c r="A1715" s="1">
        <v>85.65</v>
      </c>
      <c r="B1715" s="1">
        <v>4.0165000000000001E-3</v>
      </c>
      <c r="C1715" s="1">
        <v>1.7498000000000001E-4</v>
      </c>
      <c r="D1715" s="1">
        <v>3.2925000000000003E-2</v>
      </c>
      <c r="E1715" s="1">
        <v>2.0673000000000002E-3</v>
      </c>
      <c r="F1715" s="1">
        <v>1.0469000000000001E-7</v>
      </c>
      <c r="G1715" s="1">
        <v>6.7089999999999996</v>
      </c>
      <c r="H1715" s="1">
        <v>1.9887000000000001E-7</v>
      </c>
      <c r="I1715" s="1">
        <f t="shared" si="234"/>
        <v>1.9887000000000001E-7</v>
      </c>
      <c r="J1715" s="4">
        <f t="shared" si="235"/>
        <v>-1.6641233918445739E-9</v>
      </c>
      <c r="K1715" s="4">
        <f t="shared" si="236"/>
        <v>-4.0368455427104663E-9</v>
      </c>
      <c r="L1715" s="4">
        <f t="shared" si="237"/>
        <v>-1.3652153069278137E-9</v>
      </c>
      <c r="M1715" s="4">
        <f t="shared" si="239"/>
        <v>-1.6487642009524216E-9</v>
      </c>
      <c r="N1715" s="5">
        <f t="shared" si="240"/>
        <v>1.5150271184984948E-6</v>
      </c>
      <c r="O1715" s="5">
        <f t="shared" si="241"/>
        <v>2.0629376218903771E-7</v>
      </c>
      <c r="P1715" s="5">
        <f t="shared" si="242"/>
        <v>7.8679119312468926E-8</v>
      </c>
      <c r="Q1715" s="1">
        <f t="shared" si="238"/>
        <v>1.8000000000000014E-6</v>
      </c>
    </row>
    <row r="1716" spans="1:17" x14ac:dyDescent="0.25">
      <c r="A1716" s="1">
        <v>85.7</v>
      </c>
      <c r="B1716" s="1">
        <v>4.0121999999999996E-3</v>
      </c>
      <c r="C1716" s="1">
        <v>1.7474E-4</v>
      </c>
      <c r="D1716" s="1">
        <v>3.2927999999999999E-2</v>
      </c>
      <c r="E1716" s="1">
        <v>2.0622000000000001E-3</v>
      </c>
      <c r="F1716" s="1">
        <v>1.0455000000000001E-7</v>
      </c>
      <c r="G1716" s="1">
        <v>6.7089999999999996</v>
      </c>
      <c r="H1716" s="1">
        <v>1.9887999999999999E-7</v>
      </c>
      <c r="I1716" s="1">
        <f t="shared" si="234"/>
        <v>1.9887999999999999E-7</v>
      </c>
      <c r="J1716" s="4">
        <f t="shared" si="235"/>
        <v>-1.6604691310136801E-9</v>
      </c>
      <c r="K1716" s="4">
        <f t="shared" si="236"/>
        <v>-4.0227283626860068E-9</v>
      </c>
      <c r="L1716" s="4">
        <f t="shared" si="237"/>
        <v>-1.3607464431521644E-9</v>
      </c>
      <c r="M1716" s="4">
        <f t="shared" si="239"/>
        <v>-1.6429262280553298E-9</v>
      </c>
      <c r="N1716" s="5">
        <f t="shared" si="240"/>
        <v>1.5160286312870147E-6</v>
      </c>
      <c r="O1716" s="5">
        <f t="shared" si="241"/>
        <v>2.0557442918542073E-7</v>
      </c>
      <c r="P1716" s="5">
        <f t="shared" si="242"/>
        <v>7.8396939527565764E-8</v>
      </c>
      <c r="Q1716" s="1">
        <f t="shared" si="238"/>
        <v>1.8000000000000012E-6</v>
      </c>
    </row>
    <row r="1717" spans="1:17" x14ac:dyDescent="0.25">
      <c r="A1717" s="1">
        <v>85.75</v>
      </c>
      <c r="B1717" s="1">
        <v>4.0077999999999997E-3</v>
      </c>
      <c r="C1717" s="1">
        <v>1.7448999999999999E-4</v>
      </c>
      <c r="D1717" s="1">
        <v>3.2930000000000001E-2</v>
      </c>
      <c r="E1717" s="1">
        <v>2.0571000000000001E-3</v>
      </c>
      <c r="F1717" s="1">
        <v>1.0441000000000001E-7</v>
      </c>
      <c r="G1717" s="1">
        <v>6.7089999999999996</v>
      </c>
      <c r="H1717" s="1">
        <v>1.9889E-7</v>
      </c>
      <c r="I1717" s="1">
        <f t="shared" si="234"/>
        <v>1.9889E-7</v>
      </c>
      <c r="J1717" s="4">
        <f t="shared" si="235"/>
        <v>-1.657125795007961E-9</v>
      </c>
      <c r="K1717" s="4">
        <f t="shared" si="236"/>
        <v>-4.008701369115476E-9</v>
      </c>
      <c r="L1717" s="4">
        <f t="shared" si="237"/>
        <v>-1.3564703950293142E-9</v>
      </c>
      <c r="M1717" s="4">
        <f t="shared" si="239"/>
        <v>-1.6371162499903463E-9</v>
      </c>
      <c r="N1717" s="5">
        <f t="shared" si="240"/>
        <v>1.5170237364660932E-6</v>
      </c>
      <c r="O1717" s="5">
        <f t="shared" si="241"/>
        <v>2.0485996986130354E-7</v>
      </c>
      <c r="P1717" s="5">
        <f t="shared" si="242"/>
        <v>7.8116293672604736E-8</v>
      </c>
      <c r="Q1717" s="1">
        <f t="shared" si="238"/>
        <v>1.8000000000000016E-6</v>
      </c>
    </row>
    <row r="1718" spans="1:17" x14ac:dyDescent="0.25">
      <c r="A1718" s="1">
        <v>85.8</v>
      </c>
      <c r="B1718" s="1">
        <v>4.0033999999999998E-3</v>
      </c>
      <c r="C1718" s="1">
        <v>1.7425000000000001E-4</v>
      </c>
      <c r="D1718" s="1">
        <v>3.2932000000000003E-2</v>
      </c>
      <c r="E1718" s="1">
        <v>2.052E-3</v>
      </c>
      <c r="F1718" s="1">
        <v>1.0427000000000001E-7</v>
      </c>
      <c r="G1718" s="1">
        <v>6.7089999999999996</v>
      </c>
      <c r="H1718" s="1">
        <v>1.9889E-7</v>
      </c>
      <c r="I1718" s="1">
        <f t="shared" si="234"/>
        <v>1.9889E-7</v>
      </c>
      <c r="J1718" s="4">
        <f t="shared" si="235"/>
        <v>-1.6537755529552252E-9</v>
      </c>
      <c r="K1718" s="4">
        <f t="shared" si="236"/>
        <v>-3.9947694122951924E-9</v>
      </c>
      <c r="L1718" s="4">
        <f t="shared" si="237"/>
        <v>-1.3521907876098464E-9</v>
      </c>
      <c r="M1718" s="4">
        <f t="shared" si="239"/>
        <v>-1.6313377130970645E-9</v>
      </c>
      <c r="N1718" s="5">
        <f t="shared" si="240"/>
        <v>1.5180125395378233E-6</v>
      </c>
      <c r="O1718" s="5">
        <f t="shared" si="241"/>
        <v>2.0415031371506062E-7</v>
      </c>
      <c r="P1718" s="5">
        <f t="shared" si="242"/>
        <v>7.7837146747117521E-8</v>
      </c>
      <c r="Q1718" s="1">
        <f t="shared" si="238"/>
        <v>1.8000000000000014E-6</v>
      </c>
    </row>
    <row r="1719" spans="1:17" x14ac:dyDescent="0.25">
      <c r="A1719" s="1">
        <v>85.85</v>
      </c>
      <c r="B1719" s="1">
        <v>3.9991000000000002E-3</v>
      </c>
      <c r="C1719" s="1">
        <v>1.7401999999999999E-4</v>
      </c>
      <c r="D1719" s="1">
        <v>3.2933999999999998E-2</v>
      </c>
      <c r="E1719" s="1">
        <v>2.0468999999999999E-3</v>
      </c>
      <c r="F1719" s="1">
        <v>1.0414E-7</v>
      </c>
      <c r="G1719" s="1">
        <v>6.7089999999999996</v>
      </c>
      <c r="H1719" s="1">
        <v>1.9889999999999999E-7</v>
      </c>
      <c r="I1719" s="1">
        <f t="shared" si="234"/>
        <v>1.9889999999999999E-7</v>
      </c>
      <c r="J1719" s="4">
        <f t="shared" si="235"/>
        <v>-1.6504185874974735E-9</v>
      </c>
      <c r="K1719" s="4">
        <f t="shared" si="236"/>
        <v>-3.9809311174434555E-9</v>
      </c>
      <c r="L1719" s="4">
        <f t="shared" si="237"/>
        <v>-1.3479077977760609E-9</v>
      </c>
      <c r="M1719" s="4">
        <f t="shared" si="239"/>
        <v>-1.625508162235999E-9</v>
      </c>
      <c r="N1719" s="5">
        <f t="shared" si="240"/>
        <v>1.5189951442699934E-6</v>
      </c>
      <c r="O1719" s="5">
        <f t="shared" si="241"/>
        <v>2.0344530934735065E-7</v>
      </c>
      <c r="P1719" s="5">
        <f t="shared" si="242"/>
        <v>7.7559546382657585E-8</v>
      </c>
      <c r="Q1719" s="1">
        <f t="shared" si="238"/>
        <v>1.8000000000000016E-6</v>
      </c>
    </row>
    <row r="1720" spans="1:17" x14ac:dyDescent="0.25">
      <c r="A1720" s="1">
        <v>85.9</v>
      </c>
      <c r="B1720" s="1">
        <v>3.9947999999999997E-3</v>
      </c>
      <c r="C1720" s="1">
        <v>1.7378000000000001E-4</v>
      </c>
      <c r="D1720" s="1">
        <v>3.2937000000000001E-2</v>
      </c>
      <c r="E1720" s="1">
        <v>2.0417999999999999E-3</v>
      </c>
      <c r="F1720" s="1">
        <v>1.04E-7</v>
      </c>
      <c r="G1720" s="1">
        <v>6.7088999999999999</v>
      </c>
      <c r="H1720" s="1">
        <v>1.9891E-7</v>
      </c>
      <c r="I1720" s="1">
        <f t="shared" si="234"/>
        <v>1.9891E-7</v>
      </c>
      <c r="J1720" s="4">
        <f t="shared" si="235"/>
        <v>-1.6473714391333964E-9</v>
      </c>
      <c r="K1720" s="4">
        <f t="shared" si="236"/>
        <v>-3.9671835322742398E-9</v>
      </c>
      <c r="L1720" s="4">
        <f t="shared" si="237"/>
        <v>-1.3437506323087113E-9</v>
      </c>
      <c r="M1720" s="4">
        <f t="shared" si="239"/>
        <v>-1.6197923464289806E-9</v>
      </c>
      <c r="N1720" s="5">
        <f t="shared" si="240"/>
        <v>1.5199712057308254E-6</v>
      </c>
      <c r="O1720" s="5">
        <f t="shared" si="241"/>
        <v>2.0274528960063879E-7</v>
      </c>
      <c r="P1720" s="5">
        <f t="shared" si="242"/>
        <v>7.7283504668537317E-8</v>
      </c>
      <c r="Q1720" s="1">
        <f t="shared" si="238"/>
        <v>1.8000000000000014E-6</v>
      </c>
    </row>
    <row r="1721" spans="1:17" x14ac:dyDescent="0.25">
      <c r="A1721" s="1">
        <v>85.95</v>
      </c>
      <c r="B1721" s="1">
        <v>3.9905000000000001E-3</v>
      </c>
      <c r="C1721" s="1">
        <v>1.7354999999999999E-4</v>
      </c>
      <c r="D1721" s="1">
        <v>3.2939000000000003E-2</v>
      </c>
      <c r="E1721" s="1">
        <v>2.0366999999999998E-3</v>
      </c>
      <c r="F1721" s="1">
        <v>1.0387E-7</v>
      </c>
      <c r="G1721" s="1">
        <v>6.7088999999999999</v>
      </c>
      <c r="H1721" s="1">
        <v>1.9892000000000001E-7</v>
      </c>
      <c r="I1721" s="1">
        <f t="shared" si="234"/>
        <v>1.9892000000000001E-7</v>
      </c>
      <c r="J1721" s="4">
        <f t="shared" si="235"/>
        <v>-1.6440008561183675E-9</v>
      </c>
      <c r="K1721" s="4">
        <f t="shared" si="236"/>
        <v>-3.953533147212232E-9</v>
      </c>
      <c r="L1721" s="4">
        <f t="shared" si="237"/>
        <v>-1.3394607629128174E-9</v>
      </c>
      <c r="M1721" s="4">
        <f t="shared" si="239"/>
        <v>-1.6141085009298778E-9</v>
      </c>
      <c r="N1721" s="5">
        <f t="shared" si="240"/>
        <v>1.5209412772590066E-6</v>
      </c>
      <c r="O1721" s="5">
        <f t="shared" si="241"/>
        <v>2.0204986581047482E-7</v>
      </c>
      <c r="P1721" s="5">
        <f t="shared" si="242"/>
        <v>7.7008856930520252E-8</v>
      </c>
      <c r="Q1721" s="1">
        <f t="shared" si="238"/>
        <v>1.8000000000000018E-6</v>
      </c>
    </row>
    <row r="1722" spans="1:17" x14ac:dyDescent="0.25">
      <c r="A1722" s="1">
        <v>86</v>
      </c>
      <c r="B1722" s="1">
        <v>3.9861999999999996E-3</v>
      </c>
      <c r="C1722" s="1">
        <v>1.7331000000000001E-4</v>
      </c>
      <c r="D1722" s="1">
        <v>3.2940999999999998E-2</v>
      </c>
      <c r="E1722" s="1">
        <v>2.0317E-3</v>
      </c>
      <c r="F1722" s="1">
        <v>1.0373E-7</v>
      </c>
      <c r="G1722" s="1">
        <v>6.7088999999999999</v>
      </c>
      <c r="H1722" s="1">
        <v>1.9893E-7</v>
      </c>
      <c r="I1722" s="1">
        <f t="shared" si="234"/>
        <v>1.9893E-7</v>
      </c>
      <c r="J1722" s="4">
        <f t="shared" si="235"/>
        <v>-1.6409400306602984E-9</v>
      </c>
      <c r="K1722" s="4">
        <f t="shared" si="236"/>
        <v>-3.9399723833040355E-9</v>
      </c>
      <c r="L1722" s="4">
        <f t="shared" si="237"/>
        <v>-1.3352965847550006E-9</v>
      </c>
      <c r="M1722" s="4">
        <f t="shared" si="239"/>
        <v>-1.608453191164913E-9</v>
      </c>
      <c r="N1722" s="5">
        <f t="shared" si="240"/>
        <v>1.5219050130268955E-6</v>
      </c>
      <c r="O1722" s="5">
        <f t="shared" si="241"/>
        <v>2.0135928664899598E-7</v>
      </c>
      <c r="P1722" s="5">
        <f t="shared" si="242"/>
        <v>7.6735700324110331E-8</v>
      </c>
      <c r="Q1722" s="1">
        <f t="shared" si="238"/>
        <v>1.8000000000000018E-6</v>
      </c>
    </row>
    <row r="1723" spans="1:17" x14ac:dyDescent="0.25">
      <c r="A1723" s="1">
        <v>86.05</v>
      </c>
      <c r="B1723" s="1">
        <v>3.9819E-3</v>
      </c>
      <c r="C1723" s="1">
        <v>1.7307999999999999E-4</v>
      </c>
      <c r="D1723" s="1">
        <v>3.2944000000000001E-2</v>
      </c>
      <c r="E1723" s="1">
        <v>2.0265999999999999E-3</v>
      </c>
      <c r="F1723" s="1">
        <v>1.036E-7</v>
      </c>
      <c r="G1723" s="1">
        <v>6.7088999999999999</v>
      </c>
      <c r="H1723" s="1">
        <v>1.9894000000000001E-7</v>
      </c>
      <c r="I1723" s="1">
        <f t="shared" si="234"/>
        <v>1.9894000000000001E-7</v>
      </c>
      <c r="J1723" s="4">
        <f t="shared" si="235"/>
        <v>-1.6375565382241832E-9</v>
      </c>
      <c r="K1723" s="4">
        <f t="shared" si="236"/>
        <v>-3.9265060896551989E-9</v>
      </c>
      <c r="L1723" s="4">
        <f t="shared" si="237"/>
        <v>-1.3310660385276007E-9</v>
      </c>
      <c r="M1723" s="4">
        <f t="shared" si="239"/>
        <v>-1.6028284508748118E-9</v>
      </c>
      <c r="N1723" s="5">
        <f t="shared" si="240"/>
        <v>1.5228628965397988E-6</v>
      </c>
      <c r="O1723" s="5">
        <f t="shared" si="241"/>
        <v>2.0067316554843978E-7</v>
      </c>
      <c r="P1723" s="5">
        <f t="shared" si="242"/>
        <v>7.6463937911763124E-8</v>
      </c>
      <c r="Q1723" s="1">
        <f t="shared" si="238"/>
        <v>1.8000000000000018E-6</v>
      </c>
    </row>
    <row r="1724" spans="1:17" x14ac:dyDescent="0.25">
      <c r="A1724" s="1">
        <v>86.1</v>
      </c>
      <c r="B1724" s="1">
        <v>3.9776000000000004E-3</v>
      </c>
      <c r="C1724" s="1">
        <v>1.7285E-4</v>
      </c>
      <c r="D1724" s="1">
        <v>3.2946000000000003E-2</v>
      </c>
      <c r="E1724" s="1">
        <v>2.0216000000000001E-3</v>
      </c>
      <c r="F1724" s="1">
        <v>1.0347E-7</v>
      </c>
      <c r="G1724" s="1">
        <v>6.7088999999999999</v>
      </c>
      <c r="H1724" s="1">
        <v>1.9894999999999999E-7</v>
      </c>
      <c r="I1724" s="1">
        <f t="shared" si="234"/>
        <v>1.9894999999999999E-7</v>
      </c>
      <c r="J1724" s="4">
        <f t="shared" si="235"/>
        <v>-1.6344826554044872E-9</v>
      </c>
      <c r="K1724" s="4">
        <f t="shared" si="236"/>
        <v>-3.9131267281943535E-9</v>
      </c>
      <c r="L1724" s="4">
        <f t="shared" si="237"/>
        <v>-1.3268954227980062E-9</v>
      </c>
      <c r="M1724" s="4">
        <f t="shared" si="239"/>
        <v>-1.5972322598573554E-9</v>
      </c>
      <c r="N1724" s="5">
        <f t="shared" si="240"/>
        <v>1.5238146451897906E-6</v>
      </c>
      <c r="O1724" s="5">
        <f t="shared" si="241"/>
        <v>1.9999175373550725E-7</v>
      </c>
      <c r="P1724" s="5">
        <f t="shared" si="242"/>
        <v>7.6193601074703775E-8</v>
      </c>
      <c r="Q1724" s="1">
        <f t="shared" si="238"/>
        <v>1.8000000000000018E-6</v>
      </c>
    </row>
    <row r="1725" spans="1:17" x14ac:dyDescent="0.25">
      <c r="A1725" s="1">
        <v>86.15</v>
      </c>
      <c r="B1725" s="1">
        <v>3.9732999999999999E-3</v>
      </c>
      <c r="C1725" s="1">
        <v>1.7263000000000001E-4</v>
      </c>
      <c r="D1725" s="1">
        <v>3.2947999999999998E-2</v>
      </c>
      <c r="E1725" s="1">
        <v>2.0165999999999999E-3</v>
      </c>
      <c r="F1725" s="1">
        <v>1.0334E-7</v>
      </c>
      <c r="G1725" s="1">
        <v>6.7088000000000001</v>
      </c>
      <c r="H1725" s="1">
        <v>1.9896E-7</v>
      </c>
      <c r="I1725" s="1">
        <f t="shared" si="234"/>
        <v>1.9896E-7</v>
      </c>
      <c r="J1725" s="4">
        <f t="shared" si="235"/>
        <v>-1.6314021915424598E-9</v>
      </c>
      <c r="K1725" s="4">
        <f t="shared" si="236"/>
        <v>-3.8998391978432781E-9</v>
      </c>
      <c r="L1725" s="4">
        <f t="shared" si="237"/>
        <v>-1.3227869993478576E-9</v>
      </c>
      <c r="M1725" s="4">
        <f t="shared" si="239"/>
        <v>-1.591665278050655E-9</v>
      </c>
      <c r="N1725" s="5">
        <f t="shared" si="240"/>
        <v>1.5247602951967436E-6</v>
      </c>
      <c r="O1725" s="5">
        <f t="shared" si="241"/>
        <v>1.9931498200725708E-7</v>
      </c>
      <c r="P1725" s="5">
        <f t="shared" si="242"/>
        <v>7.5924722796000983E-8</v>
      </c>
      <c r="Q1725" s="1">
        <f t="shared" si="238"/>
        <v>1.8000000000000016E-6</v>
      </c>
    </row>
    <row r="1726" spans="1:17" x14ac:dyDescent="0.25">
      <c r="A1726" s="1">
        <v>86.2</v>
      </c>
      <c r="B1726" s="1">
        <v>3.9690000000000003E-3</v>
      </c>
      <c r="C1726" s="1">
        <v>1.7239999999999999E-4</v>
      </c>
      <c r="D1726" s="1">
        <v>3.295E-2</v>
      </c>
      <c r="E1726" s="1">
        <v>2.0116000000000001E-3</v>
      </c>
      <c r="F1726" s="1">
        <v>1.0321E-7</v>
      </c>
      <c r="G1726" s="1">
        <v>6.7088000000000001</v>
      </c>
      <c r="H1726" s="1">
        <v>1.9896999999999999E-7</v>
      </c>
      <c r="I1726" s="1">
        <f t="shared" si="234"/>
        <v>1.9896999999999999E-7</v>
      </c>
      <c r="J1726" s="4">
        <f t="shared" si="235"/>
        <v>-1.6283152445107031E-9</v>
      </c>
      <c r="K1726" s="4">
        <f t="shared" si="236"/>
        <v>-3.8866421491412926E-9</v>
      </c>
      <c r="L1726" s="4">
        <f t="shared" si="237"/>
        <v>-1.3186753596509753E-9</v>
      </c>
      <c r="M1726" s="4">
        <f t="shared" si="239"/>
        <v>-1.5861281989866072E-9</v>
      </c>
      <c r="N1726" s="5">
        <f t="shared" si="240"/>
        <v>1.5256999467417231E-6</v>
      </c>
      <c r="O1726" s="5">
        <f t="shared" si="241"/>
        <v>1.986427833016131E-7</v>
      </c>
      <c r="P1726" s="5">
        <f t="shared" si="242"/>
        <v>7.5657269956665345E-8</v>
      </c>
      <c r="Q1726" s="1">
        <f t="shared" si="238"/>
        <v>1.8000000000000016E-6</v>
      </c>
    </row>
    <row r="1727" spans="1:17" x14ac:dyDescent="0.25">
      <c r="A1727" s="1">
        <v>86.25</v>
      </c>
      <c r="B1727" s="1">
        <v>3.9648000000000001E-3</v>
      </c>
      <c r="C1727" s="1">
        <v>1.7217999999999999E-4</v>
      </c>
      <c r="D1727" s="1">
        <v>3.2953000000000003E-2</v>
      </c>
      <c r="E1727" s="1">
        <v>2.0065999999999999E-3</v>
      </c>
      <c r="F1727" s="1">
        <v>1.0307999999999999E-7</v>
      </c>
      <c r="G1727" s="1">
        <v>6.7088000000000001</v>
      </c>
      <c r="H1727" s="1">
        <v>1.9896999999999999E-7</v>
      </c>
      <c r="I1727" s="1">
        <f t="shared" si="234"/>
        <v>1.9896999999999999E-7</v>
      </c>
      <c r="J1727" s="4">
        <f t="shared" si="235"/>
        <v>-1.6252219798045716E-9</v>
      </c>
      <c r="K1727" s="4">
        <f t="shared" si="236"/>
        <v>-3.8735342743812355E-9</v>
      </c>
      <c r="L1727" s="4">
        <f t="shared" si="237"/>
        <v>-1.31456066451756E-9</v>
      </c>
      <c r="M1727" s="4">
        <f t="shared" si="239"/>
        <v>-1.5806203353440689E-9</v>
      </c>
      <c r="N1727" s="5">
        <f t="shared" si="240"/>
        <v>1.5266336983717822E-6</v>
      </c>
      <c r="O1727" s="5">
        <f t="shared" si="241"/>
        <v>1.9797509134238049E-7</v>
      </c>
      <c r="P1727" s="5">
        <f t="shared" si="242"/>
        <v>7.5391210285838836E-8</v>
      </c>
      <c r="Q1727" s="1">
        <f t="shared" si="238"/>
        <v>1.8000000000000016E-6</v>
      </c>
    </row>
    <row r="1728" spans="1:17" x14ac:dyDescent="0.25">
      <c r="A1728" s="1">
        <v>86.3</v>
      </c>
      <c r="B1728" s="1">
        <v>3.9604999999999996E-3</v>
      </c>
      <c r="C1728" s="1">
        <v>1.7196E-4</v>
      </c>
      <c r="D1728" s="1">
        <v>3.2954999999999998E-2</v>
      </c>
      <c r="E1728" s="1">
        <v>2.0016000000000001E-3</v>
      </c>
      <c r="F1728" s="1">
        <v>1.0295000000000001E-7</v>
      </c>
      <c r="G1728" s="1">
        <v>6.7088000000000001</v>
      </c>
      <c r="H1728" s="1">
        <v>1.9898E-7</v>
      </c>
      <c r="I1728" s="1">
        <f t="shared" si="234"/>
        <v>1.9898E-7</v>
      </c>
      <c r="J1728" s="4">
        <f t="shared" si="235"/>
        <v>-1.6221225599830151E-9</v>
      </c>
      <c r="K1728" s="4">
        <f t="shared" si="236"/>
        <v>-3.8605142811762004E-9</v>
      </c>
      <c r="L1728" s="4">
        <f t="shared" si="237"/>
        <v>-1.3104430718642764E-9</v>
      </c>
      <c r="M1728" s="4">
        <f t="shared" si="239"/>
        <v>-1.5750618566101125E-9</v>
      </c>
      <c r="N1728" s="5">
        <f t="shared" si="240"/>
        <v>1.5275616470211111E-6</v>
      </c>
      <c r="O1728" s="5">
        <f t="shared" si="241"/>
        <v>1.9731176147779741E-7</v>
      </c>
      <c r="P1728" s="5">
        <f t="shared" si="242"/>
        <v>7.5126591501093012E-8</v>
      </c>
      <c r="Q1728" s="1">
        <f t="shared" si="238"/>
        <v>1.8000000000000016E-6</v>
      </c>
    </row>
    <row r="1729" spans="1:17" x14ac:dyDescent="0.25">
      <c r="A1729" s="1">
        <v>86.35</v>
      </c>
      <c r="B1729" s="1">
        <v>3.9563000000000003E-3</v>
      </c>
      <c r="C1729" s="1">
        <v>1.7174000000000001E-4</v>
      </c>
      <c r="D1729" s="1">
        <v>3.2957E-2</v>
      </c>
      <c r="E1729" s="1">
        <v>1.9965999999999999E-3</v>
      </c>
      <c r="F1729" s="1">
        <v>1.0282E-7</v>
      </c>
      <c r="G1729" s="1">
        <v>6.7088000000000001</v>
      </c>
      <c r="H1729" s="1">
        <v>1.9899000000000001E-7</v>
      </c>
      <c r="I1729" s="1">
        <f t="shared" si="234"/>
        <v>1.9899000000000001E-7</v>
      </c>
      <c r="J1729" s="4">
        <f t="shared" si="235"/>
        <v>-1.6190171447185845E-9</v>
      </c>
      <c r="K1729" s="4">
        <f t="shared" si="236"/>
        <v>-3.8475793488168305E-9</v>
      </c>
      <c r="L1729" s="4">
        <f t="shared" si="237"/>
        <v>-1.3063227367659237E-9</v>
      </c>
      <c r="M1729" s="4">
        <f t="shared" si="239"/>
        <v>-1.5696123635730971E-9</v>
      </c>
      <c r="N1729" s="5">
        <f t="shared" si="240"/>
        <v>1.5284838864884435E-6</v>
      </c>
      <c r="O1729" s="5">
        <f t="shared" si="241"/>
        <v>1.9665281163727226E-7</v>
      </c>
      <c r="P1729" s="5">
        <f t="shared" si="242"/>
        <v>7.4863301874285842E-8</v>
      </c>
      <c r="Q1729" s="1">
        <f t="shared" si="238"/>
        <v>1.8000000000000016E-6</v>
      </c>
    </row>
    <row r="1730" spans="1:17" x14ac:dyDescent="0.25">
      <c r="A1730" s="1">
        <v>86.4</v>
      </c>
      <c r="B1730" s="1">
        <v>3.9521000000000001E-3</v>
      </c>
      <c r="C1730" s="1">
        <v>1.7152000000000001E-4</v>
      </c>
      <c r="D1730" s="1">
        <v>3.2959000000000002E-2</v>
      </c>
      <c r="E1730" s="1">
        <v>1.9916999999999999E-3</v>
      </c>
      <c r="F1730" s="1">
        <v>1.027E-7</v>
      </c>
      <c r="G1730" s="1">
        <v>6.7087000000000003</v>
      </c>
      <c r="H1730" s="1">
        <v>1.99E-7</v>
      </c>
      <c r="I1730" s="1">
        <f t="shared" si="234"/>
        <v>1.99E-7</v>
      </c>
      <c r="J1730" s="4">
        <f t="shared" si="235"/>
        <v>-1.6159058892126504E-9</v>
      </c>
      <c r="K1730" s="4">
        <f t="shared" si="236"/>
        <v>-3.8347298269276811E-9</v>
      </c>
      <c r="L1730" s="4">
        <f t="shared" si="237"/>
        <v>-1.3021998101894774E-9</v>
      </c>
      <c r="M1730" s="4">
        <f t="shared" si="239"/>
        <v>-1.5641900861965906E-9</v>
      </c>
      <c r="N1730" s="5">
        <f t="shared" si="240"/>
        <v>1.5294005106159692E-6</v>
      </c>
      <c r="O1730" s="5">
        <f t="shared" si="241"/>
        <v>1.9599817778575383E-7</v>
      </c>
      <c r="P1730" s="5">
        <f t="shared" si="242"/>
        <v>7.4601311598278731E-8</v>
      </c>
      <c r="Q1730" s="1">
        <f t="shared" si="238"/>
        <v>1.8000000000000018E-6</v>
      </c>
    </row>
    <row r="1731" spans="1:17" x14ac:dyDescent="0.25">
      <c r="A1731" s="1">
        <v>86.45</v>
      </c>
      <c r="B1731" s="1">
        <v>3.9478999999999998E-3</v>
      </c>
      <c r="C1731" s="1">
        <v>1.7131000000000001E-4</v>
      </c>
      <c r="D1731" s="1">
        <v>3.2960999999999997E-2</v>
      </c>
      <c r="E1731" s="1">
        <v>1.9867999999999999E-3</v>
      </c>
      <c r="F1731" s="1">
        <v>1.0258E-7</v>
      </c>
      <c r="G1731" s="1">
        <v>6.7087000000000003</v>
      </c>
      <c r="H1731" s="1">
        <v>1.9901000000000001E-7</v>
      </c>
      <c r="I1731" s="1">
        <f t="shared" ref="I1731:I1794" si="243">H1731</f>
        <v>1.9901000000000001E-7</v>
      </c>
      <c r="J1731" s="4">
        <f t="shared" ref="J1731:J1794" si="244">(-$T$4*F1730^2*N1730)*(A1731-A1730)</f>
        <v>-1.6131030711613789E-9</v>
      </c>
      <c r="K1731" s="4">
        <f t="shared" ref="K1731:K1794" si="245">-O1730*$T$7*(A1731-A1730)</f>
        <v>-3.8219644668219822E-9</v>
      </c>
      <c r="L1731" s="4">
        <f t="shared" ref="L1731:L1794" si="246">-$T$5*F1730*E1730*(A1731-A1730)*N1730</f>
        <v>-1.2982660326536796E-9</v>
      </c>
      <c r="M1731" s="4">
        <f t="shared" si="239"/>
        <v>-1.5587944058459454E-9</v>
      </c>
      <c r="N1731" s="5">
        <f t="shared" si="240"/>
        <v>1.530311105978976E-6</v>
      </c>
      <c r="O1731" s="5">
        <f t="shared" si="241"/>
        <v>1.9534811079593919E-7</v>
      </c>
      <c r="P1731" s="5">
        <f t="shared" si="242"/>
        <v>7.4340783225086456E-8</v>
      </c>
      <c r="Q1731" s="1">
        <f t="shared" ref="Q1731:Q1794" si="247">N1731+O1731+P1731</f>
        <v>1.8000000000000016E-6</v>
      </c>
    </row>
    <row r="1732" spans="1:17" x14ac:dyDescent="0.25">
      <c r="A1732" s="1">
        <v>86.5</v>
      </c>
      <c r="B1732" s="1">
        <v>3.9436999999999996E-3</v>
      </c>
      <c r="C1732" s="1">
        <v>1.7110000000000001E-4</v>
      </c>
      <c r="D1732" s="1">
        <v>3.2964E-2</v>
      </c>
      <c r="E1732" s="1">
        <v>1.9818000000000001E-3</v>
      </c>
      <c r="F1732" s="1">
        <v>1.0244999999999999E-7</v>
      </c>
      <c r="G1732" s="1">
        <v>6.7087000000000003</v>
      </c>
      <c r="H1732" s="1">
        <v>1.9901999999999999E-7</v>
      </c>
      <c r="I1732" s="1">
        <f t="shared" si="243"/>
        <v>1.9901999999999999E-7</v>
      </c>
      <c r="J1732" s="4">
        <f t="shared" si="244"/>
        <v>-1.6102937953319832E-9</v>
      </c>
      <c r="K1732" s="4">
        <f t="shared" si="245"/>
        <v>-3.809288160520598E-9</v>
      </c>
      <c r="L1732" s="4">
        <f t="shared" si="246"/>
        <v>-1.2943289732060029E-9</v>
      </c>
      <c r="M1732" s="4">
        <f t="shared" ref="M1732:M1795" si="248">-P1731*$T$8*I1731*(A1732-A1731)</f>
        <v>-1.5534287233104796E-9</v>
      </c>
      <c r="N1732" s="5">
        <f t="shared" ref="N1732:N1795" si="249">N1731+J1732-K1732+L1732</f>
        <v>1.5312157713709587E-6</v>
      </c>
      <c r="O1732" s="5">
        <f t="shared" ref="O1732:O1795" si="250">-J1732+O1731+K1732-M1732</f>
        <v>1.9470254515406106E-7</v>
      </c>
      <c r="P1732" s="5">
        <f t="shared" ref="P1732:P1795" si="251">P1731-L1732+M1732</f>
        <v>7.4081683474981986E-8</v>
      </c>
      <c r="Q1732" s="1">
        <f t="shared" si="247"/>
        <v>1.8000000000000018E-6</v>
      </c>
    </row>
    <row r="1733" spans="1:17" x14ac:dyDescent="0.25">
      <c r="A1733" s="1">
        <v>86.55</v>
      </c>
      <c r="B1733" s="1">
        <v>3.9395000000000003E-3</v>
      </c>
      <c r="C1733" s="1">
        <v>1.7087999999999999E-4</v>
      </c>
      <c r="D1733" s="1">
        <v>3.2966000000000002E-2</v>
      </c>
      <c r="E1733" s="1">
        <v>1.9769000000000002E-3</v>
      </c>
      <c r="F1733" s="1">
        <v>1.0233E-7</v>
      </c>
      <c r="G1733" s="1">
        <v>6.7087000000000003</v>
      </c>
      <c r="H1733" s="1">
        <v>1.9903E-7</v>
      </c>
      <c r="I1733" s="1">
        <f t="shared" si="243"/>
        <v>1.9903E-7</v>
      </c>
      <c r="J1733" s="4">
        <f t="shared" si="244"/>
        <v>-1.6071644564348095E-9</v>
      </c>
      <c r="K1733" s="4">
        <f t="shared" si="245"/>
        <v>-3.7966996305039744E-9</v>
      </c>
      <c r="L1733" s="4">
        <f t="shared" si="246"/>
        <v>-1.2901977410458173E-9</v>
      </c>
      <c r="M1733" s="4">
        <f t="shared" si="248"/>
        <v>-1.5480923477449579E-9</v>
      </c>
      <c r="N1733" s="5">
        <f t="shared" si="249"/>
        <v>1.5321151088039822E-6</v>
      </c>
      <c r="O1733" s="5">
        <f t="shared" si="250"/>
        <v>1.9406110232773685E-7</v>
      </c>
      <c r="P1733" s="5">
        <f t="shared" si="251"/>
        <v>7.3823788868282845E-8</v>
      </c>
      <c r="Q1733" s="1">
        <f t="shared" si="247"/>
        <v>1.8000000000000018E-6</v>
      </c>
    </row>
    <row r="1734" spans="1:17" x14ac:dyDescent="0.25">
      <c r="A1734" s="1">
        <v>86.6</v>
      </c>
      <c r="B1734" s="1">
        <v>3.9353000000000001E-3</v>
      </c>
      <c r="C1734" s="1">
        <v>1.7066999999999999E-4</v>
      </c>
      <c r="D1734" s="1">
        <v>3.2967999999999997E-2</v>
      </c>
      <c r="E1734" s="1">
        <v>1.9719999999999998E-3</v>
      </c>
      <c r="F1734" s="1">
        <v>1.0221E-7</v>
      </c>
      <c r="G1734" s="1">
        <v>6.7087000000000003</v>
      </c>
      <c r="H1734" s="1">
        <v>1.9903E-7</v>
      </c>
      <c r="I1734" s="1">
        <f t="shared" si="243"/>
        <v>1.9903E-7</v>
      </c>
      <c r="J1734" s="4">
        <f t="shared" si="244"/>
        <v>-1.6043434428455752E-9</v>
      </c>
      <c r="K1734" s="4">
        <f t="shared" si="245"/>
        <v>-3.7841914953906535E-9</v>
      </c>
      <c r="L1734" s="4">
        <f t="shared" si="246"/>
        <v>-1.2862552713251132E-9</v>
      </c>
      <c r="M1734" s="4">
        <f t="shared" si="248"/>
        <v>-1.5427806133376175E-9</v>
      </c>
      <c r="N1734" s="5">
        <f t="shared" si="249"/>
        <v>1.533008701585202E-6</v>
      </c>
      <c r="O1734" s="5">
        <f t="shared" si="250"/>
        <v>1.934240348885294E-7</v>
      </c>
      <c r="P1734" s="5">
        <f t="shared" si="251"/>
        <v>7.3567263526270346E-8</v>
      </c>
      <c r="Q1734" s="1">
        <f t="shared" si="247"/>
        <v>1.8000000000000018E-6</v>
      </c>
    </row>
    <row r="1735" spans="1:17" x14ac:dyDescent="0.25">
      <c r="A1735" s="1">
        <v>86.65</v>
      </c>
      <c r="B1735" s="1">
        <v>3.9310999999999999E-3</v>
      </c>
      <c r="C1735" s="1">
        <v>1.7047000000000001E-4</v>
      </c>
      <c r="D1735" s="1">
        <v>3.2969999999999999E-2</v>
      </c>
      <c r="E1735" s="1">
        <v>1.9670999999999998E-3</v>
      </c>
      <c r="F1735" s="1">
        <v>1.0209E-7</v>
      </c>
      <c r="G1735" s="1">
        <v>6.7085999999999997</v>
      </c>
      <c r="H1735" s="1">
        <v>1.9903999999999999E-7</v>
      </c>
      <c r="I1735" s="1">
        <f t="shared" si="243"/>
        <v>1.9903999999999999E-7</v>
      </c>
      <c r="J1735" s="4">
        <f t="shared" si="244"/>
        <v>-1.6015164229755734E-9</v>
      </c>
      <c r="K1735" s="4">
        <f t="shared" si="245"/>
        <v>-3.7717686803271814E-9</v>
      </c>
      <c r="L1735" s="4">
        <f t="shared" si="246"/>
        <v>-1.2823099601161822E-9</v>
      </c>
      <c r="M1735" s="4">
        <f t="shared" si="248"/>
        <v>-1.537419708261876E-9</v>
      </c>
      <c r="N1735" s="5">
        <f t="shared" si="249"/>
        <v>1.5338966438824375E-6</v>
      </c>
      <c r="O1735" s="5">
        <f t="shared" si="250"/>
        <v>1.9279120233943968E-7</v>
      </c>
      <c r="P1735" s="5">
        <f t="shared" si="251"/>
        <v>7.3312153778124647E-8</v>
      </c>
      <c r="Q1735" s="1">
        <f t="shared" si="247"/>
        <v>1.8000000000000018E-6</v>
      </c>
    </row>
    <row r="1736" spans="1:17" x14ac:dyDescent="0.25">
      <c r="A1736" s="1">
        <v>86.7</v>
      </c>
      <c r="B1736" s="1">
        <v>3.9269999999999999E-3</v>
      </c>
      <c r="C1736" s="1">
        <v>1.7026000000000001E-4</v>
      </c>
      <c r="D1736" s="1">
        <v>3.2972000000000001E-2</v>
      </c>
      <c r="E1736" s="1">
        <v>1.9623000000000002E-3</v>
      </c>
      <c r="F1736" s="1">
        <v>1.0197000000000001E-7</v>
      </c>
      <c r="G1736" s="1">
        <v>6.7085999999999997</v>
      </c>
      <c r="H1736" s="1">
        <v>1.9905E-7</v>
      </c>
      <c r="I1736" s="1">
        <f t="shared" si="243"/>
        <v>1.9905E-7</v>
      </c>
      <c r="J1736" s="4">
        <f t="shared" si="244"/>
        <v>-1.5986835449896465E-9</v>
      </c>
      <c r="K1736" s="4">
        <f t="shared" si="245"/>
        <v>-3.7594284456188603E-9</v>
      </c>
      <c r="L1736" s="4">
        <f t="shared" si="246"/>
        <v>-1.2783619517679405E-9</v>
      </c>
      <c r="M1736" s="4">
        <f t="shared" si="248"/>
        <v>-1.5321653642396955E-9</v>
      </c>
      <c r="N1736" s="5">
        <f t="shared" si="249"/>
        <v>1.5347790268312987E-6</v>
      </c>
      <c r="O1736" s="5">
        <f t="shared" si="250"/>
        <v>1.9216262280305016E-7</v>
      </c>
      <c r="P1736" s="5">
        <f t="shared" si="251"/>
        <v>7.3058350365652891E-8</v>
      </c>
      <c r="Q1736" s="1">
        <f t="shared" si="247"/>
        <v>1.8000000000000018E-6</v>
      </c>
    </row>
    <row r="1737" spans="1:17" x14ac:dyDescent="0.25">
      <c r="A1737" s="1">
        <v>86.75</v>
      </c>
      <c r="B1737" s="1">
        <v>3.9227999999999997E-3</v>
      </c>
      <c r="C1737" s="1">
        <v>1.7005000000000001E-4</v>
      </c>
      <c r="D1737" s="1">
        <v>3.2974999999999997E-2</v>
      </c>
      <c r="E1737" s="1">
        <v>1.9574000000000002E-3</v>
      </c>
      <c r="F1737" s="1">
        <v>1.0185E-7</v>
      </c>
      <c r="G1737" s="1">
        <v>6.7085999999999997</v>
      </c>
      <c r="H1737" s="1">
        <v>1.9906000000000001E-7</v>
      </c>
      <c r="I1737" s="1">
        <f t="shared" si="243"/>
        <v>1.9906000000000001E-7</v>
      </c>
      <c r="J1737" s="4">
        <f t="shared" si="244"/>
        <v>-1.5958449528808842E-9</v>
      </c>
      <c r="K1737" s="4">
        <f t="shared" si="245"/>
        <v>-3.7471711446592649E-9</v>
      </c>
      <c r="L1737" s="4">
        <f t="shared" si="246"/>
        <v>-1.274476334883629E-9</v>
      </c>
      <c r="M1737" s="4">
        <f t="shared" si="248"/>
        <v>-1.5269377872296501E-9</v>
      </c>
      <c r="N1737" s="5">
        <f t="shared" si="249"/>
        <v>1.5356558766881935E-6</v>
      </c>
      <c r="O1737" s="5">
        <f t="shared" si="250"/>
        <v>1.9153823439850143E-7</v>
      </c>
      <c r="P1737" s="5">
        <f t="shared" si="251"/>
        <v>7.2805888913306871E-8</v>
      </c>
      <c r="Q1737" s="1">
        <f t="shared" si="247"/>
        <v>1.8000000000000018E-6</v>
      </c>
    </row>
    <row r="1738" spans="1:17" x14ac:dyDescent="0.25">
      <c r="A1738" s="1">
        <v>86.8</v>
      </c>
      <c r="B1738" s="1">
        <v>3.9186999999999998E-3</v>
      </c>
      <c r="C1738" s="1">
        <v>1.6985000000000001E-4</v>
      </c>
      <c r="D1738" s="1">
        <v>3.2976999999999999E-2</v>
      </c>
      <c r="E1738" s="1">
        <v>1.9525E-3</v>
      </c>
      <c r="F1738" s="1">
        <v>1.0173E-7</v>
      </c>
      <c r="G1738" s="1">
        <v>6.7085999999999997</v>
      </c>
      <c r="H1738" s="1">
        <v>1.9907E-7</v>
      </c>
      <c r="I1738" s="1">
        <f t="shared" si="243"/>
        <v>1.9907E-7</v>
      </c>
      <c r="J1738" s="4">
        <f t="shared" si="244"/>
        <v>-1.5930007223493628E-9</v>
      </c>
      <c r="K1738" s="4">
        <f t="shared" si="245"/>
        <v>-3.7349955707705658E-9</v>
      </c>
      <c r="L1738" s="4">
        <f t="shared" si="246"/>
        <v>-1.2705232594791917E-9</v>
      </c>
      <c r="M1738" s="4">
        <f t="shared" si="248"/>
        <v>-1.5217377259436146E-9</v>
      </c>
      <c r="N1738" s="5">
        <f t="shared" si="249"/>
        <v>1.5365273482771355E-6</v>
      </c>
      <c r="O1738" s="5">
        <f t="shared" si="250"/>
        <v>1.9091797727602383E-7</v>
      </c>
      <c r="P1738" s="5">
        <f t="shared" si="251"/>
        <v>7.255467444684245E-8</v>
      </c>
      <c r="Q1738" s="1">
        <f t="shared" si="247"/>
        <v>1.8000000000000018E-6</v>
      </c>
    </row>
    <row r="1739" spans="1:17" x14ac:dyDescent="0.25">
      <c r="A1739" s="1">
        <v>86.85</v>
      </c>
      <c r="B1739" s="1">
        <v>3.9145999999999999E-3</v>
      </c>
      <c r="C1739" s="1">
        <v>1.6965E-4</v>
      </c>
      <c r="D1739" s="1">
        <v>3.2979000000000001E-2</v>
      </c>
      <c r="E1739" s="1">
        <v>1.9476999999999999E-3</v>
      </c>
      <c r="F1739" s="1">
        <v>1.0162000000000001E-7</v>
      </c>
      <c r="G1739" s="1">
        <v>6.7085999999999997</v>
      </c>
      <c r="H1739" s="1">
        <v>1.9908000000000001E-7</v>
      </c>
      <c r="I1739" s="1">
        <f t="shared" si="243"/>
        <v>1.9908000000000001E-7</v>
      </c>
      <c r="J1739" s="4">
        <f t="shared" si="244"/>
        <v>-1.5901510617974998E-9</v>
      </c>
      <c r="K1739" s="4">
        <f t="shared" si="245"/>
        <v>-3.7229005568822529E-9</v>
      </c>
      <c r="L1739" s="4">
        <f t="shared" si="246"/>
        <v>-1.2665679037513433E-9</v>
      </c>
      <c r="M1739" s="4">
        <f t="shared" si="248"/>
        <v>-1.5165631994238712E-9</v>
      </c>
      <c r="N1739" s="5">
        <f t="shared" si="249"/>
        <v>1.5373935298684688E-6</v>
      </c>
      <c r="O1739" s="5">
        <f t="shared" si="250"/>
        <v>1.9030179098036296E-7</v>
      </c>
      <c r="P1739" s="5">
        <f t="shared" si="251"/>
        <v>7.2304679151169929E-8</v>
      </c>
      <c r="Q1739" s="1">
        <f t="shared" si="247"/>
        <v>1.8000000000000018E-6</v>
      </c>
    </row>
    <row r="1740" spans="1:17" x14ac:dyDescent="0.25">
      <c r="A1740" s="1">
        <v>86.9</v>
      </c>
      <c r="B1740" s="1">
        <v>3.9103999999999996E-3</v>
      </c>
      <c r="C1740" s="1">
        <v>1.6945E-4</v>
      </c>
      <c r="D1740" s="1">
        <v>3.2981000000000003E-2</v>
      </c>
      <c r="E1740" s="1">
        <v>1.9429E-3</v>
      </c>
      <c r="F1740" s="1">
        <v>1.015E-7</v>
      </c>
      <c r="G1740" s="1">
        <v>6.7084999999999999</v>
      </c>
      <c r="H1740" s="1">
        <v>1.9908999999999999E-7</v>
      </c>
      <c r="I1740" s="1">
        <f t="shared" si="243"/>
        <v>1.9908999999999999E-7</v>
      </c>
      <c r="J1740" s="4">
        <f t="shared" si="244"/>
        <v>-1.5876085537945469E-9</v>
      </c>
      <c r="K1740" s="4">
        <f t="shared" si="245"/>
        <v>-3.7108849241179217E-9</v>
      </c>
      <c r="L1740" s="4">
        <f t="shared" si="246"/>
        <v>-1.262799497927219E-9</v>
      </c>
      <c r="M1740" s="4">
        <f t="shared" si="248"/>
        <v>-1.5114136301689093E-9</v>
      </c>
      <c r="N1740" s="5">
        <f t="shared" si="249"/>
        <v>1.538254006740865E-6</v>
      </c>
      <c r="O1740" s="5">
        <f t="shared" si="250"/>
        <v>1.8968992824020849E-7</v>
      </c>
      <c r="P1740" s="5">
        <f t="shared" si="251"/>
        <v>7.2056065018928239E-8</v>
      </c>
      <c r="Q1740" s="1">
        <f t="shared" si="247"/>
        <v>1.8000000000000018E-6</v>
      </c>
    </row>
    <row r="1741" spans="1:17" x14ac:dyDescent="0.25">
      <c r="A1741" s="1">
        <v>86.95</v>
      </c>
      <c r="B1741" s="1">
        <v>3.9062999999999997E-3</v>
      </c>
      <c r="C1741" s="1">
        <v>1.6924999999999999E-4</v>
      </c>
      <c r="D1741" s="1">
        <v>3.2982999999999998E-2</v>
      </c>
      <c r="E1741" s="1">
        <v>1.9380999999999999E-3</v>
      </c>
      <c r="F1741" s="1">
        <v>1.0139E-7</v>
      </c>
      <c r="G1741" s="1">
        <v>6.7084999999999999</v>
      </c>
      <c r="H1741" s="1">
        <v>1.9908999999999999E-7</v>
      </c>
      <c r="I1741" s="1">
        <f t="shared" si="243"/>
        <v>1.9908999999999999E-7</v>
      </c>
      <c r="J1741" s="4">
        <f t="shared" si="244"/>
        <v>-1.5847477340945173E-9</v>
      </c>
      <c r="K1741" s="4">
        <f t="shared" si="245"/>
        <v>-3.6989536006838557E-9</v>
      </c>
      <c r="L1741" s="4">
        <f t="shared" si="246"/>
        <v>-1.2589040833669742E-9</v>
      </c>
      <c r="M1741" s="4">
        <f t="shared" si="248"/>
        <v>-1.5062924083848487E-9</v>
      </c>
      <c r="N1741" s="5">
        <f t="shared" si="249"/>
        <v>1.5391093085240871E-6</v>
      </c>
      <c r="O1741" s="5">
        <f t="shared" si="250"/>
        <v>1.8908201478200403E-7</v>
      </c>
      <c r="P1741" s="5">
        <f t="shared" si="251"/>
        <v>7.1808676693910362E-8</v>
      </c>
      <c r="Q1741" s="1">
        <f t="shared" si="247"/>
        <v>1.8000000000000016E-6</v>
      </c>
    </row>
    <row r="1742" spans="1:17" x14ac:dyDescent="0.25">
      <c r="A1742" s="1">
        <v>87</v>
      </c>
      <c r="B1742" s="1">
        <v>3.9022000000000002E-3</v>
      </c>
      <c r="C1742" s="1">
        <v>1.6904999999999999E-4</v>
      </c>
      <c r="D1742" s="1">
        <v>3.2985E-2</v>
      </c>
      <c r="E1742" s="1">
        <v>1.9333E-3</v>
      </c>
      <c r="F1742" s="1">
        <v>1.0128E-7</v>
      </c>
      <c r="G1742" s="1">
        <v>6.7084999999999999</v>
      </c>
      <c r="H1742" s="1">
        <v>1.991E-7</v>
      </c>
      <c r="I1742" s="1">
        <f t="shared" si="243"/>
        <v>1.991E-7</v>
      </c>
      <c r="J1742" s="4">
        <f t="shared" si="244"/>
        <v>-1.5821939186104668E-9</v>
      </c>
      <c r="K1742" s="4">
        <f t="shared" si="245"/>
        <v>-3.6870992882488691E-9</v>
      </c>
      <c r="L1742" s="4">
        <f t="shared" si="246"/>
        <v>-1.255130450703681E-9</v>
      </c>
      <c r="M1742" s="4">
        <f t="shared" si="248"/>
        <v>-1.5011208915139292E-9</v>
      </c>
      <c r="N1742" s="5">
        <f t="shared" si="249"/>
        <v>1.5399590834430219E-6</v>
      </c>
      <c r="O1742" s="5">
        <f t="shared" si="250"/>
        <v>1.8847823030387954E-7</v>
      </c>
      <c r="P1742" s="5">
        <f t="shared" si="251"/>
        <v>7.1562686253100118E-8</v>
      </c>
      <c r="Q1742" s="1">
        <f t="shared" si="247"/>
        <v>1.8000000000000016E-6</v>
      </c>
    </row>
    <row r="1743" spans="1:17" x14ac:dyDescent="0.25">
      <c r="A1743" s="1">
        <v>87.05</v>
      </c>
      <c r="B1743" s="1">
        <v>3.8980999999999998E-3</v>
      </c>
      <c r="C1743" s="1">
        <v>1.6886000000000001E-4</v>
      </c>
      <c r="D1743" s="1">
        <v>3.2988000000000003E-2</v>
      </c>
      <c r="E1743" s="1">
        <v>1.9285000000000001E-3</v>
      </c>
      <c r="F1743" s="1">
        <v>1.0116E-7</v>
      </c>
      <c r="G1743" s="1">
        <v>6.7084999999999999</v>
      </c>
      <c r="H1743" s="1">
        <v>1.9910999999999999E-7</v>
      </c>
      <c r="I1743" s="1">
        <f t="shared" si="243"/>
        <v>1.9910999999999999E-7</v>
      </c>
      <c r="J1743" s="4">
        <f t="shared" si="244"/>
        <v>-1.579634342875305E-9</v>
      </c>
      <c r="K1743" s="4">
        <f t="shared" si="245"/>
        <v>-3.6753254909254422E-9</v>
      </c>
      <c r="L1743" s="4">
        <f t="shared" si="246"/>
        <v>-1.2513541036320528E-9</v>
      </c>
      <c r="M1743" s="4">
        <f t="shared" si="248"/>
        <v>-1.4960537374640993E-9</v>
      </c>
      <c r="N1743" s="5">
        <f t="shared" si="249"/>
        <v>1.5408034204874402E-6</v>
      </c>
      <c r="O1743" s="5">
        <f t="shared" si="250"/>
        <v>1.8787859289329351E-7</v>
      </c>
      <c r="P1743" s="5">
        <f t="shared" si="251"/>
        <v>7.131798661926807E-8</v>
      </c>
      <c r="Q1743" s="1">
        <f t="shared" si="247"/>
        <v>1.8000000000000016E-6</v>
      </c>
    </row>
    <row r="1744" spans="1:17" x14ac:dyDescent="0.25">
      <c r="A1744" s="1">
        <v>87.1</v>
      </c>
      <c r="B1744" s="1">
        <v>3.8941000000000002E-3</v>
      </c>
      <c r="C1744" s="1">
        <v>1.6867E-4</v>
      </c>
      <c r="D1744" s="1">
        <v>3.2989999999999998E-2</v>
      </c>
      <c r="E1744" s="1">
        <v>1.9237E-3</v>
      </c>
      <c r="F1744" s="1">
        <v>1.0104999999999999E-7</v>
      </c>
      <c r="G1744" s="1">
        <v>6.7084999999999999</v>
      </c>
      <c r="H1744" s="1">
        <v>1.9912E-7</v>
      </c>
      <c r="I1744" s="1">
        <f t="shared" si="243"/>
        <v>1.9912E-7</v>
      </c>
      <c r="J1744" s="4">
        <f t="shared" si="244"/>
        <v>-1.57675739035092E-9</v>
      </c>
      <c r="K1744" s="4">
        <f t="shared" si="245"/>
        <v>-3.6636325614190154E-9</v>
      </c>
      <c r="L1744" s="4">
        <f t="shared" si="246"/>
        <v>-1.247451858764409E-9</v>
      </c>
      <c r="M1744" s="4">
        <f t="shared" si="248"/>
        <v>-1.4910130531549739E-9</v>
      </c>
      <c r="N1744" s="5">
        <f t="shared" si="249"/>
        <v>1.541642843799744E-6</v>
      </c>
      <c r="O1744" s="5">
        <f t="shared" si="250"/>
        <v>1.8728273077538039E-7</v>
      </c>
      <c r="P1744" s="5">
        <f t="shared" si="251"/>
        <v>7.1074425424877508E-8</v>
      </c>
      <c r="Q1744" s="1">
        <f t="shared" si="247"/>
        <v>1.800000000000002E-6</v>
      </c>
    </row>
    <row r="1745" spans="1:17" x14ac:dyDescent="0.25">
      <c r="A1745" s="1">
        <v>87.15</v>
      </c>
      <c r="B1745" s="1">
        <v>3.8899999999999998E-3</v>
      </c>
      <c r="C1745" s="1">
        <v>1.6846999999999999E-4</v>
      </c>
      <c r="D1745" s="1">
        <v>3.2992E-2</v>
      </c>
      <c r="E1745" s="1">
        <v>1.9189999999999999E-3</v>
      </c>
      <c r="F1745" s="1">
        <v>1.0094E-7</v>
      </c>
      <c r="G1745" s="1">
        <v>6.7084000000000001</v>
      </c>
      <c r="H1745" s="1">
        <v>1.9913000000000001E-7</v>
      </c>
      <c r="I1745" s="1">
        <f t="shared" si="243"/>
        <v>1.9913000000000001E-7</v>
      </c>
      <c r="J1745" s="4">
        <f t="shared" si="244"/>
        <v>-1.5741873096434253E-9</v>
      </c>
      <c r="K1745" s="4">
        <f t="shared" si="245"/>
        <v>-3.652013250120748E-9</v>
      </c>
      <c r="L1745" s="4">
        <f t="shared" si="246"/>
        <v>-1.2436710667370993E-9</v>
      </c>
      <c r="M1745" s="4">
        <f t="shared" si="248"/>
        <v>-1.4859956570135069E-9</v>
      </c>
      <c r="N1745" s="5">
        <f t="shared" si="249"/>
        <v>1.5424769986734842E-6</v>
      </c>
      <c r="O1745" s="5">
        <f t="shared" si="250"/>
        <v>1.866909004919166E-7</v>
      </c>
      <c r="P1745" s="5">
        <f t="shared" si="251"/>
        <v>7.0832100834601098E-8</v>
      </c>
      <c r="Q1745" s="1">
        <f t="shared" si="247"/>
        <v>1.8000000000000018E-6</v>
      </c>
    </row>
    <row r="1746" spans="1:17" x14ac:dyDescent="0.25">
      <c r="A1746" s="1">
        <v>87.2</v>
      </c>
      <c r="B1746" s="1">
        <v>3.8858999999999999E-3</v>
      </c>
      <c r="C1746" s="1">
        <v>1.6828000000000001E-4</v>
      </c>
      <c r="D1746" s="1">
        <v>3.2994000000000002E-2</v>
      </c>
      <c r="E1746" s="1">
        <v>1.9142E-3</v>
      </c>
      <c r="F1746" s="1">
        <v>1.0083E-7</v>
      </c>
      <c r="G1746" s="1">
        <v>6.7084000000000001</v>
      </c>
      <c r="H1746" s="1">
        <v>1.9914E-7</v>
      </c>
      <c r="I1746" s="1">
        <f t="shared" si="243"/>
        <v>1.9914E-7</v>
      </c>
      <c r="J1746" s="4">
        <f t="shared" si="244"/>
        <v>-1.5716118595160591E-9</v>
      </c>
      <c r="K1746" s="4">
        <f t="shared" si="245"/>
        <v>-3.640472559592167E-9</v>
      </c>
      <c r="L1746" s="4">
        <f t="shared" si="246"/>
        <v>-1.2399525567076448E-9</v>
      </c>
      <c r="M1746" s="4">
        <f t="shared" si="248"/>
        <v>-1.4810036051152984E-9</v>
      </c>
      <c r="N1746" s="5">
        <f t="shared" si="249"/>
        <v>1.5433059068168527E-6</v>
      </c>
      <c r="O1746" s="5">
        <f t="shared" si="250"/>
        <v>1.861030433969558E-7</v>
      </c>
      <c r="P1746" s="5">
        <f t="shared" si="251"/>
        <v>7.0591049786193435E-8</v>
      </c>
      <c r="Q1746" s="1">
        <f t="shared" si="247"/>
        <v>1.8000000000000018E-6</v>
      </c>
    </row>
    <row r="1747" spans="1:17" x14ac:dyDescent="0.25">
      <c r="A1747" s="1">
        <v>87.25</v>
      </c>
      <c r="B1747" s="1">
        <v>3.8819000000000002E-3</v>
      </c>
      <c r="C1747" s="1">
        <v>1.6809E-4</v>
      </c>
      <c r="D1747" s="1">
        <v>3.2995999999999998E-2</v>
      </c>
      <c r="E1747" s="1">
        <v>1.9095E-3</v>
      </c>
      <c r="F1747" s="1">
        <v>1.0072E-7</v>
      </c>
      <c r="G1747" s="1">
        <v>6.7084000000000001</v>
      </c>
      <c r="H1747" s="1">
        <v>1.9914E-7</v>
      </c>
      <c r="I1747" s="1">
        <f t="shared" si="243"/>
        <v>1.9914E-7</v>
      </c>
      <c r="J1747" s="4">
        <f t="shared" si="244"/>
        <v>-1.5690311032138436E-9</v>
      </c>
      <c r="K1747" s="4">
        <f t="shared" si="245"/>
        <v>-3.6290093462404321E-9</v>
      </c>
      <c r="L1747" s="4">
        <f t="shared" si="246"/>
        <v>-1.2361671379305318E-9</v>
      </c>
      <c r="M1747" s="4">
        <f t="shared" si="248"/>
        <v>-1.4760376737142847E-9</v>
      </c>
      <c r="N1747" s="5">
        <f t="shared" si="249"/>
        <v>1.5441297179219486E-6</v>
      </c>
      <c r="O1747" s="5">
        <f t="shared" si="250"/>
        <v>1.855191028276435E-7</v>
      </c>
      <c r="P1747" s="5">
        <f t="shared" si="251"/>
        <v>7.035117925040968E-8</v>
      </c>
      <c r="Q1747" s="1">
        <f t="shared" si="247"/>
        <v>1.8000000000000018E-6</v>
      </c>
    </row>
    <row r="1748" spans="1:17" x14ac:dyDescent="0.25">
      <c r="A1748" s="1">
        <v>87.3</v>
      </c>
      <c r="B1748" s="1">
        <v>3.8777999999999998E-3</v>
      </c>
      <c r="C1748" s="1">
        <v>1.6791000000000001E-4</v>
      </c>
      <c r="D1748" s="1">
        <v>3.2998E-2</v>
      </c>
      <c r="E1748" s="1">
        <v>1.9047999999999999E-3</v>
      </c>
      <c r="F1748" s="1">
        <v>1.0062E-7</v>
      </c>
      <c r="G1748" s="1">
        <v>6.7084000000000001</v>
      </c>
      <c r="H1748" s="1">
        <v>1.9915000000000001E-7</v>
      </c>
      <c r="I1748" s="1">
        <f t="shared" si="243"/>
        <v>1.9915000000000001E-7</v>
      </c>
      <c r="J1748" s="4">
        <f t="shared" si="244"/>
        <v>-1.5664452335445127E-9</v>
      </c>
      <c r="K1748" s="4">
        <f t="shared" si="245"/>
        <v>-3.6176225051388427E-9</v>
      </c>
      <c r="L1748" s="4">
        <f t="shared" si="246"/>
        <v>-1.2324441788950531E-9</v>
      </c>
      <c r="M1748" s="4">
        <f t="shared" si="248"/>
        <v>-1.4710220527722075E-9</v>
      </c>
      <c r="N1748" s="5">
        <f t="shared" si="249"/>
        <v>1.5449484510146479E-6</v>
      </c>
      <c r="O1748" s="5">
        <f t="shared" si="250"/>
        <v>1.8493894760882137E-7</v>
      </c>
      <c r="P1748" s="5">
        <f t="shared" si="251"/>
        <v>7.0112601376532531E-8</v>
      </c>
      <c r="Q1748" s="1">
        <f t="shared" si="247"/>
        <v>1.8000000000000016E-6</v>
      </c>
    </row>
    <row r="1749" spans="1:17" x14ac:dyDescent="0.25">
      <c r="A1749" s="1">
        <v>87.35</v>
      </c>
      <c r="B1749" s="1">
        <v>3.8738000000000002E-3</v>
      </c>
      <c r="C1749" s="1">
        <v>1.6772E-4</v>
      </c>
      <c r="D1749" s="1">
        <v>3.3000000000000002E-2</v>
      </c>
      <c r="E1749" s="1">
        <v>1.9E-3</v>
      </c>
      <c r="F1749" s="1">
        <v>1.0051E-7</v>
      </c>
      <c r="G1749" s="1">
        <v>6.7084000000000001</v>
      </c>
      <c r="H1749" s="1">
        <v>1.9915999999999999E-7</v>
      </c>
      <c r="I1749" s="1">
        <f t="shared" si="243"/>
        <v>1.9915999999999999E-7</v>
      </c>
      <c r="J1749" s="4">
        <f t="shared" si="244"/>
        <v>-1.5641651996255977E-9</v>
      </c>
      <c r="K1749" s="4">
        <f t="shared" si="245"/>
        <v>-3.6063094783718115E-9</v>
      </c>
      <c r="L1749" s="4">
        <f t="shared" si="246"/>
        <v>-1.2288412611632257E-9</v>
      </c>
      <c r="M1749" s="4">
        <f t="shared" si="248"/>
        <v>-1.4661070792342442E-9</v>
      </c>
      <c r="N1749" s="5">
        <f t="shared" si="249"/>
        <v>1.5457617540322309E-6</v>
      </c>
      <c r="O1749" s="5">
        <f t="shared" si="250"/>
        <v>1.8436291040930941E-7</v>
      </c>
      <c r="P1749" s="5">
        <f t="shared" si="251"/>
        <v>6.9875335558461521E-8</v>
      </c>
      <c r="Q1749" s="1">
        <f t="shared" si="247"/>
        <v>1.8000000000000018E-6</v>
      </c>
    </row>
    <row r="1750" spans="1:17" x14ac:dyDescent="0.25">
      <c r="A1750" s="1">
        <v>87.4</v>
      </c>
      <c r="B1750" s="1">
        <v>3.8698000000000001E-3</v>
      </c>
      <c r="C1750" s="1">
        <v>1.6754000000000001E-4</v>
      </c>
      <c r="D1750" s="1">
        <v>3.3001999999999997E-2</v>
      </c>
      <c r="E1750" s="1">
        <v>1.8954E-3</v>
      </c>
      <c r="F1750" s="1">
        <v>1.004E-7</v>
      </c>
      <c r="G1750" s="1">
        <v>6.7083000000000004</v>
      </c>
      <c r="H1750" s="1">
        <v>1.9917E-7</v>
      </c>
      <c r="I1750" s="1">
        <f t="shared" si="243"/>
        <v>1.9917E-7</v>
      </c>
      <c r="J1750" s="4">
        <f t="shared" si="244"/>
        <v>-1.5615687291869374E-9</v>
      </c>
      <c r="K1750" s="4">
        <f t="shared" si="245"/>
        <v>-3.5950767529823506E-9</v>
      </c>
      <c r="L1750" s="4">
        <f t="shared" si="246"/>
        <v>-1.2250491920842703E-9</v>
      </c>
      <c r="M1750" s="4">
        <f t="shared" si="248"/>
        <v>-1.4612190421317678E-9</v>
      </c>
      <c r="N1750" s="5">
        <f t="shared" si="249"/>
        <v>1.5465702128639421E-6</v>
      </c>
      <c r="O1750" s="5">
        <f t="shared" si="250"/>
        <v>1.8379062142764577E-7</v>
      </c>
      <c r="P1750" s="5">
        <f t="shared" si="251"/>
        <v>6.9639165708414029E-8</v>
      </c>
      <c r="Q1750" s="1">
        <f t="shared" si="247"/>
        <v>1.800000000000002E-6</v>
      </c>
    </row>
    <row r="1751" spans="1:17" x14ac:dyDescent="0.25">
      <c r="A1751" s="1">
        <v>87.45</v>
      </c>
      <c r="B1751" s="1">
        <v>3.8658E-3</v>
      </c>
      <c r="C1751" s="1">
        <v>1.6735E-4</v>
      </c>
      <c r="D1751" s="1">
        <v>3.3003999999999999E-2</v>
      </c>
      <c r="E1751" s="1">
        <v>1.8906999999999999E-3</v>
      </c>
      <c r="F1751" s="1">
        <v>1.003E-7</v>
      </c>
      <c r="G1751" s="1">
        <v>6.7083000000000004</v>
      </c>
      <c r="H1751" s="1">
        <v>1.9917999999999999E-7</v>
      </c>
      <c r="I1751" s="1">
        <f t="shared" si="243"/>
        <v>1.9917999999999999E-7</v>
      </c>
      <c r="J1751" s="4">
        <f t="shared" si="244"/>
        <v>-1.5589675196901708E-9</v>
      </c>
      <c r="K1751" s="4">
        <f t="shared" si="245"/>
        <v>-3.5839171178388891E-9</v>
      </c>
      <c r="L1751" s="4">
        <f t="shared" si="246"/>
        <v>-1.2213842831480193E-9</v>
      </c>
      <c r="M1751" s="4">
        <f t="shared" si="248"/>
        <v>-1.4563534265851236E-9</v>
      </c>
      <c r="N1751" s="5">
        <f t="shared" si="249"/>
        <v>1.5473737781789429E-6</v>
      </c>
      <c r="O1751" s="5">
        <f t="shared" si="250"/>
        <v>1.8322202525608218E-7</v>
      </c>
      <c r="P1751" s="5">
        <f t="shared" si="251"/>
        <v>6.9404196564976932E-8</v>
      </c>
      <c r="Q1751" s="1">
        <f t="shared" si="247"/>
        <v>1.800000000000002E-6</v>
      </c>
    </row>
    <row r="1752" spans="1:17" x14ac:dyDescent="0.25">
      <c r="A1752" s="1">
        <v>87.5</v>
      </c>
      <c r="B1752" s="1">
        <v>3.8617999999999999E-3</v>
      </c>
      <c r="C1752" s="1">
        <v>1.6716999999999999E-4</v>
      </c>
      <c r="D1752" s="1">
        <v>3.3007000000000002E-2</v>
      </c>
      <c r="E1752" s="1">
        <v>1.8860000000000001E-3</v>
      </c>
      <c r="F1752" s="1">
        <v>1.0019E-7</v>
      </c>
      <c r="G1752" s="1">
        <v>6.7083000000000004</v>
      </c>
      <c r="H1752" s="1">
        <v>1.9919E-7</v>
      </c>
      <c r="I1752" s="1">
        <f t="shared" si="243"/>
        <v>1.9919E-7</v>
      </c>
      <c r="J1752" s="4">
        <f t="shared" si="244"/>
        <v>-1.5566719472119319E-9</v>
      </c>
      <c r="K1752" s="4">
        <f t="shared" si="245"/>
        <v>-3.5728294924933994E-9</v>
      </c>
      <c r="L1752" s="4">
        <f t="shared" si="246"/>
        <v>-1.217774531402137E-9</v>
      </c>
      <c r="M1752" s="4">
        <f t="shared" si="248"/>
        <v>-1.4515124265401884E-9</v>
      </c>
      <c r="N1752" s="5">
        <f t="shared" si="249"/>
        <v>1.5481721611928222E-6</v>
      </c>
      <c r="O1752" s="5">
        <f t="shared" si="250"/>
        <v>1.8265738013734088E-7</v>
      </c>
      <c r="P1752" s="5">
        <f t="shared" si="251"/>
        <v>6.917045866983888E-8</v>
      </c>
      <c r="Q1752" s="1">
        <f t="shared" si="247"/>
        <v>1.8000000000000018E-6</v>
      </c>
    </row>
    <row r="1753" spans="1:17" x14ac:dyDescent="0.25">
      <c r="A1753" s="1">
        <v>87.55</v>
      </c>
      <c r="B1753" s="1">
        <v>3.8578000000000002E-3</v>
      </c>
      <c r="C1753" s="1">
        <v>1.6699E-4</v>
      </c>
      <c r="D1753" s="1">
        <v>3.3008999999999997E-2</v>
      </c>
      <c r="E1753" s="1">
        <v>1.8813E-3</v>
      </c>
      <c r="F1753" s="1">
        <v>1.0009E-7</v>
      </c>
      <c r="G1753" s="1">
        <v>6.7083000000000004</v>
      </c>
      <c r="H1753" s="1">
        <v>1.9919E-7</v>
      </c>
      <c r="I1753" s="1">
        <f t="shared" si="243"/>
        <v>1.9919E-7</v>
      </c>
      <c r="J1753" s="4">
        <f t="shared" si="244"/>
        <v>-1.5540608043067685E-9</v>
      </c>
      <c r="K1753" s="4">
        <f t="shared" si="245"/>
        <v>-3.561818912677945E-9</v>
      </c>
      <c r="L1753" s="4">
        <f t="shared" si="246"/>
        <v>-1.2140411726947449E-9</v>
      </c>
      <c r="M1753" s="4">
        <f t="shared" si="248"/>
        <v>-1.4466966845566645E-9</v>
      </c>
      <c r="N1753" s="5">
        <f t="shared" si="249"/>
        <v>1.5489658781284987E-6</v>
      </c>
      <c r="O1753" s="5">
        <f t="shared" si="250"/>
        <v>1.8209631871352637E-7</v>
      </c>
      <c r="P1753" s="5">
        <f t="shared" si="251"/>
        <v>6.8937803157976957E-8</v>
      </c>
      <c r="Q1753" s="1">
        <f t="shared" si="247"/>
        <v>1.8000000000000022E-6</v>
      </c>
    </row>
    <row r="1754" spans="1:17" x14ac:dyDescent="0.25">
      <c r="A1754" s="1">
        <v>87.6</v>
      </c>
      <c r="B1754" s="1">
        <v>3.8538000000000001E-3</v>
      </c>
      <c r="C1754" s="1">
        <v>1.6681000000000001E-4</v>
      </c>
      <c r="D1754" s="1">
        <v>3.3010999999999999E-2</v>
      </c>
      <c r="E1754" s="1">
        <v>1.8767E-3</v>
      </c>
      <c r="F1754" s="1">
        <v>9.9986999999999994E-8</v>
      </c>
      <c r="G1754" s="1">
        <v>6.7083000000000004</v>
      </c>
      <c r="H1754" s="1">
        <v>1.9920000000000001E-7</v>
      </c>
      <c r="I1754" s="1">
        <f t="shared" si="243"/>
        <v>1.9920000000000001E-7</v>
      </c>
      <c r="J1754" s="4">
        <f t="shared" si="244"/>
        <v>-1.5517552713714033E-9</v>
      </c>
      <c r="K1754" s="4">
        <f t="shared" si="245"/>
        <v>-3.550878214913563E-9</v>
      </c>
      <c r="L1754" s="4">
        <f t="shared" si="246"/>
        <v>-1.2104272501677227E-9</v>
      </c>
      <c r="M1754" s="4">
        <f t="shared" si="248"/>
        <v>-1.4418307061588483E-9</v>
      </c>
      <c r="N1754" s="5">
        <f t="shared" si="249"/>
        <v>1.5497545738218731E-6</v>
      </c>
      <c r="O1754" s="5">
        <f t="shared" si="250"/>
        <v>1.8153902647614309E-7</v>
      </c>
      <c r="P1754" s="5">
        <f t="shared" si="251"/>
        <v>6.8706399701985832E-8</v>
      </c>
      <c r="Q1754" s="1">
        <f t="shared" si="247"/>
        <v>1.800000000000002E-6</v>
      </c>
    </row>
    <row r="1755" spans="1:17" x14ac:dyDescent="0.25">
      <c r="A1755" s="1">
        <v>87.65</v>
      </c>
      <c r="B1755" s="1">
        <v>3.8498E-3</v>
      </c>
      <c r="C1755" s="1">
        <v>1.6663999999999999E-4</v>
      </c>
      <c r="D1755" s="1">
        <v>3.3013000000000001E-2</v>
      </c>
      <c r="E1755" s="1">
        <v>1.872E-3</v>
      </c>
      <c r="F1755" s="1">
        <v>9.9884999999999997E-8</v>
      </c>
      <c r="G1755" s="1">
        <v>6.7081999999999997</v>
      </c>
      <c r="H1755" s="1">
        <v>1.9921E-7</v>
      </c>
      <c r="I1755" s="1">
        <f t="shared" si="243"/>
        <v>1.9921E-7</v>
      </c>
      <c r="J1755" s="4">
        <f t="shared" si="244"/>
        <v>-1.5493516638238837E-9</v>
      </c>
      <c r="K1755" s="4">
        <f t="shared" si="245"/>
        <v>-3.5400110162855951E-9</v>
      </c>
      <c r="L1755" s="4">
        <f t="shared" si="246"/>
        <v>-1.2068392201104019E-9</v>
      </c>
      <c r="M1755" s="4">
        <f t="shared" si="248"/>
        <v>-1.4370630561670624E-9</v>
      </c>
      <c r="N1755" s="5">
        <f t="shared" si="249"/>
        <v>1.5505383939542244E-6</v>
      </c>
      <c r="O1755" s="5">
        <f t="shared" si="250"/>
        <v>1.8098543017984844E-7</v>
      </c>
      <c r="P1755" s="5">
        <f t="shared" si="251"/>
        <v>6.8476175865929164E-8</v>
      </c>
      <c r="Q1755" s="1">
        <f t="shared" si="247"/>
        <v>1.800000000000002E-6</v>
      </c>
    </row>
    <row r="1756" spans="1:17" x14ac:dyDescent="0.25">
      <c r="A1756" s="1">
        <v>87.7</v>
      </c>
      <c r="B1756" s="1">
        <v>3.8459000000000002E-3</v>
      </c>
      <c r="C1756" s="1">
        <v>1.6646E-4</v>
      </c>
      <c r="D1756" s="1">
        <v>3.3015000000000003E-2</v>
      </c>
      <c r="E1756" s="1">
        <v>1.8674E-3</v>
      </c>
      <c r="F1756" s="1">
        <v>9.9784000000000002E-8</v>
      </c>
      <c r="G1756" s="1">
        <v>6.7081999999999997</v>
      </c>
      <c r="H1756" s="1">
        <v>1.9922000000000001E-7</v>
      </c>
      <c r="I1756" s="1">
        <f t="shared" si="243"/>
        <v>1.9922000000000001E-7</v>
      </c>
      <c r="J1756" s="4">
        <f t="shared" si="244"/>
        <v>-1.5469742062350678E-9</v>
      </c>
      <c r="K1756" s="4">
        <f t="shared" si="245"/>
        <v>-3.5292158885068439E-9</v>
      </c>
      <c r="L1756" s="4">
        <f t="shared" si="246"/>
        <v>-1.2031969978874699E-9</v>
      </c>
      <c r="M1756" s="4">
        <f t="shared" si="248"/>
        <v>-1.4323195943963522E-9</v>
      </c>
      <c r="N1756" s="5">
        <f t="shared" si="249"/>
        <v>1.5513174386386089E-6</v>
      </c>
      <c r="O1756" s="5">
        <f t="shared" si="250"/>
        <v>1.8043550809197301E-7</v>
      </c>
      <c r="P1756" s="5">
        <f t="shared" si="251"/>
        <v>6.8247053269420292E-8</v>
      </c>
      <c r="Q1756" s="1">
        <f t="shared" si="247"/>
        <v>1.8000000000000022E-6</v>
      </c>
    </row>
    <row r="1757" spans="1:17" x14ac:dyDescent="0.25">
      <c r="A1757" s="1">
        <v>87.75</v>
      </c>
      <c r="B1757" s="1">
        <v>3.8419000000000001E-3</v>
      </c>
      <c r="C1757" s="1">
        <v>1.6629000000000001E-4</v>
      </c>
      <c r="D1757" s="1">
        <v>3.3016999999999998E-2</v>
      </c>
      <c r="E1757" s="1">
        <v>1.8628E-3</v>
      </c>
      <c r="F1757" s="1">
        <v>9.9683999999999994E-8</v>
      </c>
      <c r="G1757" s="1">
        <v>6.7081999999999997</v>
      </c>
      <c r="H1757" s="1">
        <v>1.9922999999999999E-7</v>
      </c>
      <c r="I1757" s="1">
        <f t="shared" si="243"/>
        <v>1.9922999999999999E-7</v>
      </c>
      <c r="J1757" s="4">
        <f t="shared" si="244"/>
        <v>-1.5446229851302441E-9</v>
      </c>
      <c r="K1757" s="4">
        <f t="shared" si="245"/>
        <v>-3.5184924077932737E-9</v>
      </c>
      <c r="L1757" s="4">
        <f t="shared" si="246"/>
        <v>-1.1996292185213764E-9</v>
      </c>
      <c r="M1757" s="4">
        <f t="shared" si="248"/>
        <v>-1.4275986849949794E-9</v>
      </c>
      <c r="N1757" s="5">
        <f t="shared" si="249"/>
        <v>1.5520916788427506E-6</v>
      </c>
      <c r="O1757" s="5">
        <f t="shared" si="250"/>
        <v>1.7988923735430498E-7</v>
      </c>
      <c r="P1757" s="5">
        <f t="shared" si="251"/>
        <v>6.8019083802946687E-8</v>
      </c>
      <c r="Q1757" s="1">
        <f t="shared" si="247"/>
        <v>1.8000000000000022E-6</v>
      </c>
    </row>
    <row r="1758" spans="1:17" x14ac:dyDescent="0.25">
      <c r="A1758" s="1">
        <v>87.8</v>
      </c>
      <c r="B1758" s="1">
        <v>3.8379999999999998E-3</v>
      </c>
      <c r="C1758" s="1">
        <v>1.6610999999999999E-4</v>
      </c>
      <c r="D1758" s="1">
        <v>3.3019E-2</v>
      </c>
      <c r="E1758" s="1">
        <v>1.8582E-3</v>
      </c>
      <c r="F1758" s="1">
        <v>9.9585000000000001E-8</v>
      </c>
      <c r="G1758" s="1">
        <v>6.7081999999999997</v>
      </c>
      <c r="H1758" s="1">
        <v>1.9922999999999999E-7</v>
      </c>
      <c r="I1758" s="1">
        <f t="shared" si="243"/>
        <v>1.9922999999999999E-7</v>
      </c>
      <c r="J1758" s="4">
        <f t="shared" si="244"/>
        <v>-1.5422979579990447E-9</v>
      </c>
      <c r="K1758" s="4">
        <f t="shared" si="245"/>
        <v>-3.5078401284087478E-9</v>
      </c>
      <c r="L1758" s="4">
        <f t="shared" si="246"/>
        <v>-1.196071530041589E-9</v>
      </c>
      <c r="M1758" s="4">
        <f t="shared" si="248"/>
        <v>-1.4229014169363311E-9</v>
      </c>
      <c r="N1758" s="5">
        <f t="shared" si="249"/>
        <v>1.5528611494831188E-6</v>
      </c>
      <c r="O1758" s="5">
        <f t="shared" si="250"/>
        <v>1.7934659660083161E-7</v>
      </c>
      <c r="P1758" s="5">
        <f t="shared" si="251"/>
        <v>6.7792253916051938E-8</v>
      </c>
      <c r="Q1758" s="1">
        <f t="shared" si="247"/>
        <v>1.8000000000000022E-6</v>
      </c>
    </row>
    <row r="1759" spans="1:17" x14ac:dyDescent="0.25">
      <c r="A1759" s="1">
        <v>87.85</v>
      </c>
      <c r="B1759" s="1">
        <v>3.8341E-3</v>
      </c>
      <c r="C1759" s="1">
        <v>1.6594E-4</v>
      </c>
      <c r="D1759" s="1">
        <v>3.3021000000000002E-2</v>
      </c>
      <c r="E1759" s="1">
        <v>1.8536E-3</v>
      </c>
      <c r="F1759" s="1">
        <v>9.9485999999999995E-8</v>
      </c>
      <c r="G1759" s="1">
        <v>6.7081999999999997</v>
      </c>
      <c r="H1759" s="1">
        <v>1.9924E-7</v>
      </c>
      <c r="I1759" s="1">
        <f t="shared" si="243"/>
        <v>1.9924E-7</v>
      </c>
      <c r="J1759" s="4">
        <f t="shared" si="244"/>
        <v>-1.5399991460934683E-9</v>
      </c>
      <c r="K1759" s="4">
        <f t="shared" si="245"/>
        <v>-3.4972586337160178E-9</v>
      </c>
      <c r="L1759" s="4">
        <f t="shared" si="246"/>
        <v>-1.1925239358411573E-9</v>
      </c>
      <c r="M1759" s="4">
        <f t="shared" si="248"/>
        <v>-1.4181563285078973E-9</v>
      </c>
      <c r="N1759" s="5">
        <f t="shared" si="249"/>
        <v>1.5536258850349001E-6</v>
      </c>
      <c r="O1759" s="5">
        <f t="shared" si="250"/>
        <v>1.7880749344171694E-7</v>
      </c>
      <c r="P1759" s="5">
        <f t="shared" si="251"/>
        <v>6.7566621523385192E-8</v>
      </c>
      <c r="Q1759" s="1">
        <f t="shared" si="247"/>
        <v>1.8000000000000022E-6</v>
      </c>
    </row>
    <row r="1760" spans="1:17" x14ac:dyDescent="0.25">
      <c r="A1760" s="1">
        <v>87.9</v>
      </c>
      <c r="B1760" s="1">
        <v>3.8300999999999999E-3</v>
      </c>
      <c r="C1760" s="1">
        <v>1.6577000000000001E-4</v>
      </c>
      <c r="D1760" s="1">
        <v>3.3022999999999997E-2</v>
      </c>
      <c r="E1760" s="1">
        <v>1.8489999999999999E-3</v>
      </c>
      <c r="F1760" s="1">
        <v>9.9389000000000004E-8</v>
      </c>
      <c r="G1760" s="1">
        <v>6.7081</v>
      </c>
      <c r="H1760" s="1">
        <v>1.9924999999999999E-7</v>
      </c>
      <c r="I1760" s="1">
        <f t="shared" si="243"/>
        <v>1.9924999999999999E-7</v>
      </c>
      <c r="J1760" s="4">
        <f t="shared" si="244"/>
        <v>-1.5376956571115232E-9</v>
      </c>
      <c r="K1760" s="4">
        <f t="shared" si="245"/>
        <v>-3.4867461221142735E-9</v>
      </c>
      <c r="L1760" s="4">
        <f t="shared" si="246"/>
        <v>-1.1889744869218749E-9</v>
      </c>
      <c r="M1760" s="4">
        <f t="shared" si="248"/>
        <v>-1.4135072355938443E-9</v>
      </c>
      <c r="N1760" s="5">
        <f t="shared" si="249"/>
        <v>1.5543859610129809E-6</v>
      </c>
      <c r="O1760" s="5">
        <f t="shared" si="250"/>
        <v>1.7827195021230804E-7</v>
      </c>
      <c r="P1760" s="5">
        <f t="shared" si="251"/>
        <v>6.7342088774713218E-8</v>
      </c>
      <c r="Q1760" s="1">
        <f t="shared" si="247"/>
        <v>1.8000000000000022E-6</v>
      </c>
    </row>
    <row r="1761" spans="1:17" x14ac:dyDescent="0.25">
      <c r="A1761" s="1">
        <v>87.95</v>
      </c>
      <c r="B1761" s="1">
        <v>3.8262000000000001E-3</v>
      </c>
      <c r="C1761" s="1">
        <v>1.6559999999999999E-4</v>
      </c>
      <c r="D1761" s="1">
        <v>3.3024999999999999E-2</v>
      </c>
      <c r="E1761" s="1">
        <v>1.8445E-3</v>
      </c>
      <c r="F1761" s="1">
        <v>9.9292E-8</v>
      </c>
      <c r="G1761" s="1">
        <v>6.7081</v>
      </c>
      <c r="H1761" s="1">
        <v>1.9926E-7</v>
      </c>
      <c r="I1761" s="1">
        <f t="shared" si="243"/>
        <v>1.9926E-7</v>
      </c>
      <c r="J1761" s="4">
        <f t="shared" si="244"/>
        <v>-1.5354493930614505E-9</v>
      </c>
      <c r="K1761" s="4">
        <f t="shared" si="245"/>
        <v>-3.4763030291398092E-9</v>
      </c>
      <c r="L1761" s="4">
        <f t="shared" si="246"/>
        <v>-1.1854471420628116E-9</v>
      </c>
      <c r="M1761" s="4">
        <f t="shared" si="248"/>
        <v>-1.4088806747778886E-9</v>
      </c>
      <c r="N1761" s="5">
        <f t="shared" si="249"/>
        <v>1.5551413675069964E-6</v>
      </c>
      <c r="O1761" s="5">
        <f t="shared" si="250"/>
        <v>1.7773997725100757E-7</v>
      </c>
      <c r="P1761" s="5">
        <f t="shared" si="251"/>
        <v>6.7118655241998146E-8</v>
      </c>
      <c r="Q1761" s="1">
        <f t="shared" si="247"/>
        <v>1.800000000000002E-6</v>
      </c>
    </row>
    <row r="1762" spans="1:17" x14ac:dyDescent="0.25">
      <c r="A1762" s="1">
        <v>88</v>
      </c>
      <c r="B1762" s="1">
        <v>3.8222999999999998E-3</v>
      </c>
      <c r="C1762" s="1">
        <v>1.6542999999999999E-4</v>
      </c>
      <c r="D1762" s="1">
        <v>3.3027000000000001E-2</v>
      </c>
      <c r="E1762" s="1">
        <v>1.8399E-3</v>
      </c>
      <c r="F1762" s="1">
        <v>9.9194999999999996E-8</v>
      </c>
      <c r="G1762" s="1">
        <v>6.7081</v>
      </c>
      <c r="H1762" s="1">
        <v>1.9927000000000001E-7</v>
      </c>
      <c r="I1762" s="1">
        <f t="shared" si="243"/>
        <v>1.9927000000000001E-7</v>
      </c>
      <c r="J1762" s="4">
        <f t="shared" si="244"/>
        <v>-1.5331985193812545E-9</v>
      </c>
      <c r="K1762" s="4">
        <f t="shared" si="245"/>
        <v>-3.4659295563944512E-9</v>
      </c>
      <c r="L1762" s="4">
        <f t="shared" si="246"/>
        <v>-1.181982070694991E-9</v>
      </c>
      <c r="M1762" s="4">
        <f t="shared" si="248"/>
        <v>-1.4042766405695781E-9</v>
      </c>
      <c r="N1762" s="5">
        <f t="shared" si="249"/>
        <v>1.5558921164733146E-6</v>
      </c>
      <c r="O1762" s="5">
        <f t="shared" si="250"/>
        <v>1.7721152285456394E-7</v>
      </c>
      <c r="P1762" s="5">
        <f t="shared" si="251"/>
        <v>6.6896360672123557E-8</v>
      </c>
      <c r="Q1762" s="1">
        <f t="shared" si="247"/>
        <v>1.800000000000002E-6</v>
      </c>
    </row>
    <row r="1763" spans="1:17" x14ac:dyDescent="0.25">
      <c r="A1763" s="1">
        <v>88.05</v>
      </c>
      <c r="B1763" s="1">
        <v>3.8184E-3</v>
      </c>
      <c r="C1763" s="1">
        <v>1.6526999999999999E-4</v>
      </c>
      <c r="D1763" s="1">
        <v>3.3029000000000003E-2</v>
      </c>
      <c r="E1763" s="1">
        <v>1.8354000000000001E-3</v>
      </c>
      <c r="F1763" s="1">
        <v>9.9099999999999994E-8</v>
      </c>
      <c r="G1763" s="1">
        <v>6.7081</v>
      </c>
      <c r="H1763" s="1">
        <v>1.9927000000000001E-7</v>
      </c>
      <c r="I1763" s="1">
        <f t="shared" si="243"/>
        <v>1.9927000000000001E-7</v>
      </c>
      <c r="J1763" s="4">
        <f t="shared" si="244"/>
        <v>-1.5309430790968846E-9</v>
      </c>
      <c r="K1763" s="4">
        <f t="shared" si="245"/>
        <v>-3.4556246956638005E-9</v>
      </c>
      <c r="L1763" s="4">
        <f t="shared" si="246"/>
        <v>-1.1784511326786619E-9</v>
      </c>
      <c r="M1763" s="4">
        <f t="shared" si="248"/>
        <v>-1.399695968068997E-9</v>
      </c>
      <c r="N1763" s="5">
        <f t="shared" si="249"/>
        <v>1.556638346957203E-6</v>
      </c>
      <c r="O1763" s="5">
        <f t="shared" si="250"/>
        <v>1.7668653720606603E-7</v>
      </c>
      <c r="P1763" s="5">
        <f t="shared" si="251"/>
        <v>6.6675115836733225E-8</v>
      </c>
      <c r="Q1763" s="1">
        <f t="shared" si="247"/>
        <v>1.8000000000000022E-6</v>
      </c>
    </row>
    <row r="1764" spans="1:17" x14ac:dyDescent="0.25">
      <c r="A1764" s="1">
        <v>88.1</v>
      </c>
      <c r="B1764" s="1">
        <v>3.8146E-3</v>
      </c>
      <c r="C1764" s="1">
        <v>1.651E-4</v>
      </c>
      <c r="D1764" s="1">
        <v>3.3030999999999998E-2</v>
      </c>
      <c r="E1764" s="1">
        <v>1.8308E-3</v>
      </c>
      <c r="F1764" s="1">
        <v>9.9005000000000005E-8</v>
      </c>
      <c r="G1764" s="1">
        <v>6.7081</v>
      </c>
      <c r="H1764" s="1">
        <v>1.9928E-7</v>
      </c>
      <c r="I1764" s="1">
        <f t="shared" si="243"/>
        <v>1.9928E-7</v>
      </c>
      <c r="J1764" s="4">
        <f t="shared" si="244"/>
        <v>-1.5287449444179898E-9</v>
      </c>
      <c r="K1764" s="4">
        <f t="shared" si="245"/>
        <v>-3.4453874755180916E-9</v>
      </c>
      <c r="L1764" s="4">
        <f t="shared" si="246"/>
        <v>-1.1750063223599223E-9</v>
      </c>
      <c r="M1764" s="4">
        <f t="shared" si="248"/>
        <v>-1.3950667849424329E-9</v>
      </c>
      <c r="N1764" s="5">
        <f t="shared" si="249"/>
        <v>1.5573799831659431E-6</v>
      </c>
      <c r="O1764" s="5">
        <f t="shared" si="250"/>
        <v>1.7616496145990835E-7</v>
      </c>
      <c r="P1764" s="5">
        <f t="shared" si="251"/>
        <v>6.6455055374150715E-8</v>
      </c>
      <c r="Q1764" s="1">
        <f t="shared" si="247"/>
        <v>1.8000000000000022E-6</v>
      </c>
    </row>
    <row r="1765" spans="1:17" x14ac:dyDescent="0.25">
      <c r="A1765" s="1">
        <v>88.15</v>
      </c>
      <c r="B1765" s="1">
        <v>3.8107000000000002E-3</v>
      </c>
      <c r="C1765" s="1">
        <v>1.6494E-4</v>
      </c>
      <c r="D1765" s="1">
        <v>3.3033E-2</v>
      </c>
      <c r="E1765" s="1">
        <v>1.8263000000000001E-3</v>
      </c>
      <c r="F1765" s="1">
        <v>9.8911000000000005E-8</v>
      </c>
      <c r="G1765" s="1">
        <v>6.7081</v>
      </c>
      <c r="H1765" s="1">
        <v>1.9929000000000001E-7</v>
      </c>
      <c r="I1765" s="1">
        <f t="shared" si="243"/>
        <v>1.9929000000000001E-7</v>
      </c>
      <c r="J1765" s="4">
        <f t="shared" si="244"/>
        <v>-1.5265423060130715E-9</v>
      </c>
      <c r="K1765" s="4">
        <f t="shared" si="245"/>
        <v>-3.4352167484689944E-9</v>
      </c>
      <c r="L1765" s="4">
        <f t="shared" si="246"/>
        <v>-1.1714957490502736E-9</v>
      </c>
      <c r="M1765" s="4">
        <f t="shared" si="248"/>
        <v>-1.3905321606711953E-9</v>
      </c>
      <c r="N1765" s="5">
        <f t="shared" si="249"/>
        <v>1.5581171618593487E-6</v>
      </c>
      <c r="O1765" s="5">
        <f t="shared" si="250"/>
        <v>1.7564681917812363E-7</v>
      </c>
      <c r="P1765" s="5">
        <f t="shared" si="251"/>
        <v>6.6236018962529791E-8</v>
      </c>
      <c r="Q1765" s="1">
        <f t="shared" si="247"/>
        <v>1.800000000000002E-6</v>
      </c>
    </row>
    <row r="1766" spans="1:17" x14ac:dyDescent="0.25">
      <c r="A1766" s="1">
        <v>88.2</v>
      </c>
      <c r="B1766" s="1">
        <v>3.8067999999999999E-3</v>
      </c>
      <c r="C1766" s="1">
        <v>1.6478E-4</v>
      </c>
      <c r="D1766" s="1">
        <v>3.3035000000000002E-2</v>
      </c>
      <c r="E1766" s="1">
        <v>1.8217999999999999E-3</v>
      </c>
      <c r="F1766" s="1">
        <v>9.8818000000000005E-8</v>
      </c>
      <c r="G1766" s="1">
        <v>6.7080000000000002</v>
      </c>
      <c r="H1766" s="1">
        <v>1.9929999999999999E-7</v>
      </c>
      <c r="I1766" s="1">
        <f t="shared" si="243"/>
        <v>1.9929999999999999E-7</v>
      </c>
      <c r="J1766" s="4">
        <f t="shared" si="244"/>
        <v>-1.5243661504602365E-9</v>
      </c>
      <c r="K1766" s="4">
        <f t="shared" si="245"/>
        <v>-3.4251129739732158E-9</v>
      </c>
      <c r="L1766" s="4">
        <f t="shared" si="246"/>
        <v>-1.1680593753404524E-9</v>
      </c>
      <c r="M1766" s="4">
        <f t="shared" si="248"/>
        <v>-1.3860185029993903E-9</v>
      </c>
      <c r="N1766" s="5">
        <f t="shared" si="249"/>
        <v>1.5588498493075213E-6</v>
      </c>
      <c r="O1766" s="5">
        <f t="shared" si="250"/>
        <v>1.7513209085761005E-7</v>
      </c>
      <c r="P1766" s="5">
        <f t="shared" si="251"/>
        <v>6.6018059834870856E-8</v>
      </c>
      <c r="Q1766" s="1">
        <f t="shared" si="247"/>
        <v>1.8000000000000022E-6</v>
      </c>
    </row>
    <row r="1767" spans="1:17" x14ac:dyDescent="0.25">
      <c r="A1767" s="1">
        <v>88.25</v>
      </c>
      <c r="B1767" s="1">
        <v>3.803E-3</v>
      </c>
      <c r="C1767" s="1">
        <v>1.6462000000000001E-4</v>
      </c>
      <c r="D1767" s="1">
        <v>3.3036999999999997E-2</v>
      </c>
      <c r="E1767" s="1">
        <v>1.8173E-3</v>
      </c>
      <c r="F1767" s="1">
        <v>9.8725000000000006E-8</v>
      </c>
      <c r="G1767" s="1">
        <v>6.7080000000000002</v>
      </c>
      <c r="H1767" s="1">
        <v>1.9931E-7</v>
      </c>
      <c r="I1767" s="1">
        <f t="shared" si="243"/>
        <v>1.9931E-7</v>
      </c>
      <c r="J1767" s="4">
        <f t="shared" si="244"/>
        <v>-1.5222164295234918E-9</v>
      </c>
      <c r="K1767" s="4">
        <f t="shared" si="245"/>
        <v>-3.4150757717232018E-9</v>
      </c>
      <c r="L1767" s="4">
        <f t="shared" si="246"/>
        <v>-1.1646331284704682E-9</v>
      </c>
      <c r="M1767" s="4">
        <f t="shared" si="248"/>
        <v>-1.3815269291343465E-9</v>
      </c>
      <c r="N1767" s="5">
        <f t="shared" si="249"/>
        <v>1.5595780755212506E-6</v>
      </c>
      <c r="O1767" s="5">
        <f t="shared" si="250"/>
        <v>1.7462075844454468E-7</v>
      </c>
      <c r="P1767" s="5">
        <f t="shared" si="251"/>
        <v>6.5801166034206977E-8</v>
      </c>
      <c r="Q1767" s="1">
        <f t="shared" si="247"/>
        <v>1.8000000000000022E-6</v>
      </c>
    </row>
    <row r="1768" spans="1:17" x14ac:dyDescent="0.25">
      <c r="A1768" s="1">
        <v>88.3</v>
      </c>
      <c r="B1768" s="1">
        <v>3.7991000000000001E-3</v>
      </c>
      <c r="C1768" s="1">
        <v>1.6446000000000001E-4</v>
      </c>
      <c r="D1768" s="1">
        <v>3.3038999999999999E-2</v>
      </c>
      <c r="E1768" s="1">
        <v>1.8128E-3</v>
      </c>
      <c r="F1768" s="1">
        <v>9.8633999999999995E-8</v>
      </c>
      <c r="G1768" s="1">
        <v>6.7080000000000002</v>
      </c>
      <c r="H1768" s="1">
        <v>1.9931E-7</v>
      </c>
      <c r="I1768" s="1">
        <f t="shared" si="243"/>
        <v>1.9931E-7</v>
      </c>
      <c r="J1768" s="4">
        <f t="shared" si="244"/>
        <v>-1.5200623635062741E-9</v>
      </c>
      <c r="K1768" s="4">
        <f t="shared" si="245"/>
        <v>-3.4051047896684277E-9</v>
      </c>
      <c r="L1768" s="4">
        <f t="shared" si="246"/>
        <v>-1.1612052400891166E-9</v>
      </c>
      <c r="M1768" s="4">
        <f t="shared" si="248"/>
        <v>-1.3770571922390899E-9</v>
      </c>
      <c r="N1768" s="5">
        <f t="shared" si="249"/>
        <v>1.5603019127073236E-6</v>
      </c>
      <c r="O1768" s="5">
        <f t="shared" si="250"/>
        <v>1.7411277321062161E-7</v>
      </c>
      <c r="P1768" s="5">
        <f t="shared" si="251"/>
        <v>6.5585314082057007E-8</v>
      </c>
      <c r="Q1768" s="1">
        <f t="shared" si="247"/>
        <v>1.8000000000000022E-6</v>
      </c>
    </row>
    <row r="1769" spans="1:17" x14ac:dyDescent="0.25">
      <c r="A1769" s="1">
        <v>88.35</v>
      </c>
      <c r="B1769" s="1">
        <v>3.7953000000000001E-3</v>
      </c>
      <c r="C1769" s="1">
        <v>1.6430000000000001E-4</v>
      </c>
      <c r="D1769" s="1">
        <v>3.3041000000000001E-2</v>
      </c>
      <c r="E1769" s="1">
        <v>1.8083999999999999E-3</v>
      </c>
      <c r="F1769" s="1">
        <v>9.8542999999999998E-8</v>
      </c>
      <c r="G1769" s="1">
        <v>6.7080000000000002</v>
      </c>
      <c r="H1769" s="1">
        <v>1.9931999999999999E-7</v>
      </c>
      <c r="I1769" s="1">
        <f t="shared" si="243"/>
        <v>1.9931999999999999E-7</v>
      </c>
      <c r="J1769" s="4">
        <f t="shared" si="244"/>
        <v>-1.5179656099236557E-9</v>
      </c>
      <c r="K1769" s="4">
        <f t="shared" si="245"/>
        <v>-3.3951990776069285E-9</v>
      </c>
      <c r="L1769" s="4">
        <f t="shared" si="246"/>
        <v>-1.1577992821267365E-9</v>
      </c>
      <c r="M1769" s="4">
        <f t="shared" si="248"/>
        <v>-1.3725399397178742E-9</v>
      </c>
      <c r="N1769" s="5">
        <f t="shared" si="249"/>
        <v>1.5610213468928802E-6</v>
      </c>
      <c r="O1769" s="5">
        <f t="shared" si="250"/>
        <v>1.7360807968265622E-7</v>
      </c>
      <c r="P1769" s="5">
        <f t="shared" si="251"/>
        <v>6.5370573424465862E-8</v>
      </c>
      <c r="Q1769" s="1">
        <f t="shared" si="247"/>
        <v>1.8000000000000022E-6</v>
      </c>
    </row>
    <row r="1770" spans="1:17" x14ac:dyDescent="0.25">
      <c r="A1770" s="1">
        <v>88.4</v>
      </c>
      <c r="B1770" s="1">
        <v>3.7913999999999999E-3</v>
      </c>
      <c r="C1770" s="1">
        <v>1.6414000000000001E-4</v>
      </c>
      <c r="D1770" s="1">
        <v>3.3043000000000003E-2</v>
      </c>
      <c r="E1770" s="1">
        <v>1.8039E-3</v>
      </c>
      <c r="F1770" s="1">
        <v>9.8452E-8</v>
      </c>
      <c r="G1770" s="1">
        <v>6.7080000000000002</v>
      </c>
      <c r="H1770" s="1">
        <v>1.9933E-7</v>
      </c>
      <c r="I1770" s="1">
        <f t="shared" si="243"/>
        <v>1.9933E-7</v>
      </c>
      <c r="J1770" s="4">
        <f t="shared" si="244"/>
        <v>-1.5158645661052892E-9</v>
      </c>
      <c r="K1770" s="4">
        <f t="shared" si="245"/>
        <v>-3.3853575538125665E-9</v>
      </c>
      <c r="L1770" s="4">
        <f t="shared" si="246"/>
        <v>-1.1544555521529627E-9</v>
      </c>
      <c r="M1770" s="4">
        <f t="shared" si="248"/>
        <v>-1.3681145829715873E-9</v>
      </c>
      <c r="N1770" s="5">
        <f t="shared" si="249"/>
        <v>1.5617363843284346E-6</v>
      </c>
      <c r="O1770" s="5">
        <f t="shared" si="250"/>
        <v>1.7310670127792055E-7</v>
      </c>
      <c r="P1770" s="5">
        <f t="shared" si="251"/>
        <v>6.5156914393647245E-8</v>
      </c>
      <c r="Q1770" s="1">
        <f t="shared" si="247"/>
        <v>1.8000000000000022E-6</v>
      </c>
    </row>
    <row r="1771" spans="1:17" x14ac:dyDescent="0.25">
      <c r="A1771" s="1">
        <v>88.45</v>
      </c>
      <c r="B1771" s="1">
        <v>3.7875999999999999E-3</v>
      </c>
      <c r="C1771" s="1">
        <v>1.6398000000000001E-4</v>
      </c>
      <c r="D1771" s="1">
        <v>3.3044999999999998E-2</v>
      </c>
      <c r="E1771" s="1">
        <v>1.7995000000000001E-3</v>
      </c>
      <c r="F1771" s="1">
        <v>9.8363000000000005E-8</v>
      </c>
      <c r="G1771" s="1">
        <v>6.7079000000000004</v>
      </c>
      <c r="H1771" s="1">
        <v>1.9934000000000001E-7</v>
      </c>
      <c r="I1771" s="1">
        <f t="shared" si="243"/>
        <v>1.9934000000000001E-7</v>
      </c>
      <c r="J1771" s="4">
        <f t="shared" si="244"/>
        <v>-1.5137592653840117E-9</v>
      </c>
      <c r="K1771" s="4">
        <f t="shared" si="245"/>
        <v>-3.3755806749192587E-9</v>
      </c>
      <c r="L1771" s="4">
        <f t="shared" si="246"/>
        <v>-1.1510463887101131E-9</v>
      </c>
      <c r="M1771" s="4">
        <f t="shared" si="248"/>
        <v>-1.3637114133389215E-9</v>
      </c>
      <c r="N1771" s="5">
        <f t="shared" si="249"/>
        <v>1.5624471593492596E-6</v>
      </c>
      <c r="O1771" s="5">
        <f t="shared" si="250"/>
        <v>1.7260859128172422E-7</v>
      </c>
      <c r="P1771" s="5">
        <f t="shared" si="251"/>
        <v>6.4944249369018446E-8</v>
      </c>
      <c r="Q1771" s="1">
        <f t="shared" si="247"/>
        <v>1.8000000000000022E-6</v>
      </c>
    </row>
    <row r="1772" spans="1:17" x14ac:dyDescent="0.25">
      <c r="A1772" s="1">
        <v>88.5</v>
      </c>
      <c r="B1772" s="1">
        <v>3.7837999999999999E-3</v>
      </c>
      <c r="C1772" s="1">
        <v>1.6383000000000001E-4</v>
      </c>
      <c r="D1772" s="1">
        <v>3.3047E-2</v>
      </c>
      <c r="E1772" s="1">
        <v>1.7949999999999999E-3</v>
      </c>
      <c r="F1772" s="1">
        <v>9.8273999999999997E-8</v>
      </c>
      <c r="G1772" s="1">
        <v>6.7079000000000004</v>
      </c>
      <c r="H1772" s="1">
        <v>1.9934000000000001E-7</v>
      </c>
      <c r="I1772" s="1">
        <f t="shared" si="243"/>
        <v>1.9934000000000001E-7</v>
      </c>
      <c r="J1772" s="4">
        <f t="shared" si="244"/>
        <v>-1.5117113390982554E-9</v>
      </c>
      <c r="K1772" s="4">
        <f t="shared" si="245"/>
        <v>-3.365867529993431E-9</v>
      </c>
      <c r="L1772" s="4">
        <f t="shared" si="246"/>
        <v>-1.1477229143108017E-9</v>
      </c>
      <c r="M1772" s="4">
        <f t="shared" si="248"/>
        <v>-1.3593286002680372E-9</v>
      </c>
      <c r="N1772" s="5">
        <f t="shared" si="249"/>
        <v>1.5631535926258438E-6</v>
      </c>
      <c r="O1772" s="5">
        <f t="shared" si="250"/>
        <v>1.7211376369109708E-7</v>
      </c>
      <c r="P1772" s="5">
        <f t="shared" si="251"/>
        <v>6.4732643683061216E-8</v>
      </c>
      <c r="Q1772" s="1">
        <f t="shared" si="247"/>
        <v>1.800000000000002E-6</v>
      </c>
    </row>
    <row r="1773" spans="1:17" x14ac:dyDescent="0.25">
      <c r="A1773" s="1">
        <v>88.55</v>
      </c>
      <c r="B1773" s="1">
        <v>3.7799999999999999E-3</v>
      </c>
      <c r="C1773" s="1">
        <v>1.6367000000000001E-4</v>
      </c>
      <c r="D1773" s="1">
        <v>3.3049000000000002E-2</v>
      </c>
      <c r="E1773" s="1">
        <v>1.7906E-3</v>
      </c>
      <c r="F1773" s="1">
        <v>9.8186000000000003E-8</v>
      </c>
      <c r="G1773" s="1">
        <v>6.7079000000000004</v>
      </c>
      <c r="H1773" s="1">
        <v>1.9935E-7</v>
      </c>
      <c r="I1773" s="1">
        <f t="shared" si="243"/>
        <v>1.9935E-7</v>
      </c>
      <c r="J1773" s="4">
        <f t="shared" si="244"/>
        <v>-1.5096592059435244E-9</v>
      </c>
      <c r="K1773" s="4">
        <f t="shared" si="245"/>
        <v>-3.3562183919762022E-9</v>
      </c>
      <c r="L1773" s="4">
        <f t="shared" si="246"/>
        <v>-1.1443340903875692E-9</v>
      </c>
      <c r="M1773" s="4">
        <f t="shared" si="248"/>
        <v>-1.3548995451369727E-9</v>
      </c>
      <c r="N1773" s="5">
        <f t="shared" si="249"/>
        <v>1.563855817721489E-6</v>
      </c>
      <c r="O1773" s="5">
        <f t="shared" si="250"/>
        <v>1.7162210405020135E-7</v>
      </c>
      <c r="P1773" s="5">
        <f t="shared" si="251"/>
        <v>6.4522078228311807E-8</v>
      </c>
      <c r="Q1773" s="1">
        <f t="shared" si="247"/>
        <v>1.8000000000000022E-6</v>
      </c>
    </row>
    <row r="1774" spans="1:17" x14ac:dyDescent="0.25">
      <c r="A1774" s="1">
        <v>88.6</v>
      </c>
      <c r="B1774" s="1">
        <v>3.7762E-3</v>
      </c>
      <c r="C1774" s="1">
        <v>1.6352000000000001E-4</v>
      </c>
      <c r="D1774" s="1">
        <v>3.3050999999999997E-2</v>
      </c>
      <c r="E1774" s="1">
        <v>1.7861999999999999E-3</v>
      </c>
      <c r="F1774" s="1">
        <v>9.8097999999999996E-8</v>
      </c>
      <c r="G1774" s="1">
        <v>6.7079000000000004</v>
      </c>
      <c r="H1774" s="1">
        <v>1.9936000000000001E-7</v>
      </c>
      <c r="I1774" s="1">
        <f t="shared" si="243"/>
        <v>1.9936000000000001E-7</v>
      </c>
      <c r="J1774" s="4">
        <f t="shared" si="244"/>
        <v>-1.5076337304243047E-9</v>
      </c>
      <c r="K1774" s="4">
        <f t="shared" si="245"/>
        <v>-3.3466310289787362E-9</v>
      </c>
      <c r="L1774" s="4">
        <f t="shared" si="246"/>
        <v>-1.1410192058384804E-9</v>
      </c>
      <c r="M1774" s="4">
        <f t="shared" si="248"/>
        <v>-1.350560010955389E-9</v>
      </c>
      <c r="N1774" s="5">
        <f t="shared" si="249"/>
        <v>1.5645537958142051E-6</v>
      </c>
      <c r="O1774" s="5">
        <f t="shared" si="250"/>
        <v>1.711336667626023E-7</v>
      </c>
      <c r="P1774" s="5">
        <f t="shared" si="251"/>
        <v>6.4312537423194895E-8</v>
      </c>
      <c r="Q1774" s="1">
        <f t="shared" si="247"/>
        <v>1.8000000000000022E-6</v>
      </c>
    </row>
    <row r="1775" spans="1:17" x14ac:dyDescent="0.25">
      <c r="A1775" s="1">
        <v>88.65</v>
      </c>
      <c r="B1775" s="1">
        <v>3.7724999999999998E-3</v>
      </c>
      <c r="C1775" s="1">
        <v>1.6337E-4</v>
      </c>
      <c r="D1775" s="1">
        <v>3.3052999999999999E-2</v>
      </c>
      <c r="E1775" s="1">
        <v>1.7818000000000001E-3</v>
      </c>
      <c r="F1775" s="1">
        <v>9.8011000000000003E-8</v>
      </c>
      <c r="G1775" s="1">
        <v>6.7079000000000004</v>
      </c>
      <c r="H1775" s="1">
        <v>1.9936999999999999E-7</v>
      </c>
      <c r="I1775" s="1">
        <f t="shared" si="243"/>
        <v>1.9936999999999999E-7</v>
      </c>
      <c r="J1775" s="4">
        <f t="shared" si="244"/>
        <v>-1.5056041630287702E-9</v>
      </c>
      <c r="K1775" s="4">
        <f t="shared" si="245"/>
        <v>-3.3371065018715036E-9</v>
      </c>
      <c r="L1775" s="4">
        <f t="shared" si="246"/>
        <v>-1.1377028224233173E-9</v>
      </c>
      <c r="M1775" s="4">
        <f t="shared" si="248"/>
        <v>-1.3462414833725604E-9</v>
      </c>
      <c r="N1775" s="5">
        <f t="shared" si="249"/>
        <v>1.5652475953306245E-6</v>
      </c>
      <c r="O1775" s="5">
        <f t="shared" si="250"/>
        <v>1.7064840590713213E-7</v>
      </c>
      <c r="P1775" s="5">
        <f t="shared" si="251"/>
        <v>6.4103998762245646E-8</v>
      </c>
      <c r="Q1775" s="1">
        <f t="shared" si="247"/>
        <v>1.8000000000000022E-6</v>
      </c>
    </row>
    <row r="1776" spans="1:17" x14ac:dyDescent="0.25">
      <c r="A1776" s="1">
        <v>88.7</v>
      </c>
      <c r="B1776" s="1">
        <v>3.7686999999999998E-3</v>
      </c>
      <c r="C1776" s="1">
        <v>1.6322E-4</v>
      </c>
      <c r="D1776" s="1">
        <v>3.3055000000000001E-2</v>
      </c>
      <c r="E1776" s="1">
        <v>1.7773999999999999E-3</v>
      </c>
      <c r="F1776" s="1">
        <v>9.7924999999999998E-8</v>
      </c>
      <c r="G1776" s="1">
        <v>6.7079000000000004</v>
      </c>
      <c r="H1776" s="1">
        <v>1.9938E-7</v>
      </c>
      <c r="I1776" s="1">
        <f t="shared" si="243"/>
        <v>1.9938E-7</v>
      </c>
      <c r="J1776" s="4">
        <f t="shared" si="244"/>
        <v>-1.5036012768764955E-9</v>
      </c>
      <c r="K1776" s="4">
        <f t="shared" si="245"/>
        <v>-3.3276439151888876E-9</v>
      </c>
      <c r="L1776" s="4">
        <f t="shared" si="246"/>
        <v>-1.1343966017921398E-9</v>
      </c>
      <c r="M1776" s="4">
        <f t="shared" si="248"/>
        <v>-1.3419434944889597E-9</v>
      </c>
      <c r="N1776" s="5">
        <f t="shared" si="249"/>
        <v>1.5659372413671447E-6</v>
      </c>
      <c r="O1776" s="5">
        <f t="shared" si="250"/>
        <v>1.701663067633087E-7</v>
      </c>
      <c r="P1776" s="5">
        <f t="shared" si="251"/>
        <v>6.389645186954883E-8</v>
      </c>
      <c r="Q1776" s="1">
        <f t="shared" si="247"/>
        <v>1.8000000000000022E-6</v>
      </c>
    </row>
    <row r="1777" spans="1:17" x14ac:dyDescent="0.25">
      <c r="A1777" s="1">
        <v>88.75</v>
      </c>
      <c r="B1777" s="1">
        <v>3.7648999999999998E-3</v>
      </c>
      <c r="C1777" s="1">
        <v>1.6307E-4</v>
      </c>
      <c r="D1777" s="1">
        <v>3.3057000000000003E-2</v>
      </c>
      <c r="E1777" s="1">
        <v>1.7730000000000001E-3</v>
      </c>
      <c r="F1777" s="1">
        <v>9.7839999999999995E-8</v>
      </c>
      <c r="G1777" s="1">
        <v>6.7077999999999998</v>
      </c>
      <c r="H1777" s="1">
        <v>1.9938E-7</v>
      </c>
      <c r="I1777" s="1">
        <f t="shared" si="243"/>
        <v>1.9938E-7</v>
      </c>
      <c r="J1777" s="4">
        <f t="shared" si="244"/>
        <v>-1.5016250797038089E-9</v>
      </c>
      <c r="K1777" s="4">
        <f t="shared" si="245"/>
        <v>-3.3182429818843314E-9</v>
      </c>
      <c r="L1777" s="4">
        <f t="shared" si="246"/>
        <v>-1.1311005288906851E-9</v>
      </c>
      <c r="M1777" s="4">
        <f t="shared" si="248"/>
        <v>-1.3376658302437418E-9</v>
      </c>
      <c r="N1777" s="5">
        <f t="shared" si="249"/>
        <v>1.5666227587404344E-6</v>
      </c>
      <c r="O1777" s="5">
        <f t="shared" si="250"/>
        <v>1.6968735469137192E-7</v>
      </c>
      <c r="P1777" s="5">
        <f t="shared" si="251"/>
        <v>6.3689886568195769E-8</v>
      </c>
      <c r="Q1777" s="1">
        <f t="shared" si="247"/>
        <v>1.800000000000002E-6</v>
      </c>
    </row>
    <row r="1778" spans="1:17" x14ac:dyDescent="0.25">
      <c r="A1778" s="1">
        <v>88.8</v>
      </c>
      <c r="B1778" s="1">
        <v>3.7612000000000001E-3</v>
      </c>
      <c r="C1778" s="1">
        <v>1.6291999999999999E-4</v>
      </c>
      <c r="D1778" s="1">
        <v>3.3058999999999998E-2</v>
      </c>
      <c r="E1778" s="1">
        <v>1.7685999999999999E-3</v>
      </c>
      <c r="F1778" s="1">
        <v>9.7755000000000004E-8</v>
      </c>
      <c r="G1778" s="1">
        <v>6.7077999999999998</v>
      </c>
      <c r="H1778" s="1">
        <v>1.9938999999999999E-7</v>
      </c>
      <c r="I1778" s="1">
        <f t="shared" si="243"/>
        <v>1.9938999999999999E-7</v>
      </c>
      <c r="J1778" s="4">
        <f t="shared" si="244"/>
        <v>-1.4996755790770799E-9</v>
      </c>
      <c r="K1778" s="4">
        <f t="shared" si="245"/>
        <v>-3.3089034164815645E-9</v>
      </c>
      <c r="L1778" s="4">
        <f t="shared" si="246"/>
        <v>-1.1278145878035776E-9</v>
      </c>
      <c r="M1778" s="4">
        <f t="shared" si="248"/>
        <v>-1.3333414063164456E-9</v>
      </c>
      <c r="N1778" s="5">
        <f t="shared" si="249"/>
        <v>1.5673041719900352E-6</v>
      </c>
      <c r="O1778" s="5">
        <f t="shared" si="250"/>
        <v>1.6921146826028388E-7</v>
      </c>
      <c r="P1778" s="5">
        <f t="shared" si="251"/>
        <v>6.3484359749682901E-8</v>
      </c>
      <c r="Q1778" s="1">
        <f t="shared" si="247"/>
        <v>1.8000000000000018E-6</v>
      </c>
    </row>
    <row r="1779" spans="1:17" x14ac:dyDescent="0.25">
      <c r="A1779" s="1">
        <v>88.85</v>
      </c>
      <c r="B1779" s="1">
        <v>3.7574000000000001E-3</v>
      </c>
      <c r="C1779" s="1">
        <v>1.6278000000000001E-4</v>
      </c>
      <c r="D1779" s="1">
        <v>3.3061E-2</v>
      </c>
      <c r="E1779" s="1">
        <v>1.7642999999999999E-3</v>
      </c>
      <c r="F1779" s="1">
        <v>9.7671000000000002E-8</v>
      </c>
      <c r="G1779" s="1">
        <v>6.7077999999999998</v>
      </c>
      <c r="H1779" s="1">
        <v>1.994E-7</v>
      </c>
      <c r="I1779" s="1">
        <f t="shared" si="243"/>
        <v>1.994E-7</v>
      </c>
      <c r="J1779" s="4">
        <f t="shared" si="244"/>
        <v>-1.4977221398885412E-9</v>
      </c>
      <c r="K1779" s="4">
        <f t="shared" si="245"/>
        <v>-3.2996236310753485E-9</v>
      </c>
      <c r="L1779" s="4">
        <f t="shared" si="246"/>
        <v>-1.1245272582393254E-9</v>
      </c>
      <c r="M1779" s="4">
        <f t="shared" si="248"/>
        <v>-1.3291053815012981E-9</v>
      </c>
      <c r="N1779" s="5">
        <f t="shared" si="249"/>
        <v>1.5679815462229827E-6</v>
      </c>
      <c r="O1779" s="5">
        <f t="shared" si="250"/>
        <v>1.6873867215059837E-7</v>
      </c>
      <c r="P1779" s="5">
        <f t="shared" si="251"/>
        <v>6.3279781626420934E-8</v>
      </c>
      <c r="Q1779" s="1">
        <f t="shared" si="247"/>
        <v>1.800000000000002E-6</v>
      </c>
    </row>
    <row r="1780" spans="1:17" x14ac:dyDescent="0.25">
      <c r="A1780" s="1">
        <v>88.9</v>
      </c>
      <c r="B1780" s="1">
        <v>3.7537E-3</v>
      </c>
      <c r="C1780" s="1">
        <v>1.6263000000000001E-4</v>
      </c>
      <c r="D1780" s="1">
        <v>3.3063000000000002E-2</v>
      </c>
      <c r="E1780" s="1">
        <v>1.7599E-3</v>
      </c>
      <c r="F1780" s="1">
        <v>9.7586999999999999E-8</v>
      </c>
      <c r="G1780" s="1">
        <v>6.7077999999999998</v>
      </c>
      <c r="H1780" s="1">
        <v>1.9941000000000001E-7</v>
      </c>
      <c r="I1780" s="1">
        <f t="shared" si="243"/>
        <v>1.9941000000000001E-7</v>
      </c>
      <c r="J1780" s="4">
        <f t="shared" si="244"/>
        <v>-1.4957954767792832E-9</v>
      </c>
      <c r="K1780" s="4">
        <f t="shared" si="245"/>
        <v>-3.2904041069374163E-9</v>
      </c>
      <c r="L1780" s="4">
        <f t="shared" si="246"/>
        <v>-1.12131365837137E-9</v>
      </c>
      <c r="M1780" s="4">
        <f t="shared" si="248"/>
        <v>-1.3248887879126763E-9</v>
      </c>
      <c r="N1780" s="5">
        <f t="shared" si="249"/>
        <v>1.5686548411947694E-6</v>
      </c>
      <c r="O1780" s="5">
        <f t="shared" si="250"/>
        <v>1.6826895230835292E-7</v>
      </c>
      <c r="P1780" s="5">
        <f t="shared" si="251"/>
        <v>6.307620649687962E-8</v>
      </c>
      <c r="Q1780" s="1">
        <f t="shared" si="247"/>
        <v>1.800000000000002E-6</v>
      </c>
    </row>
    <row r="1781" spans="1:17" x14ac:dyDescent="0.25">
      <c r="A1781" s="1">
        <v>88.95</v>
      </c>
      <c r="B1781" s="1">
        <v>3.7499999999999999E-3</v>
      </c>
      <c r="C1781" s="1">
        <v>1.6249E-4</v>
      </c>
      <c r="D1781" s="1">
        <v>3.3064999999999997E-2</v>
      </c>
      <c r="E1781" s="1">
        <v>1.7556E-3</v>
      </c>
      <c r="F1781" s="1">
        <v>9.7503999999999997E-8</v>
      </c>
      <c r="G1781" s="1">
        <v>6.7077999999999998</v>
      </c>
      <c r="H1781" s="1">
        <v>1.9941000000000001E-7</v>
      </c>
      <c r="I1781" s="1">
        <f t="shared" si="243"/>
        <v>1.9941000000000001E-7</v>
      </c>
      <c r="J1781" s="4">
        <f t="shared" si="244"/>
        <v>-1.493864918663629E-9</v>
      </c>
      <c r="K1781" s="4">
        <f t="shared" si="245"/>
        <v>-3.2812445700126956E-9</v>
      </c>
      <c r="L1781" s="4">
        <f t="shared" si="246"/>
        <v>-1.1180351288571123E-9</v>
      </c>
      <c r="M1781" s="4">
        <f t="shared" si="248"/>
        <v>-1.3206927654419152E-9</v>
      </c>
      <c r="N1781" s="5">
        <f t="shared" si="249"/>
        <v>1.5693241857172613E-6</v>
      </c>
      <c r="O1781" s="5">
        <f t="shared" si="250"/>
        <v>1.6780226542244576E-7</v>
      </c>
      <c r="P1781" s="5">
        <f t="shared" si="251"/>
        <v>6.2873548860294822E-8</v>
      </c>
      <c r="Q1781" s="1">
        <f t="shared" si="247"/>
        <v>1.8000000000000018E-6</v>
      </c>
    </row>
    <row r="1782" spans="1:17" x14ac:dyDescent="0.25">
      <c r="A1782" s="1">
        <v>89</v>
      </c>
      <c r="B1782" s="1">
        <v>3.7463000000000002E-3</v>
      </c>
      <c r="C1782" s="1">
        <v>1.6233999999999999E-4</v>
      </c>
      <c r="D1782" s="1">
        <v>3.3066999999999999E-2</v>
      </c>
      <c r="E1782" s="1">
        <v>1.7512999999999999E-3</v>
      </c>
      <c r="F1782" s="1">
        <v>9.7421999999999997E-8</v>
      </c>
      <c r="G1782" s="1">
        <v>6.7077</v>
      </c>
      <c r="H1782" s="1">
        <v>1.9942E-7</v>
      </c>
      <c r="I1782" s="1">
        <f t="shared" si="243"/>
        <v>1.9942E-7</v>
      </c>
      <c r="J1782" s="4">
        <f t="shared" si="244"/>
        <v>-1.4919612138447914E-9</v>
      </c>
      <c r="K1782" s="4">
        <f t="shared" si="245"/>
        <v>-3.2721441757375063E-9</v>
      </c>
      <c r="L1782" s="4">
        <f t="shared" si="246"/>
        <v>-1.1148303140545566E-9</v>
      </c>
      <c r="M1782" s="4">
        <f t="shared" si="248"/>
        <v>-1.3164495097142213E-9</v>
      </c>
      <c r="N1782" s="5">
        <f t="shared" si="249"/>
        <v>1.5699895383650995E-6</v>
      </c>
      <c r="O1782" s="5">
        <f t="shared" si="250"/>
        <v>1.6733853197026727E-7</v>
      </c>
      <c r="P1782" s="5">
        <f t="shared" si="251"/>
        <v>6.267192966463515E-8</v>
      </c>
      <c r="Q1782" s="1">
        <f t="shared" si="247"/>
        <v>1.800000000000002E-6</v>
      </c>
    </row>
    <row r="1783" spans="1:17" x14ac:dyDescent="0.25">
      <c r="A1783" s="1">
        <v>89.05</v>
      </c>
      <c r="B1783" s="1">
        <v>3.7425000000000002E-3</v>
      </c>
      <c r="C1783" s="1">
        <v>1.6220000000000001E-4</v>
      </c>
      <c r="D1783" s="1">
        <v>3.3069000000000001E-2</v>
      </c>
      <c r="E1783" s="1">
        <v>1.7469E-3</v>
      </c>
      <c r="F1783" s="1">
        <v>9.7340999999999998E-8</v>
      </c>
      <c r="G1783" s="1">
        <v>6.7077</v>
      </c>
      <c r="H1783" s="1">
        <v>1.9943000000000001E-7</v>
      </c>
      <c r="I1783" s="1">
        <f t="shared" si="243"/>
        <v>1.9943000000000001E-7</v>
      </c>
      <c r="J1783" s="4">
        <f t="shared" si="244"/>
        <v>-1.4900843060020196E-9</v>
      </c>
      <c r="K1783" s="4">
        <f t="shared" si="245"/>
        <v>-3.2631013734200268E-9</v>
      </c>
      <c r="L1783" s="4">
        <f t="shared" si="246"/>
        <v>-1.1116355933126552E-9</v>
      </c>
      <c r="M1783" s="4">
        <f t="shared" si="248"/>
        <v>-1.3122938024406872E-9</v>
      </c>
      <c r="N1783" s="5">
        <f t="shared" si="249"/>
        <v>1.5706509198392049E-6</v>
      </c>
      <c r="O1783" s="5">
        <f t="shared" si="250"/>
        <v>1.6687780870528996E-7</v>
      </c>
      <c r="P1783" s="5">
        <f t="shared" si="251"/>
        <v>6.2471271455507129E-8</v>
      </c>
      <c r="Q1783" s="1">
        <f t="shared" si="247"/>
        <v>1.800000000000002E-6</v>
      </c>
    </row>
    <row r="1784" spans="1:17" x14ac:dyDescent="0.25">
      <c r="A1784" s="1">
        <v>89.1</v>
      </c>
      <c r="B1784" s="1">
        <v>3.7388E-3</v>
      </c>
      <c r="C1784" s="1">
        <v>1.6206E-4</v>
      </c>
      <c r="D1784" s="1">
        <v>3.3071000000000003E-2</v>
      </c>
      <c r="E1784" s="1">
        <v>1.7426E-3</v>
      </c>
      <c r="F1784" s="1">
        <v>9.7259999999999999E-8</v>
      </c>
      <c r="G1784" s="1">
        <v>6.7077</v>
      </c>
      <c r="H1784" s="1">
        <v>1.9943999999999999E-7</v>
      </c>
      <c r="I1784" s="1">
        <f t="shared" si="243"/>
        <v>1.9943999999999999E-7</v>
      </c>
      <c r="J1784" s="4">
        <f t="shared" si="244"/>
        <v>-1.4882341982576886E-9</v>
      </c>
      <c r="K1784" s="4">
        <f t="shared" si="245"/>
        <v>-3.2541172697529691E-9</v>
      </c>
      <c r="L1784" s="4">
        <f t="shared" si="246"/>
        <v>-1.1083874967265466E-9</v>
      </c>
      <c r="M1784" s="4">
        <f t="shared" si="248"/>
        <v>-1.3081577949689633E-9</v>
      </c>
      <c r="N1784" s="5">
        <f t="shared" si="249"/>
        <v>1.5713084154139738E-6</v>
      </c>
      <c r="O1784" s="5">
        <f t="shared" si="250"/>
        <v>1.6642008342876364E-7</v>
      </c>
      <c r="P1784" s="5">
        <f t="shared" si="251"/>
        <v>6.2271501157264723E-8</v>
      </c>
      <c r="Q1784" s="1">
        <f t="shared" si="247"/>
        <v>1.800000000000002E-6</v>
      </c>
    </row>
    <row r="1785" spans="1:17" x14ac:dyDescent="0.25">
      <c r="A1785" s="1">
        <v>89.15</v>
      </c>
      <c r="B1785" s="1">
        <v>3.7352000000000002E-3</v>
      </c>
      <c r="C1785" s="1">
        <v>1.6191999999999999E-4</v>
      </c>
      <c r="D1785" s="1">
        <v>3.3072999999999998E-2</v>
      </c>
      <c r="E1785" s="1">
        <v>1.7384E-3</v>
      </c>
      <c r="F1785" s="1">
        <v>9.7179E-8</v>
      </c>
      <c r="G1785" s="1">
        <v>6.7077</v>
      </c>
      <c r="H1785" s="1">
        <v>1.9943999999999999E-7</v>
      </c>
      <c r="I1785" s="1">
        <f t="shared" si="243"/>
        <v>1.9943999999999999E-7</v>
      </c>
      <c r="J1785" s="4">
        <f t="shared" si="244"/>
        <v>-1.4863803897555823E-9</v>
      </c>
      <c r="K1785" s="4">
        <f t="shared" si="245"/>
        <v>-3.2451916268616288E-9</v>
      </c>
      <c r="L1785" s="4">
        <f t="shared" si="246"/>
        <v>-1.1052016079406253E-9</v>
      </c>
      <c r="M1785" s="4">
        <f t="shared" si="248"/>
        <v>-1.3040399600348084E-9</v>
      </c>
      <c r="N1785" s="5">
        <f t="shared" si="249"/>
        <v>1.5719620250431395E-6</v>
      </c>
      <c r="O1785" s="5">
        <f t="shared" si="250"/>
        <v>1.6596531215169239E-7</v>
      </c>
      <c r="P1785" s="5">
        <f t="shared" si="251"/>
        <v>6.2072662805170535E-8</v>
      </c>
      <c r="Q1785" s="1">
        <f t="shared" si="247"/>
        <v>1.8000000000000025E-6</v>
      </c>
    </row>
    <row r="1786" spans="1:17" x14ac:dyDescent="0.25">
      <c r="A1786" s="1">
        <v>89.2</v>
      </c>
      <c r="B1786" s="1">
        <v>3.7315E-3</v>
      </c>
      <c r="C1786" s="1">
        <v>1.6178000000000001E-4</v>
      </c>
      <c r="D1786" s="1">
        <v>3.3073999999999999E-2</v>
      </c>
      <c r="E1786" s="1">
        <v>1.7340999999999999E-3</v>
      </c>
      <c r="F1786" s="1">
        <v>9.7099000000000001E-8</v>
      </c>
      <c r="G1786" s="1">
        <v>6.7077</v>
      </c>
      <c r="H1786" s="1">
        <v>1.9945E-7</v>
      </c>
      <c r="I1786" s="1">
        <f t="shared" si="243"/>
        <v>1.9945E-7</v>
      </c>
      <c r="J1786" s="4">
        <f t="shared" si="244"/>
        <v>-1.484522901414695E-9</v>
      </c>
      <c r="K1786" s="4">
        <f t="shared" si="245"/>
        <v>-3.2363235869578182E-9</v>
      </c>
      <c r="L1786" s="4">
        <f t="shared" si="246"/>
        <v>-1.1020778809259322E-9</v>
      </c>
      <c r="M1786" s="4">
        <f t="shared" si="248"/>
        <v>-1.2998760463355633E-9</v>
      </c>
      <c r="N1786" s="5">
        <f t="shared" si="249"/>
        <v>1.5726117478477567E-6</v>
      </c>
      <c r="O1786" s="5">
        <f t="shared" si="250"/>
        <v>1.655133875124848E-7</v>
      </c>
      <c r="P1786" s="5">
        <f t="shared" si="251"/>
        <v>6.1874864639760901E-8</v>
      </c>
      <c r="Q1786" s="1">
        <f t="shared" si="247"/>
        <v>1.8000000000000025E-6</v>
      </c>
    </row>
    <row r="1787" spans="1:17" x14ac:dyDescent="0.25">
      <c r="A1787" s="1">
        <v>89.25</v>
      </c>
      <c r="B1787" s="1">
        <v>3.7277999999999999E-3</v>
      </c>
      <c r="C1787" s="1">
        <v>1.6164E-4</v>
      </c>
      <c r="D1787" s="1">
        <v>3.3076000000000001E-2</v>
      </c>
      <c r="E1787" s="1">
        <v>1.7298000000000001E-3</v>
      </c>
      <c r="F1787" s="1">
        <v>9.7020000000000005E-8</v>
      </c>
      <c r="G1787" s="1">
        <v>6.7077</v>
      </c>
      <c r="H1787" s="1">
        <v>1.9945999999999999E-7</v>
      </c>
      <c r="I1787" s="1">
        <f t="shared" si="243"/>
        <v>1.9945999999999999E-7</v>
      </c>
      <c r="J1787" s="4">
        <f t="shared" si="244"/>
        <v>-1.4826922929895606E-9</v>
      </c>
      <c r="K1787" s="4">
        <f t="shared" si="245"/>
        <v>-3.2275110564932703E-9</v>
      </c>
      <c r="L1787" s="4">
        <f t="shared" si="246"/>
        <v>-1.0989008462377332E-9</v>
      </c>
      <c r="M1787" s="4">
        <f t="shared" si="248"/>
        <v>-1.2957988840019591E-9</v>
      </c>
      <c r="N1787" s="5">
        <f t="shared" si="249"/>
        <v>1.5732576657650227E-6</v>
      </c>
      <c r="O1787" s="5">
        <f t="shared" si="250"/>
        <v>1.6506436763298305E-7</v>
      </c>
      <c r="P1787" s="5">
        <f t="shared" si="251"/>
        <v>6.1677966601996679E-8</v>
      </c>
      <c r="Q1787" s="1">
        <f t="shared" si="247"/>
        <v>1.8000000000000022E-6</v>
      </c>
    </row>
    <row r="1788" spans="1:17" x14ac:dyDescent="0.25">
      <c r="A1788" s="1">
        <v>89.3</v>
      </c>
      <c r="B1788" s="1">
        <v>3.7241000000000002E-3</v>
      </c>
      <c r="C1788" s="1">
        <v>1.615E-4</v>
      </c>
      <c r="D1788" s="1">
        <v>3.3078000000000003E-2</v>
      </c>
      <c r="E1788" s="1">
        <v>1.7255E-3</v>
      </c>
      <c r="F1788" s="1">
        <v>9.6941999999999995E-8</v>
      </c>
      <c r="G1788" s="1">
        <v>6.7076000000000002</v>
      </c>
      <c r="H1788" s="1">
        <v>1.9947E-7</v>
      </c>
      <c r="I1788" s="1">
        <f t="shared" si="243"/>
        <v>1.9947E-7</v>
      </c>
      <c r="J1788" s="4">
        <f t="shared" si="244"/>
        <v>-1.4808886246228495E-9</v>
      </c>
      <c r="K1788" s="4">
        <f t="shared" si="245"/>
        <v>-3.2187551688429864E-9</v>
      </c>
      <c r="L1788" s="4">
        <f t="shared" si="246"/>
        <v>-1.0957339458793352E-9</v>
      </c>
      <c r="M1788" s="4">
        <f t="shared" si="248"/>
        <v>-1.2917401579355237E-9</v>
      </c>
      <c r="N1788" s="5">
        <f t="shared" si="249"/>
        <v>1.5738997983633636E-6</v>
      </c>
      <c r="O1788" s="5">
        <f t="shared" si="250"/>
        <v>1.6461824124669845E-7</v>
      </c>
      <c r="P1788" s="5">
        <f t="shared" si="251"/>
        <v>6.1481960389940493E-8</v>
      </c>
      <c r="Q1788" s="1">
        <f t="shared" si="247"/>
        <v>1.8000000000000025E-6</v>
      </c>
    </row>
    <row r="1789" spans="1:17" x14ac:dyDescent="0.25">
      <c r="A1789" s="1">
        <v>89.35</v>
      </c>
      <c r="B1789" s="1">
        <v>3.7204999999999998E-3</v>
      </c>
      <c r="C1789" s="1">
        <v>1.6137000000000001E-4</v>
      </c>
      <c r="D1789" s="1">
        <v>3.3079999999999998E-2</v>
      </c>
      <c r="E1789" s="1">
        <v>1.7213E-3</v>
      </c>
      <c r="F1789" s="1">
        <v>9.6864E-8</v>
      </c>
      <c r="G1789" s="1">
        <v>6.7076000000000002</v>
      </c>
      <c r="H1789" s="1">
        <v>1.9947E-7</v>
      </c>
      <c r="I1789" s="1">
        <f t="shared" si="243"/>
        <v>1.9947E-7</v>
      </c>
      <c r="J1789" s="4">
        <f t="shared" si="244"/>
        <v>-1.4791118976867783E-9</v>
      </c>
      <c r="K1789" s="4">
        <f t="shared" si="245"/>
        <v>-3.2100557043104376E-9</v>
      </c>
      <c r="L1789" s="4">
        <f t="shared" si="246"/>
        <v>-1.0925771548712555E-9</v>
      </c>
      <c r="M1789" s="4">
        <f t="shared" si="248"/>
        <v>-1.2876996970929768E-9</v>
      </c>
      <c r="N1789" s="5">
        <f t="shared" si="249"/>
        <v>1.5745381650151159E-6</v>
      </c>
      <c r="O1789" s="5">
        <f t="shared" si="250"/>
        <v>1.6417499713716776E-7</v>
      </c>
      <c r="P1789" s="5">
        <f t="shared" si="251"/>
        <v>6.1286837847718782E-8</v>
      </c>
      <c r="Q1789" s="1">
        <f t="shared" si="247"/>
        <v>1.8000000000000025E-6</v>
      </c>
    </row>
    <row r="1790" spans="1:17" x14ac:dyDescent="0.25">
      <c r="A1790" s="1">
        <v>89.4</v>
      </c>
      <c r="B1790" s="1">
        <v>3.7168000000000001E-3</v>
      </c>
      <c r="C1790" s="1">
        <v>1.6123E-4</v>
      </c>
      <c r="D1790" s="1">
        <v>3.3082E-2</v>
      </c>
      <c r="E1790" s="1">
        <v>1.7171E-3</v>
      </c>
      <c r="F1790" s="1">
        <v>9.6786000000000004E-8</v>
      </c>
      <c r="G1790" s="1">
        <v>6.7076000000000002</v>
      </c>
      <c r="H1790" s="1">
        <v>1.9948000000000001E-7</v>
      </c>
      <c r="I1790" s="1">
        <f t="shared" si="243"/>
        <v>1.9948000000000001E-7</v>
      </c>
      <c r="J1790" s="4">
        <f t="shared" si="244"/>
        <v>-1.4773316102342725E-9</v>
      </c>
      <c r="K1790" s="4">
        <f t="shared" si="245"/>
        <v>-3.2014124441754995E-9</v>
      </c>
      <c r="L1790" s="4">
        <f t="shared" si="246"/>
        <v>-1.0894824948267107E-9</v>
      </c>
      <c r="M1790" s="4">
        <f t="shared" si="248"/>
        <v>-1.2836129822761607E-9</v>
      </c>
      <c r="N1790" s="5">
        <f t="shared" si="249"/>
        <v>1.5751727633542304E-6</v>
      </c>
      <c r="O1790" s="5">
        <f t="shared" si="250"/>
        <v>1.6373452928550269E-7</v>
      </c>
      <c r="P1790" s="5">
        <f t="shared" si="251"/>
        <v>6.109270736026933E-8</v>
      </c>
      <c r="Q1790" s="1">
        <f t="shared" si="247"/>
        <v>1.8000000000000025E-6</v>
      </c>
    </row>
    <row r="1791" spans="1:17" x14ac:dyDescent="0.25">
      <c r="A1791" s="1">
        <v>89.45</v>
      </c>
      <c r="B1791" s="1">
        <v>3.7131999999999998E-3</v>
      </c>
      <c r="C1791" s="1">
        <v>1.6110000000000001E-4</v>
      </c>
      <c r="D1791" s="1">
        <v>3.3084000000000002E-2</v>
      </c>
      <c r="E1791" s="1">
        <v>1.7128E-3</v>
      </c>
      <c r="F1791" s="1">
        <v>9.6709999999999997E-8</v>
      </c>
      <c r="G1791" s="1">
        <v>6.7076000000000002</v>
      </c>
      <c r="H1791" s="1">
        <v>1.9948999999999999E-7</v>
      </c>
      <c r="I1791" s="1">
        <f t="shared" si="243"/>
        <v>1.9948999999999999E-7</v>
      </c>
      <c r="J1791" s="4">
        <f t="shared" si="244"/>
        <v>-1.4755477794567572E-9</v>
      </c>
      <c r="K1791" s="4">
        <f t="shared" si="245"/>
        <v>-3.1928233210671214E-9</v>
      </c>
      <c r="L1791" s="4">
        <f t="shared" si="246"/>
        <v>-1.0863866501597929E-9</v>
      </c>
      <c r="M1791" s="4">
        <f t="shared" si="248"/>
        <v>-1.2796111927437124E-9</v>
      </c>
      <c r="N1791" s="5">
        <f t="shared" si="249"/>
        <v>1.575803652245681E-6</v>
      </c>
      <c r="O1791" s="5">
        <f t="shared" si="250"/>
        <v>1.6329686493663606E-7</v>
      </c>
      <c r="P1791" s="5">
        <f t="shared" si="251"/>
        <v>6.0899482817685409E-8</v>
      </c>
      <c r="Q1791" s="1">
        <f t="shared" si="247"/>
        <v>1.8000000000000025E-6</v>
      </c>
    </row>
    <row r="1792" spans="1:17" x14ac:dyDescent="0.25">
      <c r="A1792" s="1">
        <v>89.5</v>
      </c>
      <c r="B1792" s="1">
        <v>3.7096E-3</v>
      </c>
      <c r="C1792" s="1">
        <v>1.6096E-4</v>
      </c>
      <c r="D1792" s="1">
        <v>3.3085999999999997E-2</v>
      </c>
      <c r="E1792" s="1">
        <v>1.7086E-3</v>
      </c>
      <c r="F1792" s="1">
        <v>9.6633000000000002E-8</v>
      </c>
      <c r="G1792" s="1">
        <v>6.7076000000000002</v>
      </c>
      <c r="H1792" s="1">
        <v>1.9950000000000001E-7</v>
      </c>
      <c r="I1792" s="1">
        <f t="shared" si="243"/>
        <v>1.9950000000000001E-7</v>
      </c>
      <c r="J1792" s="4">
        <f t="shared" si="244"/>
        <v>-1.4738214375590584E-9</v>
      </c>
      <c r="K1792" s="4">
        <f t="shared" si="245"/>
        <v>-3.1842888662642221E-9</v>
      </c>
      <c r="L1792" s="4">
        <f t="shared" si="246"/>
        <v>-1.0832488508677797E-9</v>
      </c>
      <c r="M1792" s="4">
        <f t="shared" si="248"/>
        <v>-1.2756279718664339E-9</v>
      </c>
      <c r="N1792" s="5">
        <f t="shared" si="249"/>
        <v>1.5764308708235183E-6</v>
      </c>
      <c r="O1792" s="5">
        <f t="shared" si="250"/>
        <v>1.6286202547979732E-7</v>
      </c>
      <c r="P1792" s="5">
        <f t="shared" si="251"/>
        <v>6.0707103696686762E-8</v>
      </c>
      <c r="Q1792" s="1">
        <f t="shared" si="247"/>
        <v>1.8000000000000022E-6</v>
      </c>
    </row>
    <row r="1793" spans="1:17" x14ac:dyDescent="0.25">
      <c r="A1793" s="1">
        <v>89.55</v>
      </c>
      <c r="B1793" s="1">
        <v>3.7060000000000001E-3</v>
      </c>
      <c r="C1793" s="1">
        <v>1.6082999999999999E-4</v>
      </c>
      <c r="D1793" s="1">
        <v>3.3087999999999999E-2</v>
      </c>
      <c r="E1793" s="1">
        <v>1.7044E-3</v>
      </c>
      <c r="F1793" s="1">
        <v>9.6557999999999997E-8</v>
      </c>
      <c r="G1793" s="1">
        <v>6.7076000000000002</v>
      </c>
      <c r="H1793" s="1">
        <v>1.9950000000000001E-7</v>
      </c>
      <c r="I1793" s="1">
        <f t="shared" si="243"/>
        <v>1.9950000000000001E-7</v>
      </c>
      <c r="J1793" s="4">
        <f t="shared" si="244"/>
        <v>-1.4720611666334316E-9</v>
      </c>
      <c r="K1793" s="4">
        <f t="shared" si="245"/>
        <v>-3.1758094968558673E-9</v>
      </c>
      <c r="L1793" s="4">
        <f t="shared" si="246"/>
        <v>-1.0801619936911827E-9</v>
      </c>
      <c r="M1793" s="4">
        <f t="shared" si="248"/>
        <v>-1.2716620546862734E-9</v>
      </c>
      <c r="N1793" s="5">
        <f t="shared" si="249"/>
        <v>1.5770544571600494E-6</v>
      </c>
      <c r="O1793" s="5">
        <f t="shared" si="250"/>
        <v>1.6242993920426117E-7</v>
      </c>
      <c r="P1793" s="5">
        <f t="shared" si="251"/>
        <v>6.0515603635691662E-8</v>
      </c>
      <c r="Q1793" s="1">
        <f t="shared" si="247"/>
        <v>1.8000000000000022E-6</v>
      </c>
    </row>
    <row r="1794" spans="1:17" x14ac:dyDescent="0.25">
      <c r="A1794" s="1">
        <v>89.6</v>
      </c>
      <c r="B1794" s="1">
        <v>3.7023999999999998E-3</v>
      </c>
      <c r="C1794" s="1">
        <v>1.607E-4</v>
      </c>
      <c r="D1794" s="1">
        <v>3.3090000000000001E-2</v>
      </c>
      <c r="E1794" s="1">
        <v>1.7002E-3</v>
      </c>
      <c r="F1794" s="1">
        <v>9.6483000000000004E-8</v>
      </c>
      <c r="G1794" s="1">
        <v>6.7074999999999996</v>
      </c>
      <c r="H1794" s="1">
        <v>1.9950999999999999E-7</v>
      </c>
      <c r="I1794" s="1">
        <f t="shared" si="243"/>
        <v>1.9950999999999999E-7</v>
      </c>
      <c r="J1794" s="4">
        <f t="shared" si="244"/>
        <v>-1.4703584221492475E-9</v>
      </c>
      <c r="K1794" s="4">
        <f t="shared" si="245"/>
        <v>-3.1673838144829133E-9</v>
      </c>
      <c r="L1794" s="4">
        <f t="shared" si="246"/>
        <v>-1.0770963993715061E-9</v>
      </c>
      <c r="M1794" s="4">
        <f t="shared" si="248"/>
        <v>-1.2676506071585791E-9</v>
      </c>
      <c r="N1794" s="5">
        <f t="shared" si="249"/>
        <v>1.5776743861530114E-6</v>
      </c>
      <c r="O1794" s="5">
        <f t="shared" si="250"/>
        <v>1.620005644190861E-7</v>
      </c>
      <c r="P1794" s="5">
        <f t="shared" si="251"/>
        <v>6.0325049427904592E-8</v>
      </c>
      <c r="Q1794" s="1">
        <f t="shared" si="247"/>
        <v>1.800000000000002E-6</v>
      </c>
    </row>
    <row r="1795" spans="1:17" x14ac:dyDescent="0.25">
      <c r="A1795" s="1">
        <v>89.65</v>
      </c>
      <c r="B1795" s="1">
        <v>3.6987999999999999E-3</v>
      </c>
      <c r="C1795" s="1">
        <v>1.6056999999999999E-4</v>
      </c>
      <c r="D1795" s="1">
        <v>3.3091000000000002E-2</v>
      </c>
      <c r="E1795" s="1">
        <v>1.696E-3</v>
      </c>
      <c r="F1795" s="1">
        <v>9.6407999999999999E-8</v>
      </c>
      <c r="G1795" s="1">
        <v>6.7074999999999996</v>
      </c>
      <c r="H1795" s="1">
        <v>1.9952E-7</v>
      </c>
      <c r="I1795" s="1">
        <f t="shared" ref="I1795:I1858" si="252">H1795</f>
        <v>1.9952E-7</v>
      </c>
      <c r="J1795" s="4">
        <f t="shared" ref="J1795:J1858" si="253">(-$T$4*F1794^2*N1794)*(A1795-A1794)</f>
        <v>-1.4686522408743648E-9</v>
      </c>
      <c r="K1795" s="4">
        <f t="shared" ref="K1795:K1858" si="254">-O1794*$T$7*(A1795-A1794)</f>
        <v>-3.1590110061728975E-9</v>
      </c>
      <c r="L1795" s="4">
        <f t="shared" ref="L1795:L1802" si="255">-$T$5*F1794*E1794*(A1795-A1794)*N1794</f>
        <v>-1.0740296778425807E-9</v>
      </c>
      <c r="M1795" s="4">
        <f t="shared" si="248"/>
        <v>-1.263722314193218E-9</v>
      </c>
      <c r="N1795" s="5">
        <f t="shared" si="249"/>
        <v>1.5782907152404674E-6</v>
      </c>
      <c r="O1795" s="5">
        <f t="shared" si="250"/>
        <v>1.6157392796798077E-7</v>
      </c>
      <c r="P1795" s="5">
        <f t="shared" si="251"/>
        <v>6.0135356791553953E-8</v>
      </c>
      <c r="Q1795" s="1">
        <f t="shared" ref="Q1795:Q1802" si="256">N1795+O1795+P1795</f>
        <v>1.8000000000000022E-6</v>
      </c>
    </row>
    <row r="1796" spans="1:17" x14ac:dyDescent="0.25">
      <c r="A1796" s="1">
        <v>89.7</v>
      </c>
      <c r="B1796" s="1">
        <v>3.6952E-3</v>
      </c>
      <c r="C1796" s="1">
        <v>1.6044E-4</v>
      </c>
      <c r="D1796" s="1">
        <v>3.3092999999999997E-2</v>
      </c>
      <c r="E1796" s="1">
        <v>1.6919000000000001E-3</v>
      </c>
      <c r="F1796" s="1">
        <v>9.6333999999999994E-8</v>
      </c>
      <c r="G1796" s="1">
        <v>6.7074999999999996</v>
      </c>
      <c r="H1796" s="1">
        <v>1.9952999999999999E-7</v>
      </c>
      <c r="I1796" s="1">
        <f t="shared" si="252"/>
        <v>1.9952999999999999E-7</v>
      </c>
      <c r="J1796" s="4">
        <f t="shared" si="253"/>
        <v>-1.4669426941710013E-9</v>
      </c>
      <c r="K1796" s="4">
        <f t="shared" si="254"/>
        <v>-3.1506915953754459E-9</v>
      </c>
      <c r="L1796" s="4">
        <f t="shared" si="255"/>
        <v>-1.0709618972132161E-9</v>
      </c>
      <c r="M1796" s="4">
        <f t="shared" ref="M1796:M1802" si="257">-P1795*$T$8*I1795*(A1796-A1795)</f>
        <v>-1.2598116706402672E-9</v>
      </c>
      <c r="N1796" s="5">
        <f t="shared" ref="N1796:N1802" si="258">N1795+J1796-K1796+L1796</f>
        <v>1.5789035022444586E-6</v>
      </c>
      <c r="O1796" s="5">
        <f t="shared" ref="O1796:O1802" si="259">-J1796+O1795+K1796-M1796</f>
        <v>1.6114999073741659E-7</v>
      </c>
      <c r="P1796" s="5">
        <f t="shared" ref="P1796:P1802" si="260">P1795-L1796+M1796</f>
        <v>5.9946507018126901E-8</v>
      </c>
      <c r="Q1796" s="1">
        <f t="shared" si="256"/>
        <v>1.800000000000002E-6</v>
      </c>
    </row>
    <row r="1797" spans="1:17" x14ac:dyDescent="0.25">
      <c r="A1797" s="1">
        <v>89.75</v>
      </c>
      <c r="B1797" s="1">
        <v>3.6916000000000002E-3</v>
      </c>
      <c r="C1797" s="1">
        <v>1.6030999999999999E-4</v>
      </c>
      <c r="D1797" s="1">
        <v>3.3094999999999999E-2</v>
      </c>
      <c r="E1797" s="1">
        <v>1.6877000000000001E-3</v>
      </c>
      <c r="F1797" s="1">
        <v>9.6261000000000004E-8</v>
      </c>
      <c r="G1797" s="1">
        <v>6.7074999999999996</v>
      </c>
      <c r="H1797" s="1">
        <v>1.9952999999999999E-7</v>
      </c>
      <c r="I1797" s="1">
        <f t="shared" si="252"/>
        <v>1.9952999999999999E-7</v>
      </c>
      <c r="J1797" s="4">
        <f t="shared" si="253"/>
        <v>-1.4652602736635125E-9</v>
      </c>
      <c r="K1797" s="4">
        <f t="shared" si="254"/>
        <v>-3.1424248193794453E-9</v>
      </c>
      <c r="L1797" s="4">
        <f t="shared" si="255"/>
        <v>-1.067967333090797E-9</v>
      </c>
      <c r="M1797" s="4">
        <f t="shared" si="257"/>
        <v>-1.2559182872592487E-9</v>
      </c>
      <c r="N1797" s="5">
        <f t="shared" si="258"/>
        <v>1.5795126994570836E-6</v>
      </c>
      <c r="O1797" s="5">
        <f t="shared" si="259"/>
        <v>1.607287444789599E-7</v>
      </c>
      <c r="P1797" s="5">
        <f t="shared" si="260"/>
        <v>5.9758556063958455E-8</v>
      </c>
      <c r="Q1797" s="1">
        <f t="shared" si="256"/>
        <v>1.800000000000002E-6</v>
      </c>
    </row>
    <row r="1798" spans="1:17" x14ac:dyDescent="0.25">
      <c r="A1798" s="1">
        <v>89.8</v>
      </c>
      <c r="B1798" s="1">
        <v>3.6879999999999999E-3</v>
      </c>
      <c r="C1798" s="1">
        <v>1.6018E-4</v>
      </c>
      <c r="D1798" s="1">
        <v>3.3097000000000001E-2</v>
      </c>
      <c r="E1798" s="1">
        <v>1.6835000000000001E-3</v>
      </c>
      <c r="F1798" s="1">
        <v>9.6188000000000001E-8</v>
      </c>
      <c r="G1798" s="1">
        <v>6.7074999999999996</v>
      </c>
      <c r="H1798" s="1">
        <v>1.9954E-7</v>
      </c>
      <c r="I1798" s="1">
        <f t="shared" si="252"/>
        <v>1.9954E-7</v>
      </c>
      <c r="J1798" s="4">
        <f t="shared" si="253"/>
        <v>-1.4636049176575444E-9</v>
      </c>
      <c r="K1798" s="4">
        <f t="shared" si="254"/>
        <v>-3.1342105173395397E-9</v>
      </c>
      <c r="L1798" s="4">
        <f t="shared" si="255"/>
        <v>-1.0649196435786192E-9</v>
      </c>
      <c r="M1798" s="4">
        <f t="shared" si="257"/>
        <v>-1.2519805926013E-9</v>
      </c>
      <c r="N1798" s="5">
        <f t="shared" si="258"/>
        <v>1.5801183854131871E-6</v>
      </c>
      <c r="O1798" s="5">
        <f t="shared" si="259"/>
        <v>1.6031011947187919E-7</v>
      </c>
      <c r="P1798" s="5">
        <f t="shared" si="260"/>
        <v>5.957149511493578E-8</v>
      </c>
      <c r="Q1798" s="1">
        <f t="shared" si="256"/>
        <v>1.8000000000000022E-6</v>
      </c>
    </row>
    <row r="1799" spans="1:17" x14ac:dyDescent="0.25">
      <c r="A1799" s="1">
        <v>89.85</v>
      </c>
      <c r="B1799" s="1">
        <v>3.6844999999999998E-3</v>
      </c>
      <c r="C1799" s="1">
        <v>1.6006000000000001E-4</v>
      </c>
      <c r="D1799" s="1">
        <v>3.3099000000000003E-2</v>
      </c>
      <c r="E1799" s="1">
        <v>1.6793999999999999E-3</v>
      </c>
      <c r="F1799" s="1">
        <v>9.6115999999999999E-8</v>
      </c>
      <c r="G1799" s="1">
        <v>6.7074999999999996</v>
      </c>
      <c r="H1799" s="1">
        <v>1.9955000000000001E-7</v>
      </c>
      <c r="I1799" s="1">
        <f t="shared" si="252"/>
        <v>1.9955000000000001E-7</v>
      </c>
      <c r="J1799" s="4">
        <f t="shared" si="253"/>
        <v>-1.4619462840911188E-9</v>
      </c>
      <c r="K1799" s="4">
        <f t="shared" si="254"/>
        <v>-3.1260473297014667E-9</v>
      </c>
      <c r="L1799" s="4">
        <f t="shared" si="255"/>
        <v>-1.0618709467355289E-9</v>
      </c>
      <c r="M1799" s="4">
        <f t="shared" si="257"/>
        <v>-1.248124094199529E-9</v>
      </c>
      <c r="N1799" s="5">
        <f t="shared" si="258"/>
        <v>1.5807206155120618E-6</v>
      </c>
      <c r="O1799" s="5">
        <f t="shared" si="259"/>
        <v>1.5989414252046837E-7</v>
      </c>
      <c r="P1799" s="5">
        <f t="shared" si="260"/>
        <v>5.9385241967471774E-8</v>
      </c>
      <c r="Q1799" s="1">
        <f t="shared" si="256"/>
        <v>1.800000000000002E-6</v>
      </c>
    </row>
    <row r="1800" spans="1:17" x14ac:dyDescent="0.25">
      <c r="A1800" s="1">
        <v>89.9</v>
      </c>
      <c r="B1800" s="1">
        <v>3.6809E-3</v>
      </c>
      <c r="C1800" s="1">
        <v>1.5993E-4</v>
      </c>
      <c r="D1800" s="1">
        <v>3.3100999999999998E-2</v>
      </c>
      <c r="E1800" s="1">
        <v>1.6753E-3</v>
      </c>
      <c r="F1800" s="1">
        <v>9.6043999999999996E-8</v>
      </c>
      <c r="G1800" s="1">
        <v>6.7073999999999998</v>
      </c>
      <c r="H1800" s="1">
        <v>1.9955000000000001E-7</v>
      </c>
      <c r="I1800" s="1">
        <f t="shared" si="252"/>
        <v>1.9955000000000001E-7</v>
      </c>
      <c r="J1800" s="4">
        <f t="shared" si="253"/>
        <v>-1.4603148272287769E-9</v>
      </c>
      <c r="K1800" s="4">
        <f t="shared" si="254"/>
        <v>-3.1179357791498423E-9</v>
      </c>
      <c r="L1800" s="4">
        <f t="shared" si="255"/>
        <v>-1.0588953755378119E-9</v>
      </c>
      <c r="M1800" s="4">
        <f t="shared" si="257"/>
        <v>-1.2442841286342272E-9</v>
      </c>
      <c r="N1800" s="5">
        <f t="shared" si="258"/>
        <v>1.581319341088445E-6</v>
      </c>
      <c r="O1800" s="5">
        <f t="shared" si="259"/>
        <v>1.5948080569718152E-7</v>
      </c>
      <c r="P1800" s="5">
        <f t="shared" si="260"/>
        <v>5.9199853214375354E-8</v>
      </c>
      <c r="Q1800" s="1">
        <f t="shared" si="256"/>
        <v>1.8000000000000018E-6</v>
      </c>
    </row>
    <row r="1801" spans="1:17" x14ac:dyDescent="0.25">
      <c r="A1801" s="1">
        <v>89.95</v>
      </c>
      <c r="B1801" s="1">
        <v>3.6773000000000001E-3</v>
      </c>
      <c r="C1801" s="1">
        <v>1.5981E-4</v>
      </c>
      <c r="D1801" s="1">
        <v>3.3103E-2</v>
      </c>
      <c r="E1801" s="1">
        <v>1.6712000000000001E-3</v>
      </c>
      <c r="F1801" s="1">
        <v>9.5972999999999995E-8</v>
      </c>
      <c r="G1801" s="1">
        <v>6.7073999999999998</v>
      </c>
      <c r="H1801" s="1">
        <v>1.9955999999999999E-7</v>
      </c>
      <c r="I1801" s="1">
        <f t="shared" si="252"/>
        <v>1.9955999999999999E-7</v>
      </c>
      <c r="J1801" s="4">
        <f t="shared" si="253"/>
        <v>-1.4586801094698042E-9</v>
      </c>
      <c r="K1801" s="4">
        <f t="shared" si="254"/>
        <v>-3.1098757110948626E-9</v>
      </c>
      <c r="L1801" s="4">
        <f t="shared" si="255"/>
        <v>-1.0559187630344702E-9</v>
      </c>
      <c r="M1801" s="4">
        <f t="shared" si="257"/>
        <v>-1.2403997244374327E-9</v>
      </c>
      <c r="N1801" s="5">
        <f t="shared" si="258"/>
        <v>1.5819146179270357E-6</v>
      </c>
      <c r="O1801" s="5">
        <f t="shared" si="259"/>
        <v>1.5907000981999392E-7</v>
      </c>
      <c r="P1801" s="5">
        <f t="shared" si="260"/>
        <v>5.90153722529724E-8</v>
      </c>
      <c r="Q1801" s="1">
        <f t="shared" si="256"/>
        <v>1.800000000000002E-6</v>
      </c>
    </row>
    <row r="1802" spans="1:17" x14ac:dyDescent="0.25">
      <c r="A1802" s="1">
        <v>90</v>
      </c>
      <c r="B1802" s="1">
        <v>3.6738000000000001E-3</v>
      </c>
      <c r="C1802" s="1">
        <v>1.5967999999999999E-4</v>
      </c>
      <c r="D1802" s="1">
        <v>3.3104000000000001E-2</v>
      </c>
      <c r="E1802" s="1">
        <v>1.6670000000000001E-3</v>
      </c>
      <c r="F1802" s="1">
        <v>9.5901999999999994E-8</v>
      </c>
      <c r="G1802" s="1">
        <v>6.7073999999999998</v>
      </c>
      <c r="H1802" s="1">
        <v>1.9957000000000001E-7</v>
      </c>
      <c r="I1802" s="1">
        <f t="shared" si="252"/>
        <v>1.9957000000000001E-7</v>
      </c>
      <c r="J1802" s="4">
        <f t="shared" si="253"/>
        <v>-1.4570725626651154E-9</v>
      </c>
      <c r="K1802" s="4">
        <f t="shared" si="254"/>
        <v>-3.1018651914897052E-9</v>
      </c>
      <c r="L1802" s="4">
        <f t="shared" si="255"/>
        <v>-1.0529521445523901E-9</v>
      </c>
      <c r="M1802" s="4">
        <f t="shared" si="257"/>
        <v>-1.2365963071142627E-9</v>
      </c>
      <c r="N1802" s="5">
        <f t="shared" si="258"/>
        <v>1.5825064584113078E-6</v>
      </c>
      <c r="O1802" s="5">
        <f t="shared" si="259"/>
        <v>1.586618134982836E-7</v>
      </c>
      <c r="P1802" s="5">
        <f t="shared" si="260"/>
        <v>5.883172809041053E-8</v>
      </c>
      <c r="Q1802" s="1">
        <f t="shared" si="256"/>
        <v>1.8000000000000018E-6</v>
      </c>
    </row>
    <row r="1803" spans="1:17" x14ac:dyDescent="0.25">
      <c r="A1803" s="1">
        <v>90.05</v>
      </c>
      <c r="B1803" s="1">
        <v>3.6703E-3</v>
      </c>
      <c r="C1803" s="1">
        <v>1.5956E-4</v>
      </c>
      <c r="D1803" s="1">
        <v>3.3105999999999997E-2</v>
      </c>
      <c r="E1803" s="1">
        <v>1.6628999999999999E-3</v>
      </c>
      <c r="F1803" s="1">
        <v>9.5831999999999994E-8</v>
      </c>
      <c r="G1803" s="1">
        <v>6.7073999999999998</v>
      </c>
      <c r="H1803" s="1">
        <v>1.9957999999999999E-7</v>
      </c>
      <c r="I1803" s="1">
        <f t="shared" si="252"/>
        <v>1.9957999999999999E-7</v>
      </c>
      <c r="J1803" s="4">
        <f t="shared" si="253"/>
        <v>-1.4554618277588343E-9</v>
      </c>
      <c r="K1803" s="4">
        <f t="shared" si="254"/>
        <v>-3.0939053632163542E-9</v>
      </c>
      <c r="L1803" s="4">
        <f t="shared" ref="L1803:L1866" si="261">-$T$5*F1802*E1802*(A1803-A1802)*N1802</f>
        <v>-1.0499215550798738E-9</v>
      </c>
      <c r="M1803" s="4">
        <f t="shared" ref="M1803:M1866" si="262">-P1802*$T$8*I1802*(A1803-A1802)</f>
        <v>-1.2328100373752692E-9</v>
      </c>
      <c r="N1803" s="5">
        <f t="shared" ref="N1803:N1866" si="263">N1802+J1803-K1803+L1803</f>
        <v>1.5830949803916853E-6</v>
      </c>
      <c r="O1803" s="5">
        <f t="shared" ref="O1803:O1866" si="264">-J1803+O1802+K1803-M1803</f>
        <v>1.5825618000020136E-7</v>
      </c>
      <c r="P1803" s="5">
        <f t="shared" ref="P1803:P1866" si="265">P1802-L1803+M1803</f>
        <v>5.8648839608115138E-8</v>
      </c>
      <c r="Q1803" s="1">
        <f t="shared" ref="Q1803:Q1866" si="266">N1803+O1803+P1803</f>
        <v>1.8000000000000018E-6</v>
      </c>
    </row>
    <row r="1804" spans="1:17" x14ac:dyDescent="0.25">
      <c r="A1804" s="1">
        <v>90.1</v>
      </c>
      <c r="B1804" s="1">
        <v>3.6668E-3</v>
      </c>
      <c r="C1804" s="1">
        <v>1.5944E-4</v>
      </c>
      <c r="D1804" s="1">
        <v>3.3107999999999999E-2</v>
      </c>
      <c r="E1804" s="1">
        <v>1.6589E-3</v>
      </c>
      <c r="F1804" s="1">
        <v>9.5761999999999994E-8</v>
      </c>
      <c r="G1804" s="1">
        <v>6.7073999999999998</v>
      </c>
      <c r="H1804" s="1">
        <v>1.9957999999999999E-7</v>
      </c>
      <c r="I1804" s="1">
        <f t="shared" si="252"/>
        <v>1.9957999999999999E-7</v>
      </c>
      <c r="J1804" s="4">
        <f t="shared" si="253"/>
        <v>-1.4538783708874156E-9</v>
      </c>
      <c r="K1804" s="4">
        <f t="shared" si="254"/>
        <v>-3.0859955100037512E-9</v>
      </c>
      <c r="L1804" s="4">
        <f t="shared" si="261"/>
        <v>-1.0469640123588192E-9</v>
      </c>
      <c r="M1804" s="4">
        <f t="shared" si="262"/>
        <v>-1.22903921794363E-9</v>
      </c>
      <c r="N1804" s="5">
        <f t="shared" si="263"/>
        <v>1.5836801335184428E-6</v>
      </c>
      <c r="O1804" s="5">
        <f t="shared" si="264"/>
        <v>1.5785310207902868E-7</v>
      </c>
      <c r="P1804" s="5">
        <f t="shared" si="265"/>
        <v>5.8466764402530327E-8</v>
      </c>
      <c r="Q1804" s="1">
        <f t="shared" si="266"/>
        <v>1.8000000000000018E-6</v>
      </c>
    </row>
    <row r="1805" spans="1:17" x14ac:dyDescent="0.25">
      <c r="A1805" s="1">
        <v>90.15</v>
      </c>
      <c r="B1805" s="1">
        <v>3.6632000000000001E-3</v>
      </c>
      <c r="C1805" s="1">
        <v>1.5932000000000001E-4</v>
      </c>
      <c r="D1805" s="1">
        <v>3.3110000000000001E-2</v>
      </c>
      <c r="E1805" s="1">
        <v>1.6548000000000001E-3</v>
      </c>
      <c r="F1805" s="1">
        <v>9.5692999999999995E-8</v>
      </c>
      <c r="G1805" s="1">
        <v>6.7073999999999998</v>
      </c>
      <c r="H1805" s="1">
        <v>1.9959E-7</v>
      </c>
      <c r="I1805" s="1">
        <f t="shared" si="252"/>
        <v>1.9959E-7</v>
      </c>
      <c r="J1805" s="4">
        <f t="shared" si="253"/>
        <v>-1.4522917969105494E-9</v>
      </c>
      <c r="K1805" s="4">
        <f t="shared" si="254"/>
        <v>-3.0781354905417593E-9</v>
      </c>
      <c r="L1805" s="4">
        <f t="shared" si="261"/>
        <v>-1.0440684694204257E-9</v>
      </c>
      <c r="M1805" s="4">
        <f t="shared" si="262"/>
        <v>-1.2252236681432637E-9</v>
      </c>
      <c r="N1805" s="5">
        <f t="shared" si="263"/>
        <v>1.5842619087426536E-6</v>
      </c>
      <c r="O1805" s="5">
        <f t="shared" si="264"/>
        <v>1.5745248205354074E-7</v>
      </c>
      <c r="P1805" s="5">
        <f t="shared" si="265"/>
        <v>5.828560920380749E-8</v>
      </c>
      <c r="Q1805" s="1">
        <f t="shared" si="266"/>
        <v>1.8000000000000018E-6</v>
      </c>
    </row>
    <row r="1806" spans="1:17" x14ac:dyDescent="0.25">
      <c r="A1806" s="1">
        <v>90.2</v>
      </c>
      <c r="B1806" s="1">
        <v>3.6597000000000001E-3</v>
      </c>
      <c r="C1806" s="1">
        <v>1.5919999999999999E-4</v>
      </c>
      <c r="D1806" s="1">
        <v>3.3112000000000003E-2</v>
      </c>
      <c r="E1806" s="1">
        <v>1.6507E-3</v>
      </c>
      <c r="F1806" s="1">
        <v>9.5623999999999997E-8</v>
      </c>
      <c r="G1806" s="1">
        <v>6.7073</v>
      </c>
      <c r="H1806" s="1">
        <v>1.9959999999999999E-7</v>
      </c>
      <c r="I1806" s="1">
        <f t="shared" si="252"/>
        <v>1.9959999999999999E-7</v>
      </c>
      <c r="J1806" s="4">
        <f t="shared" si="253"/>
        <v>-1.4507324332123182E-9</v>
      </c>
      <c r="K1806" s="4">
        <f t="shared" si="254"/>
        <v>-3.07032340004387E-9</v>
      </c>
      <c r="L1806" s="4">
        <f t="shared" si="261"/>
        <v>-1.0411199279457159E-9</v>
      </c>
      <c r="M1806" s="4">
        <f t="shared" si="262"/>
        <v>-1.2214885978036641E-9</v>
      </c>
      <c r="N1806" s="5">
        <f t="shared" si="263"/>
        <v>1.5848403797815394E-6</v>
      </c>
      <c r="O1806" s="5">
        <f t="shared" si="264"/>
        <v>1.5705437968451286E-7</v>
      </c>
      <c r="P1806" s="5">
        <f t="shared" si="265"/>
        <v>5.8105240533949539E-8</v>
      </c>
      <c r="Q1806" s="1">
        <f t="shared" si="266"/>
        <v>1.8000000000000018E-6</v>
      </c>
    </row>
    <row r="1807" spans="1:17" x14ac:dyDescent="0.25">
      <c r="A1807" s="1">
        <v>90.25</v>
      </c>
      <c r="B1807" s="1">
        <v>3.6562000000000001E-3</v>
      </c>
      <c r="C1807" s="1">
        <v>1.5908E-4</v>
      </c>
      <c r="D1807" s="1">
        <v>3.3112999999999997E-2</v>
      </c>
      <c r="E1807" s="1">
        <v>1.6467000000000001E-3</v>
      </c>
      <c r="F1807" s="1">
        <v>9.5555999999999999E-8</v>
      </c>
      <c r="G1807" s="1">
        <v>6.7073</v>
      </c>
      <c r="H1807" s="1">
        <v>1.9959999999999999E-7</v>
      </c>
      <c r="I1807" s="1">
        <f t="shared" si="252"/>
        <v>1.9959999999999999E-7</v>
      </c>
      <c r="J1807" s="4">
        <f t="shared" si="253"/>
        <v>-1.4491700201762184E-9</v>
      </c>
      <c r="K1807" s="4">
        <f t="shared" si="254"/>
        <v>-3.062560403847827E-9</v>
      </c>
      <c r="L1807" s="4">
        <f t="shared" si="261"/>
        <v>-1.0381704961165888E-9</v>
      </c>
      <c r="M1807" s="4">
        <f t="shared" si="262"/>
        <v>-1.2177696311104451E-9</v>
      </c>
      <c r="N1807" s="5">
        <f t="shared" si="263"/>
        <v>1.5854155996690944E-6</v>
      </c>
      <c r="O1807" s="5">
        <f t="shared" si="264"/>
        <v>1.566587589319517E-7</v>
      </c>
      <c r="P1807" s="5">
        <f t="shared" si="265"/>
        <v>5.7925641398955681E-8</v>
      </c>
      <c r="Q1807" s="1">
        <f t="shared" si="266"/>
        <v>1.8000000000000018E-6</v>
      </c>
    </row>
    <row r="1808" spans="1:17" x14ac:dyDescent="0.25">
      <c r="A1808" s="1">
        <v>90.3</v>
      </c>
      <c r="B1808" s="1">
        <v>3.6527999999999999E-3</v>
      </c>
      <c r="C1808" s="1">
        <v>1.5896000000000001E-4</v>
      </c>
      <c r="D1808" s="1">
        <v>3.3114999999999999E-2</v>
      </c>
      <c r="E1808" s="1">
        <v>1.6425999999999999E-3</v>
      </c>
      <c r="F1808" s="1">
        <v>9.5489000000000002E-8</v>
      </c>
      <c r="G1808" s="1">
        <v>6.7073</v>
      </c>
      <c r="H1808" s="1">
        <v>1.9961E-7</v>
      </c>
      <c r="I1808" s="1">
        <f t="shared" si="252"/>
        <v>1.9961E-7</v>
      </c>
      <c r="J1808" s="4">
        <f t="shared" si="253"/>
        <v>-1.4476349199998615E-9</v>
      </c>
      <c r="K1808" s="4">
        <f t="shared" si="254"/>
        <v>-3.0548457991728843E-9</v>
      </c>
      <c r="L1808" s="4">
        <f t="shared" si="261"/>
        <v>-1.0352939380540893E-9</v>
      </c>
      <c r="M1808" s="4">
        <f t="shared" si="262"/>
        <v>-1.214005592439244E-9</v>
      </c>
      <c r="N1808" s="5">
        <f t="shared" si="263"/>
        <v>1.5859875166102133E-6</v>
      </c>
      <c r="O1808" s="5">
        <f t="shared" si="264"/>
        <v>1.5626555364521792E-7</v>
      </c>
      <c r="P1808" s="5">
        <f t="shared" si="265"/>
        <v>5.7746929744570523E-8</v>
      </c>
      <c r="Q1808" s="1">
        <f t="shared" si="266"/>
        <v>1.8000000000000018E-6</v>
      </c>
    </row>
    <row r="1809" spans="1:17" x14ac:dyDescent="0.25">
      <c r="A1809" s="1">
        <v>90.35</v>
      </c>
      <c r="B1809" s="1">
        <v>3.6492999999999999E-3</v>
      </c>
      <c r="C1809" s="1">
        <v>1.5883999999999999E-4</v>
      </c>
      <c r="D1809" s="1">
        <v>3.3117000000000001E-2</v>
      </c>
      <c r="E1809" s="1">
        <v>1.6386E-3</v>
      </c>
      <c r="F1809" s="1">
        <v>9.5421000000000005E-8</v>
      </c>
      <c r="G1809" s="1">
        <v>6.7073</v>
      </c>
      <c r="H1809" s="1">
        <v>1.9962000000000001E-7</v>
      </c>
      <c r="I1809" s="1">
        <f t="shared" si="252"/>
        <v>1.9962000000000001E-7</v>
      </c>
      <c r="J1809" s="4">
        <f t="shared" si="253"/>
        <v>-1.4461270680495565E-9</v>
      </c>
      <c r="K1809" s="4">
        <f t="shared" si="254"/>
        <v>-3.0471782960815765E-9</v>
      </c>
      <c r="L1809" s="4">
        <f t="shared" si="261"/>
        <v>-1.0323644122579081E-9</v>
      </c>
      <c r="M1809" s="4">
        <f t="shared" si="262"/>
        <v>-1.210320787862872E-9</v>
      </c>
      <c r="N1809" s="5">
        <f t="shared" si="263"/>
        <v>1.5865562034259873E-6</v>
      </c>
      <c r="O1809" s="5">
        <f t="shared" si="264"/>
        <v>1.5587482320504876E-7</v>
      </c>
      <c r="P1809" s="5">
        <f t="shared" si="265"/>
        <v>5.7568973368965559E-8</v>
      </c>
      <c r="Q1809" s="1">
        <f t="shared" si="266"/>
        <v>1.8000000000000016E-6</v>
      </c>
    </row>
    <row r="1810" spans="1:17" x14ac:dyDescent="0.25">
      <c r="A1810" s="1">
        <v>90.4</v>
      </c>
      <c r="B1810" s="1">
        <v>3.6457999999999998E-3</v>
      </c>
      <c r="C1810" s="1">
        <v>1.5872E-4</v>
      </c>
      <c r="D1810" s="1">
        <v>3.3119000000000003E-2</v>
      </c>
      <c r="E1810" s="1">
        <v>1.6345000000000001E-3</v>
      </c>
      <c r="F1810" s="1">
        <v>9.5354999999999996E-8</v>
      </c>
      <c r="G1810" s="1">
        <v>6.7073</v>
      </c>
      <c r="H1810" s="1">
        <v>1.9962999999999999E-7</v>
      </c>
      <c r="I1810" s="1">
        <f t="shared" si="252"/>
        <v>1.9962999999999999E-7</v>
      </c>
      <c r="J1810" s="4">
        <f t="shared" si="253"/>
        <v>-1.4445859569442917E-9</v>
      </c>
      <c r="K1810" s="4">
        <f t="shared" si="254"/>
        <v>-3.0395590524991417E-9</v>
      </c>
      <c r="L1810" s="4">
        <f t="shared" si="261"/>
        <v>-1.0294860647606924E-9</v>
      </c>
      <c r="M1810" s="4">
        <f t="shared" si="262"/>
        <v>-1.2066514387111295E-9</v>
      </c>
      <c r="N1810" s="5">
        <f t="shared" si="263"/>
        <v>1.5871216904567815E-6</v>
      </c>
      <c r="O1810" s="5">
        <f t="shared" si="264"/>
        <v>1.5548650154820503E-7</v>
      </c>
      <c r="P1810" s="5">
        <f t="shared" si="265"/>
        <v>5.7391807995015119E-8</v>
      </c>
      <c r="Q1810" s="1">
        <f t="shared" si="266"/>
        <v>1.8000000000000018E-6</v>
      </c>
    </row>
    <row r="1811" spans="1:17" x14ac:dyDescent="0.25">
      <c r="A1811" s="1">
        <v>90.45</v>
      </c>
      <c r="B1811" s="1">
        <v>3.6424000000000001E-3</v>
      </c>
      <c r="C1811" s="1">
        <v>1.5861E-4</v>
      </c>
      <c r="D1811" s="1">
        <v>3.3120999999999998E-2</v>
      </c>
      <c r="E1811" s="1">
        <v>1.6305E-3</v>
      </c>
      <c r="F1811" s="1">
        <v>9.5287999999999999E-8</v>
      </c>
      <c r="G1811" s="1">
        <v>6.7073</v>
      </c>
      <c r="H1811" s="1">
        <v>1.9962999999999999E-7</v>
      </c>
      <c r="I1811" s="1">
        <f t="shared" si="252"/>
        <v>1.9962999999999999E-7</v>
      </c>
      <c r="J1811" s="4">
        <f t="shared" si="253"/>
        <v>-1.4431024631403983E-9</v>
      </c>
      <c r="K1811" s="4">
        <f t="shared" si="254"/>
        <v>-3.0319867801898261E-9</v>
      </c>
      <c r="L1811" s="4">
        <f t="shared" si="261"/>
        <v>-1.0265656284843345E-9</v>
      </c>
      <c r="M1811" s="4">
        <f t="shared" si="262"/>
        <v>-1.2029982961546428E-9</v>
      </c>
      <c r="N1811" s="5">
        <f t="shared" si="263"/>
        <v>1.5876840091453466E-6</v>
      </c>
      <c r="O1811" s="5">
        <f t="shared" si="264"/>
        <v>1.5510061552731026E-7</v>
      </c>
      <c r="P1811" s="5">
        <f t="shared" si="265"/>
        <v>5.7215375327344813E-8</v>
      </c>
      <c r="Q1811" s="1">
        <f t="shared" si="266"/>
        <v>1.8000000000000016E-6</v>
      </c>
    </row>
    <row r="1812" spans="1:17" x14ac:dyDescent="0.25">
      <c r="A1812" s="1">
        <v>90.5</v>
      </c>
      <c r="B1812" s="1">
        <v>3.6389E-3</v>
      </c>
      <c r="C1812" s="1">
        <v>1.5849000000000001E-4</v>
      </c>
      <c r="D1812" s="1">
        <v>3.3121999999999999E-2</v>
      </c>
      <c r="E1812" s="1">
        <v>1.6264999999999999E-3</v>
      </c>
      <c r="F1812" s="1">
        <v>9.5223000000000005E-8</v>
      </c>
      <c r="G1812" s="1">
        <v>6.7072000000000003</v>
      </c>
      <c r="H1812" s="1">
        <v>1.9964000000000001E-7</v>
      </c>
      <c r="I1812" s="1">
        <f t="shared" si="252"/>
        <v>1.9964000000000001E-7</v>
      </c>
      <c r="J1812" s="4">
        <f t="shared" si="253"/>
        <v>-1.441585794037882E-9</v>
      </c>
      <c r="K1812" s="4">
        <f t="shared" si="254"/>
        <v>-3.0244620027823787E-9</v>
      </c>
      <c r="L1812" s="4">
        <f t="shared" si="261"/>
        <v>-1.0236964144794604E-9</v>
      </c>
      <c r="M1812" s="4">
        <f t="shared" si="262"/>
        <v>-1.1993000645427056E-9</v>
      </c>
      <c r="N1812" s="5">
        <f t="shared" si="263"/>
        <v>1.5882431889396114E-6</v>
      </c>
      <c r="O1812" s="5">
        <f t="shared" si="264"/>
        <v>1.5471703938310848E-7</v>
      </c>
      <c r="P1812" s="5">
        <f t="shared" si="265"/>
        <v>5.7039771677281565E-8</v>
      </c>
      <c r="Q1812" s="1">
        <f t="shared" si="266"/>
        <v>1.8000000000000014E-6</v>
      </c>
    </row>
    <row r="1813" spans="1:17" x14ac:dyDescent="0.25">
      <c r="A1813" s="1">
        <v>90.55</v>
      </c>
      <c r="B1813" s="1">
        <v>3.6354999999999998E-3</v>
      </c>
      <c r="C1813" s="1">
        <v>1.5838000000000001E-4</v>
      </c>
      <c r="D1813" s="1">
        <v>3.3124000000000001E-2</v>
      </c>
      <c r="E1813" s="1">
        <v>1.6225E-3</v>
      </c>
      <c r="F1813" s="1">
        <v>9.5156999999999996E-8</v>
      </c>
      <c r="G1813" s="1">
        <v>6.7072000000000003</v>
      </c>
      <c r="H1813" s="1">
        <v>1.9964999999999999E-7</v>
      </c>
      <c r="I1813" s="1">
        <f t="shared" si="252"/>
        <v>1.9964999999999999E-7</v>
      </c>
      <c r="J1813" s="4">
        <f t="shared" si="253"/>
        <v>-1.4401267625840092E-9</v>
      </c>
      <c r="K1813" s="4">
        <f t="shared" si="254"/>
        <v>-3.0169822679704442E-9</v>
      </c>
      <c r="L1813" s="4">
        <f t="shared" si="261"/>
        <v>-1.0208478670355897E-9</v>
      </c>
      <c r="M1813" s="4">
        <f t="shared" si="262"/>
        <v>-1.1956791018534436E-9</v>
      </c>
      <c r="N1813" s="5">
        <f t="shared" si="263"/>
        <v>1.5887991965779623E-6</v>
      </c>
      <c r="O1813" s="5">
        <f t="shared" si="264"/>
        <v>1.5433586297957549E-7</v>
      </c>
      <c r="P1813" s="5">
        <f t="shared" si="265"/>
        <v>5.6864940442463715E-8</v>
      </c>
      <c r="Q1813" s="1">
        <f t="shared" si="266"/>
        <v>1.8000000000000014E-6</v>
      </c>
    </row>
    <row r="1814" spans="1:17" x14ac:dyDescent="0.25">
      <c r="A1814" s="1">
        <v>90.6</v>
      </c>
      <c r="B1814" s="1">
        <v>3.6319999999999998E-3</v>
      </c>
      <c r="C1814" s="1">
        <v>1.5825999999999999E-4</v>
      </c>
      <c r="D1814" s="1">
        <v>3.3126000000000003E-2</v>
      </c>
      <c r="E1814" s="1">
        <v>1.6184999999999999E-3</v>
      </c>
      <c r="F1814" s="1">
        <v>9.5093000000000003E-8</v>
      </c>
      <c r="G1814" s="1">
        <v>6.7072000000000003</v>
      </c>
      <c r="H1814" s="1">
        <v>1.9964999999999999E-7</v>
      </c>
      <c r="I1814" s="1">
        <f t="shared" si="252"/>
        <v>1.9964999999999999E-7</v>
      </c>
      <c r="J1814" s="4">
        <f t="shared" si="253"/>
        <v>-1.4386345791460607E-9</v>
      </c>
      <c r="K1814" s="4">
        <f t="shared" si="254"/>
        <v>-3.0095493281015513E-9</v>
      </c>
      <c r="L1814" s="4">
        <f t="shared" si="261"/>
        <v>-1.0179877580585358E-9</v>
      </c>
      <c r="M1814" s="4">
        <f t="shared" si="262"/>
        <v>-1.1920739627304095E-9</v>
      </c>
      <c r="N1814" s="5">
        <f t="shared" si="263"/>
        <v>1.5893521235688593E-6</v>
      </c>
      <c r="O1814" s="5">
        <f t="shared" si="264"/>
        <v>1.5395702219335039E-7</v>
      </c>
      <c r="P1814" s="5">
        <f t="shared" si="265"/>
        <v>5.6690854237791842E-8</v>
      </c>
      <c r="Q1814" s="1">
        <f t="shared" si="266"/>
        <v>1.8000000000000016E-6</v>
      </c>
    </row>
    <row r="1815" spans="1:17" x14ac:dyDescent="0.25">
      <c r="A1815" s="1">
        <v>90.65</v>
      </c>
      <c r="B1815" s="1">
        <v>3.6286000000000001E-3</v>
      </c>
      <c r="C1815" s="1">
        <v>1.5815E-4</v>
      </c>
      <c r="D1815" s="1">
        <v>3.3127999999999998E-2</v>
      </c>
      <c r="E1815" s="1">
        <v>1.6146000000000001E-3</v>
      </c>
      <c r="F1815" s="1">
        <v>9.5027999999999996E-8</v>
      </c>
      <c r="G1815" s="1">
        <v>6.7072000000000003</v>
      </c>
      <c r="H1815" s="1">
        <v>1.9966E-7</v>
      </c>
      <c r="I1815" s="1">
        <f t="shared" si="252"/>
        <v>1.9966E-7</v>
      </c>
      <c r="J1815" s="4">
        <f t="shared" si="253"/>
        <v>-1.4372000513542204E-9</v>
      </c>
      <c r="K1815" s="4">
        <f t="shared" si="254"/>
        <v>-3.0021619327710154E-9</v>
      </c>
      <c r="L1815" s="4">
        <f t="shared" si="261"/>
        <v>-1.0151482627464419E-9</v>
      </c>
      <c r="M1815" s="4">
        <f t="shared" si="262"/>
        <v>-1.1884245501006599E-9</v>
      </c>
      <c r="N1815" s="5">
        <f t="shared" si="263"/>
        <v>1.5899019371875297E-6</v>
      </c>
      <c r="O1815" s="5">
        <f t="shared" si="264"/>
        <v>1.5358048486203426E-7</v>
      </c>
      <c r="P1815" s="5">
        <f t="shared" si="265"/>
        <v>5.6517577950437629E-8</v>
      </c>
      <c r="Q1815" s="1">
        <f t="shared" si="266"/>
        <v>1.8000000000000016E-6</v>
      </c>
    </row>
    <row r="1816" spans="1:17" x14ac:dyDescent="0.25">
      <c r="A1816" s="1">
        <v>90.7</v>
      </c>
      <c r="B1816" s="1">
        <v>3.6251999999999999E-3</v>
      </c>
      <c r="C1816" s="1">
        <v>1.5804E-4</v>
      </c>
      <c r="D1816" s="1">
        <v>3.313E-2</v>
      </c>
      <c r="E1816" s="1">
        <v>1.6106E-3</v>
      </c>
      <c r="F1816" s="1">
        <v>9.4964000000000003E-8</v>
      </c>
      <c r="G1816" s="1">
        <v>6.7072000000000003</v>
      </c>
      <c r="H1816" s="1">
        <v>1.9966999999999999E-7</v>
      </c>
      <c r="I1816" s="1">
        <f t="shared" si="252"/>
        <v>1.9966999999999999E-7</v>
      </c>
      <c r="J1816" s="4">
        <f t="shared" si="253"/>
        <v>-1.4357324507905594E-9</v>
      </c>
      <c r="K1816" s="4">
        <f t="shared" si="254"/>
        <v>-2.9948194548094982E-9</v>
      </c>
      <c r="L1816" s="4">
        <f t="shared" si="261"/>
        <v>-1.0123599888919808E-9</v>
      </c>
      <c r="M1816" s="4">
        <f t="shared" si="262"/>
        <v>-1.1848514594262923E-9</v>
      </c>
      <c r="N1816" s="5">
        <f t="shared" si="263"/>
        <v>1.5904486642026564E-6</v>
      </c>
      <c r="O1816" s="5">
        <f t="shared" si="264"/>
        <v>1.5320624931744159E-7</v>
      </c>
      <c r="P1816" s="5">
        <f t="shared" si="265"/>
        <v>5.6345086479903318E-8</v>
      </c>
      <c r="Q1816" s="1">
        <f t="shared" si="266"/>
        <v>1.8000000000000014E-6</v>
      </c>
    </row>
    <row r="1817" spans="1:17" x14ac:dyDescent="0.25">
      <c r="A1817" s="1">
        <v>90.75</v>
      </c>
      <c r="B1817" s="1">
        <v>3.6218000000000001E-3</v>
      </c>
      <c r="C1817" s="1">
        <v>1.5793E-4</v>
      </c>
      <c r="D1817" s="1">
        <v>3.3131000000000001E-2</v>
      </c>
      <c r="E1817" s="1">
        <v>1.6065999999999999E-3</v>
      </c>
      <c r="F1817" s="1">
        <v>9.4900999999999997E-8</v>
      </c>
      <c r="G1817" s="1">
        <v>6.7072000000000003</v>
      </c>
      <c r="H1817" s="1">
        <v>1.9966999999999999E-7</v>
      </c>
      <c r="I1817" s="1">
        <f t="shared" si="252"/>
        <v>1.9966999999999999E-7</v>
      </c>
      <c r="J1817" s="4">
        <f t="shared" si="253"/>
        <v>-1.4342922586786484E-9</v>
      </c>
      <c r="K1817" s="4">
        <f t="shared" si="254"/>
        <v>-2.9875218616899408E-9</v>
      </c>
      <c r="L1817" s="4">
        <f t="shared" si="261"/>
        <v>-1.0095188823223009E-9</v>
      </c>
      <c r="M1817" s="4">
        <f t="shared" si="262"/>
        <v>-1.1812944588313739E-9</v>
      </c>
      <c r="N1817" s="5">
        <f t="shared" si="263"/>
        <v>1.5909923749233455E-6</v>
      </c>
      <c r="O1817" s="5">
        <f t="shared" si="264"/>
        <v>1.5283431417326168E-7</v>
      </c>
      <c r="P1817" s="5">
        <f t="shared" si="265"/>
        <v>5.6173310903394244E-8</v>
      </c>
      <c r="Q1817" s="1">
        <f t="shared" si="266"/>
        <v>1.8000000000000014E-6</v>
      </c>
    </row>
    <row r="1818" spans="1:17" x14ac:dyDescent="0.25">
      <c r="A1818" s="1">
        <v>90.8</v>
      </c>
      <c r="B1818" s="1">
        <v>3.6183999999999999E-3</v>
      </c>
      <c r="C1818" s="1">
        <v>1.5781000000000001E-4</v>
      </c>
      <c r="D1818" s="1">
        <v>3.3133000000000003E-2</v>
      </c>
      <c r="E1818" s="1">
        <v>1.6027000000000001E-3</v>
      </c>
      <c r="F1818" s="1">
        <v>9.4838000000000005E-8</v>
      </c>
      <c r="G1818" s="1">
        <v>6.7070999999999996</v>
      </c>
      <c r="H1818" s="1">
        <v>1.9968E-7</v>
      </c>
      <c r="I1818" s="1">
        <f t="shared" si="252"/>
        <v>1.9968E-7</v>
      </c>
      <c r="J1818" s="4">
        <f t="shared" si="253"/>
        <v>-1.4328795210426337E-9</v>
      </c>
      <c r="K1818" s="4">
        <f t="shared" si="254"/>
        <v>-2.9802691263784334E-9</v>
      </c>
      <c r="L1818" s="4">
        <f t="shared" si="261"/>
        <v>-1.006687662912345E-9</v>
      </c>
      <c r="M1818" s="4">
        <f t="shared" si="262"/>
        <v>-1.1776931237484094E-9</v>
      </c>
      <c r="N1818" s="5">
        <f t="shared" si="263"/>
        <v>1.5915330768657689E-6</v>
      </c>
      <c r="O1818" s="5">
        <f t="shared" si="264"/>
        <v>1.5246461769167426E-7</v>
      </c>
      <c r="P1818" s="5">
        <f t="shared" si="265"/>
        <v>5.600230544255818E-8</v>
      </c>
      <c r="Q1818" s="1">
        <f t="shared" si="266"/>
        <v>1.8000000000000014E-6</v>
      </c>
    </row>
    <row r="1819" spans="1:17" x14ac:dyDescent="0.25">
      <c r="A1819" s="1">
        <v>90.85</v>
      </c>
      <c r="B1819" s="1">
        <v>3.6150000000000002E-3</v>
      </c>
      <c r="C1819" s="1">
        <v>1.5770000000000001E-4</v>
      </c>
      <c r="D1819" s="1">
        <v>3.3134999999999998E-2</v>
      </c>
      <c r="E1819" s="1">
        <v>1.5988E-3</v>
      </c>
      <c r="F1819" s="1">
        <v>9.4775E-8</v>
      </c>
      <c r="G1819" s="1">
        <v>6.7070999999999996</v>
      </c>
      <c r="H1819" s="1">
        <v>1.9969000000000001E-7</v>
      </c>
      <c r="I1819" s="1">
        <f t="shared" si="252"/>
        <v>1.9969000000000001E-7</v>
      </c>
      <c r="J1819" s="4">
        <f t="shared" si="253"/>
        <v>-1.4314640398800896E-9</v>
      </c>
      <c r="K1819" s="4">
        <f t="shared" si="254"/>
        <v>-2.9730600449874791E-9</v>
      </c>
      <c r="L1819" s="4">
        <f t="shared" si="261"/>
        <v>-1.0039183427919875E-9</v>
      </c>
      <c r="M1819" s="4">
        <f t="shared" si="262"/>
        <v>-1.1741667368307851E-9</v>
      </c>
      <c r="N1819" s="5">
        <f t="shared" si="263"/>
        <v>1.5920707545280844E-6</v>
      </c>
      <c r="O1819" s="5">
        <f t="shared" si="264"/>
        <v>1.5209718842339766E-7</v>
      </c>
      <c r="P1819" s="5">
        <f t="shared" si="265"/>
        <v>5.5832057048519379E-8</v>
      </c>
      <c r="Q1819" s="1">
        <f t="shared" si="266"/>
        <v>1.8000000000000014E-6</v>
      </c>
    </row>
    <row r="1820" spans="1:17" x14ac:dyDescent="0.25">
      <c r="A1820" s="1">
        <v>90.9</v>
      </c>
      <c r="B1820" s="1">
        <v>3.6116E-3</v>
      </c>
      <c r="C1820" s="1">
        <v>1.5760000000000001E-4</v>
      </c>
      <c r="D1820" s="1">
        <v>3.3137E-2</v>
      </c>
      <c r="E1820" s="1">
        <v>1.5948E-3</v>
      </c>
      <c r="F1820" s="1">
        <v>9.4712999999999996E-8</v>
      </c>
      <c r="G1820" s="1">
        <v>6.7070999999999996</v>
      </c>
      <c r="H1820" s="1">
        <v>1.9969999999999999E-7</v>
      </c>
      <c r="I1820" s="1">
        <f t="shared" si="252"/>
        <v>1.9969999999999999E-7</v>
      </c>
      <c r="J1820" s="4">
        <f t="shared" si="253"/>
        <v>-1.4300458133445085E-9</v>
      </c>
      <c r="K1820" s="4">
        <f t="shared" si="254"/>
        <v>-2.9658951742569292E-9</v>
      </c>
      <c r="L1820" s="4">
        <f t="shared" si="261"/>
        <v>-1.0011482534905916E-9</v>
      </c>
      <c r="M1820" s="4">
        <f t="shared" si="262"/>
        <v>-1.1706558645622439E-9</v>
      </c>
      <c r="N1820" s="5">
        <f t="shared" si="263"/>
        <v>1.5926054556355064E-6</v>
      </c>
      <c r="O1820" s="5">
        <f t="shared" si="264"/>
        <v>1.5173199492704747E-7</v>
      </c>
      <c r="P1820" s="5">
        <f t="shared" si="265"/>
        <v>5.5662549437447729E-8</v>
      </c>
      <c r="Q1820" s="1">
        <f t="shared" si="266"/>
        <v>1.8000000000000016E-6</v>
      </c>
    </row>
    <row r="1821" spans="1:17" x14ac:dyDescent="0.25">
      <c r="A1821" s="1">
        <v>90.95</v>
      </c>
      <c r="B1821" s="1">
        <v>3.6082000000000002E-3</v>
      </c>
      <c r="C1821" s="1">
        <v>1.5749000000000001E-4</v>
      </c>
      <c r="D1821" s="1">
        <v>3.3138000000000001E-2</v>
      </c>
      <c r="E1821" s="1">
        <v>1.5908999999999999E-3</v>
      </c>
      <c r="F1821" s="1">
        <v>9.4652000000000006E-8</v>
      </c>
      <c r="G1821" s="1">
        <v>6.7070999999999996</v>
      </c>
      <c r="H1821" s="1">
        <v>1.9969999999999999E-7</v>
      </c>
      <c r="I1821" s="1">
        <f t="shared" si="252"/>
        <v>1.9969999999999999E-7</v>
      </c>
      <c r="J1821" s="4">
        <f t="shared" si="253"/>
        <v>-1.4286550642932601E-9</v>
      </c>
      <c r="K1821" s="4">
        <f t="shared" si="254"/>
        <v>-2.9587739010772577E-9</v>
      </c>
      <c r="L1821" s="4">
        <f t="shared" si="261"/>
        <v>-9.9832538834371221E-10</v>
      </c>
      <c r="M1821" s="4">
        <f t="shared" si="262"/>
        <v>-1.1671601678790564E-9</v>
      </c>
      <c r="N1821" s="5">
        <f t="shared" si="263"/>
        <v>1.5931372490839469E-6</v>
      </c>
      <c r="O1821" s="5">
        <f t="shared" si="264"/>
        <v>1.5136903625814254E-7</v>
      </c>
      <c r="P1821" s="5">
        <f t="shared" si="265"/>
        <v>5.5493714657912383E-8</v>
      </c>
      <c r="Q1821" s="1">
        <f t="shared" si="266"/>
        <v>1.8000000000000016E-6</v>
      </c>
    </row>
    <row r="1822" spans="1:17" x14ac:dyDescent="0.25">
      <c r="A1822" s="1">
        <v>91</v>
      </c>
      <c r="B1822" s="1">
        <v>3.6048E-3</v>
      </c>
      <c r="C1822" s="1">
        <v>1.5737999999999999E-4</v>
      </c>
      <c r="D1822" s="1">
        <v>3.3140000000000003E-2</v>
      </c>
      <c r="E1822" s="1">
        <v>1.5870000000000001E-3</v>
      </c>
      <c r="F1822" s="1">
        <v>9.4591000000000003E-8</v>
      </c>
      <c r="G1822" s="1">
        <v>6.7070999999999996</v>
      </c>
      <c r="H1822" s="1">
        <v>1.9971000000000001E-7</v>
      </c>
      <c r="I1822" s="1">
        <f t="shared" si="252"/>
        <v>1.9971000000000001E-7</v>
      </c>
      <c r="J1822" s="4">
        <f t="shared" si="253"/>
        <v>-1.4272918373365794E-9</v>
      </c>
      <c r="K1822" s="4">
        <f t="shared" si="254"/>
        <v>-2.9516962070336115E-9</v>
      </c>
      <c r="L1822" s="4">
        <f t="shared" si="261"/>
        <v>-9.9557496129800424E-10</v>
      </c>
      <c r="M1822" s="4">
        <f t="shared" si="262"/>
        <v>-1.1636199558043695E-9</v>
      </c>
      <c r="N1822" s="5">
        <f t="shared" si="263"/>
        <v>1.5936660784923458E-6</v>
      </c>
      <c r="O1822" s="5">
        <f t="shared" si="264"/>
        <v>1.510082518442499E-7</v>
      </c>
      <c r="P1822" s="5">
        <f t="shared" si="265"/>
        <v>5.5325669663406017E-8</v>
      </c>
      <c r="Q1822" s="1">
        <f t="shared" si="266"/>
        <v>1.8000000000000018E-6</v>
      </c>
    </row>
    <row r="1823" spans="1:17" x14ac:dyDescent="0.25">
      <c r="A1823" s="1">
        <v>91.05</v>
      </c>
      <c r="B1823" s="1">
        <v>3.6015000000000001E-3</v>
      </c>
      <c r="C1823" s="1">
        <v>1.5726999999999999E-4</v>
      </c>
      <c r="D1823" s="1">
        <v>3.3141999999999998E-2</v>
      </c>
      <c r="E1823" s="1">
        <v>1.5831E-3</v>
      </c>
      <c r="F1823" s="1">
        <v>9.453E-8</v>
      </c>
      <c r="G1823" s="1">
        <v>6.7070999999999996</v>
      </c>
      <c r="H1823" s="1">
        <v>1.9971999999999999E-7</v>
      </c>
      <c r="I1823" s="1">
        <f t="shared" si="252"/>
        <v>1.9971999999999999E-7</v>
      </c>
      <c r="J1823" s="4">
        <f t="shared" si="253"/>
        <v>-1.4259259157488246E-9</v>
      </c>
      <c r="K1823" s="4">
        <f t="shared" si="254"/>
        <v>-2.9446609109627056E-9</v>
      </c>
      <c r="L1823" s="4">
        <f t="shared" si="261"/>
        <v>-9.9282377577333452E-10</v>
      </c>
      <c r="M1823" s="4">
        <f t="shared" si="262"/>
        <v>-1.1601543962902096E-9</v>
      </c>
      <c r="N1823" s="5">
        <f t="shared" si="263"/>
        <v>1.5941919897117865E-6</v>
      </c>
      <c r="O1823" s="5">
        <f t="shared" si="264"/>
        <v>1.5064967124532625E-7</v>
      </c>
      <c r="P1823" s="5">
        <f t="shared" si="265"/>
        <v>5.5158339042889145E-8</v>
      </c>
      <c r="Q1823" s="1">
        <f t="shared" si="266"/>
        <v>1.800000000000002E-6</v>
      </c>
    </row>
    <row r="1824" spans="1:17" x14ac:dyDescent="0.25">
      <c r="A1824" s="1">
        <v>91.1</v>
      </c>
      <c r="B1824" s="1">
        <v>3.5980999999999999E-3</v>
      </c>
      <c r="C1824" s="1">
        <v>1.5716999999999999E-4</v>
      </c>
      <c r="D1824" s="1">
        <v>3.3142999999999999E-2</v>
      </c>
      <c r="E1824" s="1">
        <v>1.5792E-3</v>
      </c>
      <c r="F1824" s="1">
        <v>9.4468999999999997E-8</v>
      </c>
      <c r="G1824" s="1">
        <v>6.7069999999999999</v>
      </c>
      <c r="H1824" s="1">
        <v>1.9971999999999999E-7</v>
      </c>
      <c r="I1824" s="1">
        <f t="shared" si="252"/>
        <v>1.9971999999999999E-7</v>
      </c>
      <c r="J1824" s="4">
        <f t="shared" si="253"/>
        <v>-1.4245573519477329E-9</v>
      </c>
      <c r="K1824" s="4">
        <f t="shared" si="254"/>
        <v>-2.9376685892836947E-9</v>
      </c>
      <c r="L1824" s="4">
        <f t="shared" si="261"/>
        <v>-9.9007188057273797E-10</v>
      </c>
      <c r="M1824" s="4">
        <f t="shared" si="262"/>
        <v>-1.1567034647327454E-9</v>
      </c>
      <c r="N1824" s="5">
        <f t="shared" si="263"/>
        <v>1.5947150290685497E-6</v>
      </c>
      <c r="O1824" s="5">
        <f t="shared" si="264"/>
        <v>1.5029326347272304E-7</v>
      </c>
      <c r="P1824" s="5">
        <f t="shared" si="265"/>
        <v>5.4991707458729138E-8</v>
      </c>
      <c r="Q1824" s="1">
        <f t="shared" si="266"/>
        <v>1.8000000000000018E-6</v>
      </c>
    </row>
    <row r="1825" spans="1:17" x14ac:dyDescent="0.25">
      <c r="A1825" s="1">
        <v>91.15</v>
      </c>
      <c r="B1825" s="1">
        <v>3.5948E-3</v>
      </c>
      <c r="C1825" s="1">
        <v>1.5705999999999999E-4</v>
      </c>
      <c r="D1825" s="1">
        <v>3.3145000000000001E-2</v>
      </c>
      <c r="E1825" s="1">
        <v>1.5753E-3</v>
      </c>
      <c r="F1825" s="1">
        <v>9.4408999999999995E-8</v>
      </c>
      <c r="G1825" s="1">
        <v>6.7069999999999999</v>
      </c>
      <c r="H1825" s="1">
        <v>1.9973E-7</v>
      </c>
      <c r="I1825" s="1">
        <f t="shared" si="252"/>
        <v>1.9973E-7</v>
      </c>
      <c r="J1825" s="4">
        <f t="shared" si="253"/>
        <v>-1.423186198550848E-9</v>
      </c>
      <c r="K1825" s="4">
        <f t="shared" si="254"/>
        <v>-2.9307186377187659E-9</v>
      </c>
      <c r="L1825" s="4">
        <f t="shared" si="261"/>
        <v>-9.8731932440469595E-10</v>
      </c>
      <c r="M1825" s="4">
        <f t="shared" si="262"/>
        <v>-1.1532091004342875E-9</v>
      </c>
      <c r="N1825" s="5">
        <f t="shared" si="263"/>
        <v>1.5952352421833129E-6</v>
      </c>
      <c r="O1825" s="5">
        <f t="shared" si="264"/>
        <v>1.4993894013398941E-7</v>
      </c>
      <c r="P1825" s="5">
        <f t="shared" si="265"/>
        <v>5.4825817682699551E-8</v>
      </c>
      <c r="Q1825" s="1">
        <f t="shared" si="266"/>
        <v>1.8000000000000018E-6</v>
      </c>
    </row>
    <row r="1826" spans="1:17" x14ac:dyDescent="0.25">
      <c r="A1826" s="1">
        <v>91.2</v>
      </c>
      <c r="B1826" s="1">
        <v>3.5913999999999998E-3</v>
      </c>
      <c r="C1826" s="1">
        <v>1.5695999999999999E-4</v>
      </c>
      <c r="D1826" s="1">
        <v>3.3147000000000003E-2</v>
      </c>
      <c r="E1826" s="1">
        <v>1.5715E-3</v>
      </c>
      <c r="F1826" s="1">
        <v>9.4349999999999995E-8</v>
      </c>
      <c r="G1826" s="1">
        <v>6.7069999999999999</v>
      </c>
      <c r="H1826" s="1">
        <v>1.9973999999999999E-7</v>
      </c>
      <c r="I1826" s="1">
        <f t="shared" si="252"/>
        <v>1.9973999999999999E-7</v>
      </c>
      <c r="J1826" s="4">
        <f t="shared" si="253"/>
        <v>-1.4218426280719448E-9</v>
      </c>
      <c r="K1826" s="4">
        <f t="shared" si="254"/>
        <v>-2.9238093326126274E-9</v>
      </c>
      <c r="L1826" s="4">
        <f t="shared" si="261"/>
        <v>-9.845765839916959E-10</v>
      </c>
      <c r="M1826" s="4">
        <f t="shared" si="262"/>
        <v>-1.1497878594053208E-9</v>
      </c>
      <c r="N1826" s="5">
        <f t="shared" si="263"/>
        <v>1.5957526323038618E-6</v>
      </c>
      <c r="O1826" s="5">
        <f t="shared" si="264"/>
        <v>1.4958676128885405E-7</v>
      </c>
      <c r="P1826" s="5">
        <f t="shared" si="265"/>
        <v>5.4660606407285928E-8</v>
      </c>
      <c r="Q1826" s="1">
        <f t="shared" si="266"/>
        <v>1.8000000000000018E-6</v>
      </c>
    </row>
    <row r="1827" spans="1:17" x14ac:dyDescent="0.25">
      <c r="A1827" s="1">
        <v>91.25</v>
      </c>
      <c r="B1827" s="1">
        <v>3.5880999999999999E-3</v>
      </c>
      <c r="C1827" s="1">
        <v>1.5684999999999999E-4</v>
      </c>
      <c r="D1827" s="1">
        <v>3.3148999999999998E-2</v>
      </c>
      <c r="E1827" s="1">
        <v>1.5675999999999999E-3</v>
      </c>
      <c r="F1827" s="1">
        <v>9.4290999999999994E-8</v>
      </c>
      <c r="G1827" s="1">
        <v>6.7069999999999999</v>
      </c>
      <c r="H1827" s="1">
        <v>1.9973999999999999E-7</v>
      </c>
      <c r="I1827" s="1">
        <f t="shared" si="252"/>
        <v>1.9973999999999999E-7</v>
      </c>
      <c r="J1827" s="4">
        <f t="shared" si="253"/>
        <v>-1.4205266261939165E-9</v>
      </c>
      <c r="K1827" s="4">
        <f t="shared" si="254"/>
        <v>-2.9169418451324882E-9</v>
      </c>
      <c r="L1827" s="4">
        <f t="shared" si="261"/>
        <v>-9.8190609551823201E-10</v>
      </c>
      <c r="M1827" s="4">
        <f t="shared" si="262"/>
        <v>-1.1463804999980202E-9</v>
      </c>
      <c r="N1827" s="5">
        <f t="shared" si="263"/>
        <v>1.5962671414272822E-6</v>
      </c>
      <c r="O1827" s="5">
        <f t="shared" si="264"/>
        <v>1.4923672656991348E-7</v>
      </c>
      <c r="P1827" s="5">
        <f t="shared" si="265"/>
        <v>5.4496132002806137E-8</v>
      </c>
      <c r="Q1827" s="1">
        <f t="shared" si="266"/>
        <v>1.8000000000000018E-6</v>
      </c>
    </row>
    <row r="1828" spans="1:17" x14ac:dyDescent="0.25">
      <c r="A1828" s="1">
        <v>91.3</v>
      </c>
      <c r="B1828" s="1">
        <v>3.5848E-3</v>
      </c>
      <c r="C1828" s="1">
        <v>1.5674999999999999E-4</v>
      </c>
      <c r="D1828" s="1">
        <v>3.3149999999999999E-2</v>
      </c>
      <c r="E1828" s="1">
        <v>1.5638E-3</v>
      </c>
      <c r="F1828" s="1">
        <v>9.4232000000000006E-8</v>
      </c>
      <c r="G1828" s="1">
        <v>6.7069999999999999</v>
      </c>
      <c r="H1828" s="1">
        <v>1.9975E-7</v>
      </c>
      <c r="I1828" s="1">
        <f t="shared" si="252"/>
        <v>1.9975E-7</v>
      </c>
      <c r="J1828" s="4">
        <f t="shared" si="253"/>
        <v>-1.4192080217921664E-9</v>
      </c>
      <c r="K1828" s="4">
        <f t="shared" si="254"/>
        <v>-2.9101161681131476E-9</v>
      </c>
      <c r="L1828" s="4">
        <f t="shared" si="261"/>
        <v>-9.7917240819270241E-10</v>
      </c>
      <c r="M1828" s="4">
        <f t="shared" si="262"/>
        <v>-1.1429310276551873E-9</v>
      </c>
      <c r="N1828" s="5">
        <f t="shared" si="263"/>
        <v>1.5967788771654105E-6</v>
      </c>
      <c r="O1828" s="5">
        <f t="shared" si="264"/>
        <v>1.4888874945124766E-7</v>
      </c>
      <c r="P1828" s="5">
        <f t="shared" si="265"/>
        <v>5.4332373383343649E-8</v>
      </c>
      <c r="Q1828" s="1">
        <f t="shared" si="266"/>
        <v>1.8000000000000018E-6</v>
      </c>
    </row>
    <row r="1829" spans="1:17" x14ac:dyDescent="0.25">
      <c r="A1829" s="1">
        <v>91.35</v>
      </c>
      <c r="B1829" s="1">
        <v>3.5815E-3</v>
      </c>
      <c r="C1829" s="1">
        <v>1.5665000000000001E-4</v>
      </c>
      <c r="D1829" s="1">
        <v>3.3152000000000001E-2</v>
      </c>
      <c r="E1829" s="1">
        <v>1.5598999999999999E-3</v>
      </c>
      <c r="F1829" s="1">
        <v>9.4173999999999993E-8</v>
      </c>
      <c r="G1829" s="1">
        <v>6.7069999999999999</v>
      </c>
      <c r="H1829" s="1">
        <v>1.9976000000000001E-7</v>
      </c>
      <c r="I1829" s="1">
        <f t="shared" si="252"/>
        <v>1.9976000000000001E-7</v>
      </c>
      <c r="J1829" s="4">
        <f t="shared" si="253"/>
        <v>-1.4178869211165496E-9</v>
      </c>
      <c r="K1829" s="4">
        <f t="shared" si="254"/>
        <v>-2.9033306142991643E-9</v>
      </c>
      <c r="L1829" s="4">
        <f t="shared" si="261"/>
        <v>-9.765005522598E-10</v>
      </c>
      <c r="M1829" s="4">
        <f t="shared" si="262"/>
        <v>-1.139553616248839E-9</v>
      </c>
      <c r="N1829" s="5">
        <f t="shared" si="263"/>
        <v>1.5972878203063335E-6</v>
      </c>
      <c r="O1829" s="5">
        <f t="shared" si="264"/>
        <v>1.4854285937431387E-7</v>
      </c>
      <c r="P1829" s="5">
        <f t="shared" si="265"/>
        <v>5.4169320319354612E-8</v>
      </c>
      <c r="Q1829" s="1">
        <f t="shared" si="266"/>
        <v>1.800000000000002E-6</v>
      </c>
    </row>
    <row r="1830" spans="1:17" x14ac:dyDescent="0.25">
      <c r="A1830" s="1">
        <v>91.4</v>
      </c>
      <c r="B1830" s="1">
        <v>3.5782000000000001E-3</v>
      </c>
      <c r="C1830" s="1">
        <v>1.5653999999999999E-4</v>
      </c>
      <c r="D1830" s="1">
        <v>3.3154000000000003E-2</v>
      </c>
      <c r="E1830" s="1">
        <v>1.5560999999999999E-3</v>
      </c>
      <c r="F1830" s="1">
        <v>9.4115999999999994E-8</v>
      </c>
      <c r="G1830" s="1">
        <v>6.7069000000000001</v>
      </c>
      <c r="H1830" s="1">
        <v>1.9976000000000001E-7</v>
      </c>
      <c r="I1830" s="1">
        <f t="shared" si="252"/>
        <v>1.9976000000000001E-7</v>
      </c>
      <c r="J1830" s="4">
        <f t="shared" si="253"/>
        <v>-1.4165934018893891E-9</v>
      </c>
      <c r="K1830" s="4">
        <f t="shared" si="254"/>
        <v>-2.8965857577997793E-9</v>
      </c>
      <c r="L1830" s="4">
        <f t="shared" si="261"/>
        <v>-9.7377596763120615E-10</v>
      </c>
      <c r="M1830" s="4">
        <f t="shared" si="262"/>
        <v>-1.1361906598346574E-9</v>
      </c>
      <c r="N1830" s="5">
        <f t="shared" si="263"/>
        <v>1.5977940366946125E-6</v>
      </c>
      <c r="O1830" s="5">
        <f t="shared" si="264"/>
        <v>1.4819905767823814E-7</v>
      </c>
      <c r="P1830" s="5">
        <f t="shared" si="265"/>
        <v>5.4006905627151163E-8</v>
      </c>
      <c r="Q1830" s="1">
        <f t="shared" si="266"/>
        <v>1.8000000000000018E-6</v>
      </c>
    </row>
    <row r="1831" spans="1:17" x14ac:dyDescent="0.25">
      <c r="A1831" s="1">
        <v>91.45</v>
      </c>
      <c r="B1831" s="1">
        <v>3.5749000000000002E-3</v>
      </c>
      <c r="C1831" s="1">
        <v>1.5644000000000001E-4</v>
      </c>
      <c r="D1831" s="1">
        <v>3.3154999999999997E-2</v>
      </c>
      <c r="E1831" s="1">
        <v>1.5522999999999999E-3</v>
      </c>
      <c r="F1831" s="1">
        <v>9.4057999999999994E-8</v>
      </c>
      <c r="G1831" s="1">
        <v>6.7069000000000001</v>
      </c>
      <c r="H1831" s="1">
        <v>1.9976999999999999E-7</v>
      </c>
      <c r="I1831" s="1">
        <f t="shared" si="252"/>
        <v>1.9976999999999999E-7</v>
      </c>
      <c r="J1831" s="4">
        <f t="shared" si="253"/>
        <v>-1.4152974300501586E-9</v>
      </c>
      <c r="K1831" s="4">
        <f t="shared" si="254"/>
        <v>-2.8898816247254795E-9</v>
      </c>
      <c r="L1831" s="4">
        <f t="shared" si="261"/>
        <v>-9.7111319788764537E-10</v>
      </c>
      <c r="M1831" s="4">
        <f t="shared" si="262"/>
        <v>-1.1327840441483059E-9</v>
      </c>
      <c r="N1831" s="5">
        <f t="shared" si="263"/>
        <v>1.5982975076914001E-6</v>
      </c>
      <c r="O1831" s="5">
        <f t="shared" si="264"/>
        <v>1.4785725752771111E-7</v>
      </c>
      <c r="P1831" s="5">
        <f t="shared" si="265"/>
        <v>5.3845234780890499E-8</v>
      </c>
      <c r="Q1831" s="1">
        <f t="shared" si="266"/>
        <v>1.8000000000000018E-6</v>
      </c>
    </row>
    <row r="1832" spans="1:17" x14ac:dyDescent="0.25">
      <c r="A1832" s="1">
        <v>91.5</v>
      </c>
      <c r="B1832" s="1">
        <v>3.5715999999999999E-3</v>
      </c>
      <c r="C1832" s="1">
        <v>1.5634000000000001E-4</v>
      </c>
      <c r="D1832" s="1">
        <v>3.3156999999999999E-2</v>
      </c>
      <c r="E1832" s="1">
        <v>1.5485E-3</v>
      </c>
      <c r="F1832" s="1">
        <v>9.4000999999999996E-8</v>
      </c>
      <c r="G1832" s="1">
        <v>6.7069000000000001</v>
      </c>
      <c r="H1832" s="1">
        <v>1.9978000000000001E-7</v>
      </c>
      <c r="I1832" s="1">
        <f t="shared" si="252"/>
        <v>1.9978000000000001E-7</v>
      </c>
      <c r="J1832" s="4">
        <f t="shared" si="253"/>
        <v>-1.4139989990657092E-9</v>
      </c>
      <c r="K1832" s="4">
        <f t="shared" si="254"/>
        <v>-2.883216521790203E-9</v>
      </c>
      <c r="L1832" s="4">
        <f t="shared" si="261"/>
        <v>-9.6844980564505463E-10</v>
      </c>
      <c r="M1832" s="4">
        <f t="shared" si="262"/>
        <v>-1.1294495679786777E-9</v>
      </c>
      <c r="N1832" s="5">
        <f t="shared" si="263"/>
        <v>1.5987982754084796E-6</v>
      </c>
      <c r="O1832" s="5">
        <f t="shared" si="264"/>
        <v>1.4751748957296531E-7</v>
      </c>
      <c r="P1832" s="5">
        <f t="shared" si="265"/>
        <v>5.3684235018556882E-8</v>
      </c>
      <c r="Q1832" s="1">
        <f t="shared" si="266"/>
        <v>1.8000000000000018E-6</v>
      </c>
    </row>
    <row r="1833" spans="1:17" x14ac:dyDescent="0.25">
      <c r="A1833" s="1">
        <v>91.55</v>
      </c>
      <c r="B1833" s="1">
        <v>3.5682999999999999E-3</v>
      </c>
      <c r="C1833" s="1">
        <v>1.5624000000000001E-4</v>
      </c>
      <c r="D1833" s="1">
        <v>3.3159000000000001E-2</v>
      </c>
      <c r="E1833" s="1">
        <v>1.5447E-3</v>
      </c>
      <c r="F1833" s="1">
        <v>9.3944999999999998E-8</v>
      </c>
      <c r="G1833" s="1">
        <v>6.7069000000000001</v>
      </c>
      <c r="H1833" s="1">
        <v>1.9978000000000001E-7</v>
      </c>
      <c r="I1833" s="1">
        <f t="shared" si="252"/>
        <v>1.9978000000000001E-7</v>
      </c>
      <c r="J1833" s="4">
        <f t="shared" si="253"/>
        <v>-1.4127282137183099E-9</v>
      </c>
      <c r="K1833" s="4">
        <f t="shared" si="254"/>
        <v>-2.87659104667266E-9</v>
      </c>
      <c r="L1833" s="4">
        <f t="shared" si="261"/>
        <v>-9.657961087235912E-10</v>
      </c>
      <c r="M1833" s="4">
        <f t="shared" si="262"/>
        <v>-1.1261288295607018E-9</v>
      </c>
      <c r="N1833" s="5">
        <f t="shared" si="263"/>
        <v>1.5992963421327103E-6</v>
      </c>
      <c r="O1833" s="5">
        <f t="shared" si="264"/>
        <v>1.4717975556957164E-7</v>
      </c>
      <c r="P1833" s="5">
        <f t="shared" si="265"/>
        <v>5.3523902297719771E-8</v>
      </c>
      <c r="Q1833" s="1">
        <f t="shared" si="266"/>
        <v>1.8000000000000016E-6</v>
      </c>
    </row>
    <row r="1834" spans="1:17" x14ac:dyDescent="0.25">
      <c r="A1834" s="1">
        <v>91.6</v>
      </c>
      <c r="B1834" s="1">
        <v>3.565E-3</v>
      </c>
      <c r="C1834" s="1">
        <v>1.5614000000000001E-4</v>
      </c>
      <c r="D1834" s="1">
        <v>3.3161000000000003E-2</v>
      </c>
      <c r="E1834" s="1">
        <v>1.5409E-3</v>
      </c>
      <c r="F1834" s="1">
        <v>9.3888E-8</v>
      </c>
      <c r="G1834" s="1">
        <v>6.7069000000000001</v>
      </c>
      <c r="H1834" s="1">
        <v>1.9978999999999999E-7</v>
      </c>
      <c r="I1834" s="1">
        <f t="shared" si="252"/>
        <v>1.9978999999999999E-7</v>
      </c>
      <c r="J1834" s="4">
        <f t="shared" si="253"/>
        <v>-1.4114850592777609E-9</v>
      </c>
      <c r="K1834" s="4">
        <f t="shared" si="254"/>
        <v>-2.870005233606484E-9</v>
      </c>
      <c r="L1834" s="4">
        <f t="shared" si="261"/>
        <v>-9.631520602400747E-10</v>
      </c>
      <c r="M1834" s="4">
        <f t="shared" si="262"/>
        <v>-1.1227655461089741E-9</v>
      </c>
      <c r="N1834" s="5">
        <f t="shared" si="263"/>
        <v>1.5997917102467988E-6</v>
      </c>
      <c r="O1834" s="5">
        <f t="shared" si="264"/>
        <v>1.4684400094135191E-7</v>
      </c>
      <c r="P1834" s="5">
        <f t="shared" si="265"/>
        <v>5.3364288811850871E-8</v>
      </c>
      <c r="Q1834" s="1">
        <f t="shared" si="266"/>
        <v>1.8000000000000016E-6</v>
      </c>
    </row>
    <row r="1835" spans="1:17" x14ac:dyDescent="0.25">
      <c r="A1835" s="1">
        <v>91.65</v>
      </c>
      <c r="B1835" s="1">
        <v>3.5617999999999999E-3</v>
      </c>
      <c r="C1835" s="1">
        <v>1.5604E-4</v>
      </c>
      <c r="D1835" s="1">
        <v>3.3161999999999997E-2</v>
      </c>
      <c r="E1835" s="1">
        <v>1.5371E-3</v>
      </c>
      <c r="F1835" s="1">
        <v>9.3832000000000003E-8</v>
      </c>
      <c r="G1835" s="1">
        <v>6.7069000000000001</v>
      </c>
      <c r="H1835" s="1">
        <v>1.998E-7</v>
      </c>
      <c r="I1835" s="1">
        <f t="shared" si="252"/>
        <v>1.998E-7</v>
      </c>
      <c r="J1835" s="4">
        <f t="shared" si="253"/>
        <v>-1.4102094405280179E-9</v>
      </c>
      <c r="K1835" s="4">
        <f t="shared" si="254"/>
        <v>-2.8634580183570136E-9</v>
      </c>
      <c r="L1835" s="4">
        <f t="shared" si="261"/>
        <v>-9.6049715263664509E-10</v>
      </c>
      <c r="M1835" s="4">
        <f t="shared" si="262"/>
        <v>-1.1194733824808216E-9</v>
      </c>
      <c r="N1835" s="5">
        <f t="shared" si="263"/>
        <v>1.6002844616719911E-6</v>
      </c>
      <c r="O1835" s="5">
        <f t="shared" si="264"/>
        <v>1.4651022574600373E-7</v>
      </c>
      <c r="P1835" s="5">
        <f t="shared" si="265"/>
        <v>5.3205312582006694E-8</v>
      </c>
      <c r="Q1835" s="1">
        <f t="shared" si="266"/>
        <v>1.8000000000000014E-6</v>
      </c>
    </row>
    <row r="1836" spans="1:17" x14ac:dyDescent="0.25">
      <c r="A1836" s="1">
        <v>91.7</v>
      </c>
      <c r="B1836" s="1">
        <v>3.5585E-3</v>
      </c>
      <c r="C1836" s="1">
        <v>1.5595E-4</v>
      </c>
      <c r="D1836" s="1">
        <v>3.3163999999999999E-2</v>
      </c>
      <c r="E1836" s="1">
        <v>1.5333E-3</v>
      </c>
      <c r="F1836" s="1">
        <v>9.3777000000000007E-8</v>
      </c>
      <c r="G1836" s="1">
        <v>6.7069000000000001</v>
      </c>
      <c r="H1836" s="1">
        <v>1.998E-7</v>
      </c>
      <c r="I1836" s="1">
        <f t="shared" si="252"/>
        <v>1.998E-7</v>
      </c>
      <c r="J1836" s="4">
        <f t="shared" si="253"/>
        <v>-1.408961528532411E-9</v>
      </c>
      <c r="K1836" s="4">
        <f t="shared" si="254"/>
        <v>-2.8569494020469105E-9</v>
      </c>
      <c r="L1836" s="4">
        <f t="shared" si="261"/>
        <v>-9.5785193503865973E-10</v>
      </c>
      <c r="M1836" s="4">
        <f t="shared" si="262"/>
        <v>-1.1161942526578549E-9</v>
      </c>
      <c r="N1836" s="5">
        <f t="shared" si="263"/>
        <v>1.6007745976104671E-6</v>
      </c>
      <c r="O1836" s="5">
        <f t="shared" si="264"/>
        <v>1.4617843212514709E-7</v>
      </c>
      <c r="P1836" s="5">
        <f t="shared" si="265"/>
        <v>5.30469702643875E-8</v>
      </c>
      <c r="Q1836" s="1">
        <f t="shared" si="266"/>
        <v>1.8000000000000016E-6</v>
      </c>
    </row>
    <row r="1837" spans="1:17" x14ac:dyDescent="0.25">
      <c r="A1837" s="1">
        <v>91.75</v>
      </c>
      <c r="B1837" s="1">
        <v>3.5553E-3</v>
      </c>
      <c r="C1837" s="1">
        <v>1.5584999999999999E-4</v>
      </c>
      <c r="D1837" s="1">
        <v>3.3166000000000001E-2</v>
      </c>
      <c r="E1837" s="1">
        <v>1.5296000000000001E-3</v>
      </c>
      <c r="F1837" s="1">
        <v>9.3721999999999997E-8</v>
      </c>
      <c r="G1837" s="1">
        <v>6.7068000000000003</v>
      </c>
      <c r="H1837" s="1">
        <v>1.9980999999999999E-7</v>
      </c>
      <c r="I1837" s="1">
        <f t="shared" si="252"/>
        <v>1.9980999999999999E-7</v>
      </c>
      <c r="J1837" s="4">
        <f t="shared" si="253"/>
        <v>-1.4077413075175036E-9</v>
      </c>
      <c r="K1837" s="4">
        <f t="shared" si="254"/>
        <v>-2.8504794264402063E-9</v>
      </c>
      <c r="L1837" s="4">
        <f t="shared" si="261"/>
        <v>-9.5521635894609958E-10</v>
      </c>
      <c r="M1837" s="4">
        <f t="shared" si="262"/>
        <v>-1.1128723891765221E-9</v>
      </c>
      <c r="N1837" s="5">
        <f t="shared" si="263"/>
        <v>1.6012621193704437E-6</v>
      </c>
      <c r="O1837" s="5">
        <f t="shared" si="264"/>
        <v>1.4584856639540089E-7</v>
      </c>
      <c r="P1837" s="5">
        <f t="shared" si="265"/>
        <v>5.2889314234157076E-8</v>
      </c>
      <c r="Q1837" s="1">
        <f t="shared" si="266"/>
        <v>1.8000000000000016E-6</v>
      </c>
    </row>
    <row r="1838" spans="1:17" x14ac:dyDescent="0.25">
      <c r="A1838" s="1">
        <v>91.8</v>
      </c>
      <c r="B1838" s="1">
        <v>3.552E-3</v>
      </c>
      <c r="C1838" s="1">
        <v>1.5574999999999999E-4</v>
      </c>
      <c r="D1838" s="1">
        <v>3.3167000000000002E-2</v>
      </c>
      <c r="E1838" s="1">
        <v>1.5257999999999999E-3</v>
      </c>
      <c r="F1838" s="1">
        <v>9.3667000000000001E-8</v>
      </c>
      <c r="G1838" s="1">
        <v>6.7068000000000003</v>
      </c>
      <c r="H1838" s="1">
        <v>1.9982E-7</v>
      </c>
      <c r="I1838" s="1">
        <f t="shared" si="252"/>
        <v>1.9982E-7</v>
      </c>
      <c r="J1838" s="4">
        <f t="shared" si="253"/>
        <v>-1.4065187475291294E-9</v>
      </c>
      <c r="K1838" s="4">
        <f t="shared" si="254"/>
        <v>-2.8440470447101558E-9</v>
      </c>
      <c r="L1838" s="4">
        <f t="shared" si="261"/>
        <v>-9.5264249229799962E-10</v>
      </c>
      <c r="M1838" s="4">
        <f t="shared" si="262"/>
        <v>-1.109620457098264E-9</v>
      </c>
      <c r="N1838" s="5">
        <f t="shared" si="263"/>
        <v>1.6017470051753269E-6</v>
      </c>
      <c r="O1838" s="5">
        <f t="shared" si="264"/>
        <v>1.4552065855531814E-7</v>
      </c>
      <c r="P1838" s="5">
        <f t="shared" si="265"/>
        <v>5.2732336269356808E-8</v>
      </c>
      <c r="Q1838" s="1">
        <f t="shared" si="266"/>
        <v>1.8000000000000018E-6</v>
      </c>
    </row>
    <row r="1839" spans="1:17" x14ac:dyDescent="0.25">
      <c r="A1839" s="1">
        <v>91.85</v>
      </c>
      <c r="B1839" s="1">
        <v>3.5488E-3</v>
      </c>
      <c r="C1839" s="1">
        <v>1.5566000000000001E-4</v>
      </c>
      <c r="D1839" s="1">
        <v>3.3168999999999997E-2</v>
      </c>
      <c r="E1839" s="1">
        <v>1.5221E-3</v>
      </c>
      <c r="F1839" s="1">
        <v>9.3612000000000005E-8</v>
      </c>
      <c r="G1839" s="1">
        <v>6.7068000000000003</v>
      </c>
      <c r="H1839" s="1">
        <v>1.9982E-7</v>
      </c>
      <c r="I1839" s="1">
        <f t="shared" si="252"/>
        <v>1.9982E-7</v>
      </c>
      <c r="J1839" s="4">
        <f t="shared" si="253"/>
        <v>-1.4052938384340052E-9</v>
      </c>
      <c r="K1839" s="4">
        <f t="shared" si="254"/>
        <v>-2.8376528418285421E-9</v>
      </c>
      <c r="L1839" s="4">
        <f t="shared" si="261"/>
        <v>-9.5000576035666874E-10</v>
      </c>
      <c r="M1839" s="4">
        <f t="shared" si="262"/>
        <v>-1.1063824205009392E-9</v>
      </c>
      <c r="N1839" s="5">
        <f t="shared" si="263"/>
        <v>1.6022293584183649E-6</v>
      </c>
      <c r="O1839" s="5">
        <f t="shared" si="264"/>
        <v>1.4519468197242456E-7</v>
      </c>
      <c r="P1839" s="5">
        <f t="shared" si="265"/>
        <v>5.2575959609212543E-8</v>
      </c>
      <c r="Q1839" s="1">
        <f t="shared" si="266"/>
        <v>1.800000000000002E-6</v>
      </c>
    </row>
    <row r="1840" spans="1:17" x14ac:dyDescent="0.25">
      <c r="A1840" s="1">
        <v>91.9</v>
      </c>
      <c r="B1840" s="1">
        <v>3.5455999999999999E-3</v>
      </c>
      <c r="C1840" s="1">
        <v>1.5556000000000001E-4</v>
      </c>
      <c r="D1840" s="1">
        <v>3.3170999999999999E-2</v>
      </c>
      <c r="E1840" s="1">
        <v>1.5184E-3</v>
      </c>
      <c r="F1840" s="1">
        <v>9.3557999999999996E-8</v>
      </c>
      <c r="G1840" s="1">
        <v>6.7068000000000003</v>
      </c>
      <c r="H1840" s="1">
        <v>1.9983000000000001E-7</v>
      </c>
      <c r="I1840" s="1">
        <f t="shared" si="252"/>
        <v>1.9983000000000001E-7</v>
      </c>
      <c r="J1840" s="4">
        <f t="shared" si="253"/>
        <v>-1.4040666798683931E-9</v>
      </c>
      <c r="K1840" s="4">
        <f t="shared" si="254"/>
        <v>-2.8312962984629226E-9</v>
      </c>
      <c r="L1840" s="4">
        <f t="shared" si="261"/>
        <v>-9.4743078427176817E-10</v>
      </c>
      <c r="M1840" s="4">
        <f t="shared" si="262"/>
        <v>-1.1031014661571002E-9</v>
      </c>
      <c r="N1840" s="5">
        <f t="shared" si="263"/>
        <v>1.6027091572526875E-6</v>
      </c>
      <c r="O1840" s="5">
        <f t="shared" si="264"/>
        <v>1.4487055381998713E-7</v>
      </c>
      <c r="P1840" s="5">
        <f t="shared" si="265"/>
        <v>5.2420288927327212E-8</v>
      </c>
      <c r="Q1840" s="1">
        <f t="shared" si="266"/>
        <v>1.8000000000000018E-6</v>
      </c>
    </row>
    <row r="1841" spans="1:17" x14ac:dyDescent="0.25">
      <c r="A1841" s="1">
        <v>91.95</v>
      </c>
      <c r="B1841" s="1">
        <v>3.5423999999999998E-3</v>
      </c>
      <c r="C1841" s="1">
        <v>1.5547E-4</v>
      </c>
      <c r="D1841" s="1">
        <v>3.3172E-2</v>
      </c>
      <c r="E1841" s="1">
        <v>1.5146000000000001E-3</v>
      </c>
      <c r="F1841" s="1">
        <v>9.3505000000000002E-8</v>
      </c>
      <c r="G1841" s="1">
        <v>6.7068000000000003</v>
      </c>
      <c r="H1841" s="1">
        <v>1.9983999999999999E-7</v>
      </c>
      <c r="I1841" s="1">
        <f t="shared" si="252"/>
        <v>1.9983999999999999E-7</v>
      </c>
      <c r="J1841" s="4">
        <f t="shared" si="253"/>
        <v>-1.4028672505024676E-9</v>
      </c>
      <c r="K1841" s="4">
        <f t="shared" si="254"/>
        <v>-2.8249757994895884E-9</v>
      </c>
      <c r="L1841" s="4">
        <f t="shared" si="261"/>
        <v>-9.4486538592383675E-10</v>
      </c>
      <c r="M1841" s="4">
        <f t="shared" si="262"/>
        <v>-1.0998903653164562E-9</v>
      </c>
      <c r="N1841" s="5">
        <f t="shared" si="263"/>
        <v>1.603186400415751E-6</v>
      </c>
      <c r="O1841" s="5">
        <f t="shared" si="264"/>
        <v>1.4454833563631646E-7</v>
      </c>
      <c r="P1841" s="5">
        <f t="shared" si="265"/>
        <v>5.2265263947934589E-8</v>
      </c>
      <c r="Q1841" s="1">
        <f t="shared" si="266"/>
        <v>1.8000000000000022E-6</v>
      </c>
    </row>
    <row r="1842" spans="1:17" x14ac:dyDescent="0.25">
      <c r="A1842" s="1">
        <v>92</v>
      </c>
      <c r="B1842" s="1">
        <v>3.5390999999999999E-3</v>
      </c>
      <c r="C1842" s="1">
        <v>1.5537E-4</v>
      </c>
      <c r="D1842" s="1">
        <v>3.3174000000000002E-2</v>
      </c>
      <c r="E1842" s="1">
        <v>1.5108999999999999E-3</v>
      </c>
      <c r="F1842" s="1">
        <v>9.3450999999999994E-8</v>
      </c>
      <c r="G1842" s="1">
        <v>6.7068000000000003</v>
      </c>
      <c r="H1842" s="1">
        <v>1.9983999999999999E-7</v>
      </c>
      <c r="I1842" s="1">
        <f t="shared" si="252"/>
        <v>1.9983999999999999E-7</v>
      </c>
      <c r="J1842" s="4">
        <f t="shared" si="253"/>
        <v>-1.4016955328397855E-9</v>
      </c>
      <c r="K1842" s="4">
        <f t="shared" si="254"/>
        <v>-2.8186925449080109E-9</v>
      </c>
      <c r="L1842" s="4">
        <f t="shared" si="261"/>
        <v>-9.4224730487807339E-10</v>
      </c>
      <c r="M1842" s="4">
        <f t="shared" si="262"/>
        <v>-1.0966924864722387E-9</v>
      </c>
      <c r="N1842" s="5">
        <f t="shared" si="263"/>
        <v>1.6036611501229412E-6</v>
      </c>
      <c r="O1842" s="5">
        <f t="shared" si="264"/>
        <v>1.4422803111072049E-7</v>
      </c>
      <c r="P1842" s="5">
        <f t="shared" si="265"/>
        <v>5.2110818766340424E-8</v>
      </c>
      <c r="Q1842" s="1">
        <f t="shared" si="266"/>
        <v>1.8000000000000022E-6</v>
      </c>
    </row>
    <row r="1843" spans="1:17" x14ac:dyDescent="0.25">
      <c r="A1843" s="1">
        <v>92.05</v>
      </c>
      <c r="B1843" s="1">
        <v>3.5358999999999998E-3</v>
      </c>
      <c r="C1843" s="1">
        <v>1.5527999999999999E-4</v>
      </c>
      <c r="D1843" s="1">
        <v>3.3175999999999997E-2</v>
      </c>
      <c r="E1843" s="1">
        <v>1.5072E-3</v>
      </c>
      <c r="F1843" s="1">
        <v>9.3398E-8</v>
      </c>
      <c r="G1843" s="1">
        <v>6.7066999999999997</v>
      </c>
      <c r="H1843" s="1">
        <v>1.9985000000000001E-7</v>
      </c>
      <c r="I1843" s="1">
        <f t="shared" si="252"/>
        <v>1.9985000000000001E-7</v>
      </c>
      <c r="J1843" s="4">
        <f t="shared" si="253"/>
        <v>-1.400491619293333E-9</v>
      </c>
      <c r="K1843" s="4">
        <f t="shared" si="254"/>
        <v>-2.8124466066588894E-9</v>
      </c>
      <c r="L1843" s="4">
        <f t="shared" si="261"/>
        <v>-9.3968085611708073E-10</v>
      </c>
      <c r="M1843" s="4">
        <f t="shared" si="262"/>
        <v>-1.0934517323378122E-9</v>
      </c>
      <c r="N1843" s="5">
        <f t="shared" si="263"/>
        <v>1.6041334242541894E-6</v>
      </c>
      <c r="O1843" s="5">
        <f t="shared" si="264"/>
        <v>1.4390952785569275E-7</v>
      </c>
      <c r="P1843" s="5">
        <f t="shared" si="265"/>
        <v>5.1957047890119692E-8</v>
      </c>
      <c r="Q1843" s="1">
        <f t="shared" si="266"/>
        <v>1.8000000000000018E-6</v>
      </c>
    </row>
    <row r="1844" spans="1:17" x14ac:dyDescent="0.25">
      <c r="A1844" s="1">
        <v>92.1</v>
      </c>
      <c r="B1844" s="1">
        <v>3.5327000000000002E-3</v>
      </c>
      <c r="C1844" s="1">
        <v>1.5519000000000001E-4</v>
      </c>
      <c r="D1844" s="1">
        <v>3.3176999999999998E-2</v>
      </c>
      <c r="E1844" s="1">
        <v>1.5035000000000001E-3</v>
      </c>
      <c r="F1844" s="1">
        <v>9.3345999999999994E-8</v>
      </c>
      <c r="G1844" s="1">
        <v>6.7066999999999997</v>
      </c>
      <c r="H1844" s="1">
        <v>1.9985999999999999E-7</v>
      </c>
      <c r="I1844" s="1">
        <f t="shared" si="252"/>
        <v>1.9985999999999999E-7</v>
      </c>
      <c r="J1844" s="4">
        <f t="shared" si="253"/>
        <v>-1.3993154876655311E-9</v>
      </c>
      <c r="K1844" s="4">
        <f t="shared" si="254"/>
        <v>-2.806235793185849E-9</v>
      </c>
      <c r="L1844" s="4">
        <f t="shared" si="261"/>
        <v>-9.371239702658919E-10</v>
      </c>
      <c r="M1844" s="4">
        <f t="shared" si="262"/>
        <v>-1.0902796821881821E-9</v>
      </c>
      <c r="N1844" s="5">
        <f t="shared" si="263"/>
        <v>1.604603220589444E-6</v>
      </c>
      <c r="O1844" s="5">
        <f t="shared" si="264"/>
        <v>1.4359288723236061E-7</v>
      </c>
      <c r="P1844" s="5">
        <f t="shared" si="265"/>
        <v>5.1803892178197399E-8</v>
      </c>
      <c r="Q1844" s="1">
        <f t="shared" si="266"/>
        <v>1.8000000000000018E-6</v>
      </c>
    </row>
    <row r="1845" spans="1:17" x14ac:dyDescent="0.25">
      <c r="A1845" s="1">
        <v>92.15</v>
      </c>
      <c r="B1845" s="1">
        <v>3.5295999999999999E-3</v>
      </c>
      <c r="C1845" s="1">
        <v>1.5509000000000001E-4</v>
      </c>
      <c r="D1845" s="1">
        <v>3.3179E-2</v>
      </c>
      <c r="E1845" s="1">
        <v>1.4997999999999999E-3</v>
      </c>
      <c r="F1845" s="1">
        <v>9.3293E-8</v>
      </c>
      <c r="G1845" s="1">
        <v>6.7066999999999997</v>
      </c>
      <c r="H1845" s="1">
        <v>1.9985999999999999E-7</v>
      </c>
      <c r="I1845" s="1">
        <f t="shared" si="252"/>
        <v>1.9985999999999999E-7</v>
      </c>
      <c r="J1845" s="4">
        <f t="shared" si="253"/>
        <v>-1.3981671196424689E-9</v>
      </c>
      <c r="K1845" s="4">
        <f t="shared" si="254"/>
        <v>-2.8000613010316687E-9</v>
      </c>
      <c r="L1845" s="4">
        <f t="shared" si="261"/>
        <v>-9.3457659644625119E-10</v>
      </c>
      <c r="M1845" s="4">
        <f t="shared" si="262"/>
        <v>-1.0871202185273731E-9</v>
      </c>
      <c r="N1845" s="5">
        <f t="shared" si="263"/>
        <v>1.6050705381743869E-6</v>
      </c>
      <c r="O1845" s="5">
        <f t="shared" si="264"/>
        <v>1.4327811326949879E-7</v>
      </c>
      <c r="P1845" s="5">
        <f t="shared" si="265"/>
        <v>5.1651348556116274E-8</v>
      </c>
      <c r="Q1845" s="1">
        <f t="shared" si="266"/>
        <v>1.800000000000002E-6</v>
      </c>
    </row>
    <row r="1846" spans="1:17" x14ac:dyDescent="0.25">
      <c r="A1846" s="1">
        <v>92.2</v>
      </c>
      <c r="B1846" s="1">
        <v>3.5263999999999998E-3</v>
      </c>
      <c r="C1846" s="1">
        <v>1.55E-4</v>
      </c>
      <c r="D1846" s="1">
        <v>3.3180000000000001E-2</v>
      </c>
      <c r="E1846" s="1">
        <v>1.4962E-3</v>
      </c>
      <c r="F1846" s="1">
        <v>9.3240999999999994E-8</v>
      </c>
      <c r="G1846" s="1">
        <v>6.7066999999999997</v>
      </c>
      <c r="H1846" s="1">
        <v>1.9987E-7</v>
      </c>
      <c r="I1846" s="1">
        <f t="shared" si="252"/>
        <v>1.9987E-7</v>
      </c>
      <c r="J1846" s="4">
        <f t="shared" si="253"/>
        <v>-1.3969866012559541E-9</v>
      </c>
      <c r="K1846" s="4">
        <f t="shared" si="254"/>
        <v>-2.7939232087550678E-9</v>
      </c>
      <c r="L1846" s="4">
        <f t="shared" si="261"/>
        <v>-9.3201870386194772E-10</v>
      </c>
      <c r="M1846" s="4">
        <f t="shared" si="262"/>
        <v>-1.0839190448546053E-9</v>
      </c>
      <c r="N1846" s="5">
        <f t="shared" si="263"/>
        <v>1.6055354560780242E-6</v>
      </c>
      <c r="O1846" s="5">
        <f t="shared" si="264"/>
        <v>1.429650957068543E-7</v>
      </c>
      <c r="P1846" s="5">
        <f t="shared" si="265"/>
        <v>5.1499448215123618E-8</v>
      </c>
      <c r="Q1846" s="1">
        <f t="shared" si="266"/>
        <v>1.8000000000000022E-6</v>
      </c>
    </row>
    <row r="1847" spans="1:17" x14ac:dyDescent="0.25">
      <c r="A1847" s="1">
        <v>92.25</v>
      </c>
      <c r="B1847" s="1">
        <v>3.5232000000000002E-3</v>
      </c>
      <c r="C1847" s="1">
        <v>1.5490999999999999E-4</v>
      </c>
      <c r="D1847" s="1">
        <v>3.3182000000000003E-2</v>
      </c>
      <c r="E1847" s="1">
        <v>1.4924999999999999E-3</v>
      </c>
      <c r="F1847" s="1">
        <v>9.3190000000000003E-8</v>
      </c>
      <c r="G1847" s="1">
        <v>6.7066999999999997</v>
      </c>
      <c r="H1847" s="1">
        <v>1.9987E-7</v>
      </c>
      <c r="I1847" s="1">
        <f t="shared" si="252"/>
        <v>1.9987E-7</v>
      </c>
      <c r="J1847" s="4">
        <f t="shared" si="253"/>
        <v>-1.3958339143077014E-9</v>
      </c>
      <c r="K1847" s="4">
        <f t="shared" si="254"/>
        <v>-2.7878193662835005E-9</v>
      </c>
      <c r="L1847" s="4">
        <f t="shared" si="261"/>
        <v>-9.2953248203438504E-10</v>
      </c>
      <c r="M1847" s="4">
        <f t="shared" si="262"/>
        <v>-1.080785445049398E-9</v>
      </c>
      <c r="N1847" s="5">
        <f t="shared" si="263"/>
        <v>1.6059979090479657E-6</v>
      </c>
      <c r="O1847" s="5">
        <f t="shared" si="264"/>
        <v>1.4265389569992788E-7</v>
      </c>
      <c r="P1847" s="5">
        <f t="shared" si="265"/>
        <v>5.1348195252108607E-8</v>
      </c>
      <c r="Q1847" s="1">
        <f t="shared" si="266"/>
        <v>1.8000000000000022E-6</v>
      </c>
    </row>
    <row r="1848" spans="1:17" x14ac:dyDescent="0.25">
      <c r="A1848" s="1">
        <v>92.3</v>
      </c>
      <c r="B1848" s="1">
        <v>3.5201E-3</v>
      </c>
      <c r="C1848" s="1">
        <v>1.5482000000000001E-4</v>
      </c>
      <c r="D1848" s="1">
        <v>3.3183999999999998E-2</v>
      </c>
      <c r="E1848" s="1">
        <v>1.4888E-3</v>
      </c>
      <c r="F1848" s="1">
        <v>9.3138999999999998E-8</v>
      </c>
      <c r="G1848" s="1">
        <v>6.7066999999999997</v>
      </c>
      <c r="H1848" s="1">
        <v>1.9987999999999999E-7</v>
      </c>
      <c r="I1848" s="1">
        <f t="shared" si="252"/>
        <v>1.9987999999999999E-7</v>
      </c>
      <c r="J1848" s="4">
        <f t="shared" si="253"/>
        <v>-1.3947089857985334E-9</v>
      </c>
      <c r="K1848" s="4">
        <f t="shared" si="254"/>
        <v>-2.7817509661484355E-9</v>
      </c>
      <c r="L1848" s="4">
        <f t="shared" si="261"/>
        <v>-9.2699357435485457E-10</v>
      </c>
      <c r="M1848" s="4">
        <f t="shared" si="262"/>
        <v>-1.0776111974290281E-9</v>
      </c>
      <c r="N1848" s="5">
        <f t="shared" si="263"/>
        <v>1.6064579574539608E-6</v>
      </c>
      <c r="O1848" s="5">
        <f t="shared" si="264"/>
        <v>1.4234446491700701E-7</v>
      </c>
      <c r="P1848" s="5">
        <f t="shared" si="265"/>
        <v>5.1197577629034434E-8</v>
      </c>
      <c r="Q1848" s="1">
        <f t="shared" si="266"/>
        <v>1.8000000000000022E-6</v>
      </c>
    </row>
    <row r="1849" spans="1:17" x14ac:dyDescent="0.25">
      <c r="A1849" s="1">
        <v>92.35</v>
      </c>
      <c r="B1849" s="1">
        <v>3.5168999999999999E-3</v>
      </c>
      <c r="C1849" s="1">
        <v>1.5473E-4</v>
      </c>
      <c r="D1849" s="1">
        <v>3.3184999999999999E-2</v>
      </c>
      <c r="E1849" s="1">
        <v>1.4852000000000001E-3</v>
      </c>
      <c r="F1849" s="1">
        <v>9.3088000000000006E-8</v>
      </c>
      <c r="G1849" s="1">
        <v>6.7066999999999997</v>
      </c>
      <c r="H1849" s="1">
        <v>1.9989E-7</v>
      </c>
      <c r="I1849" s="1">
        <f t="shared" si="252"/>
        <v>1.9989E-7</v>
      </c>
      <c r="J1849" s="4">
        <f t="shared" si="253"/>
        <v>-1.3935819276424726E-9</v>
      </c>
      <c r="K1849" s="4">
        <f t="shared" si="254"/>
        <v>-2.7757170658814793E-9</v>
      </c>
      <c r="L1849" s="4">
        <f t="shared" si="261"/>
        <v>-9.2445418262785402E-10</v>
      </c>
      <c r="M1849" s="4">
        <f t="shared" si="262"/>
        <v>-1.0745040407315362E-9</v>
      </c>
      <c r="N1849" s="5">
        <f t="shared" si="263"/>
        <v>1.606915638409572E-6</v>
      </c>
      <c r="O1849" s="5">
        <f t="shared" si="264"/>
        <v>1.4203683381949953E-7</v>
      </c>
      <c r="P1849" s="5">
        <f t="shared" si="265"/>
        <v>5.1047527770930756E-8</v>
      </c>
      <c r="Q1849" s="1">
        <f t="shared" si="266"/>
        <v>1.8000000000000022E-6</v>
      </c>
    </row>
    <row r="1850" spans="1:17" x14ac:dyDescent="0.25">
      <c r="A1850" s="1">
        <v>92.4</v>
      </c>
      <c r="B1850" s="1">
        <v>3.5138000000000001E-3</v>
      </c>
      <c r="C1850" s="1">
        <v>1.5464E-4</v>
      </c>
      <c r="D1850" s="1">
        <v>3.3187000000000001E-2</v>
      </c>
      <c r="E1850" s="1">
        <v>1.4815E-3</v>
      </c>
      <c r="F1850" s="1">
        <v>9.3037000000000001E-8</v>
      </c>
      <c r="G1850" s="1">
        <v>6.7065999999999999</v>
      </c>
      <c r="H1850" s="1">
        <v>1.9989E-7</v>
      </c>
      <c r="I1850" s="1">
        <f t="shared" si="252"/>
        <v>1.9989E-7</v>
      </c>
      <c r="J1850" s="4">
        <f t="shared" si="253"/>
        <v>-1.3924527795731749E-9</v>
      </c>
      <c r="K1850" s="4">
        <f t="shared" si="254"/>
        <v>-2.7697182594808705E-9</v>
      </c>
      <c r="L1850" s="4">
        <f t="shared" si="261"/>
        <v>-9.2197642049690924E-10</v>
      </c>
      <c r="M1850" s="4">
        <f t="shared" si="262"/>
        <v>-1.0714084842440354E-9</v>
      </c>
      <c r="N1850" s="5">
        <f t="shared" si="263"/>
        <v>1.6073709274689828E-6</v>
      </c>
      <c r="O1850" s="5">
        <f t="shared" si="264"/>
        <v>1.4173097682383587E-7</v>
      </c>
      <c r="P1850" s="5">
        <f t="shared" si="265"/>
        <v>5.0898095707183636E-8</v>
      </c>
      <c r="Q1850" s="1">
        <f t="shared" si="266"/>
        <v>1.8000000000000022E-6</v>
      </c>
    </row>
    <row r="1851" spans="1:17" x14ac:dyDescent="0.25">
      <c r="A1851" s="1">
        <v>92.45</v>
      </c>
      <c r="B1851" s="1">
        <v>3.5106E-3</v>
      </c>
      <c r="C1851" s="1">
        <v>1.5454999999999999E-4</v>
      </c>
      <c r="D1851" s="1">
        <v>3.3189000000000003E-2</v>
      </c>
      <c r="E1851" s="1">
        <v>1.4779000000000001E-3</v>
      </c>
      <c r="F1851" s="1">
        <v>9.2986999999999997E-8</v>
      </c>
      <c r="G1851" s="1">
        <v>6.7065999999999999</v>
      </c>
      <c r="H1851" s="1">
        <v>1.9990000000000001E-7</v>
      </c>
      <c r="I1851" s="1">
        <f t="shared" si="252"/>
        <v>1.9990000000000001E-7</v>
      </c>
      <c r="J1851" s="4">
        <f t="shared" si="253"/>
        <v>-1.3913215278892085E-9</v>
      </c>
      <c r="K1851" s="4">
        <f t="shared" si="254"/>
        <v>-2.7637540480646428E-9</v>
      </c>
      <c r="L1851" s="4">
        <f t="shared" si="261"/>
        <v>-9.1943611690044037E-10</v>
      </c>
      <c r="M1851" s="4">
        <f t="shared" si="262"/>
        <v>-1.0682721368453777E-9</v>
      </c>
      <c r="N1851" s="5">
        <f t="shared" si="263"/>
        <v>1.607823923872258E-6</v>
      </c>
      <c r="O1851" s="5">
        <f t="shared" si="264"/>
        <v>1.4142681644050582E-7</v>
      </c>
      <c r="P1851" s="5">
        <f t="shared" si="265"/>
        <v>5.0749259687238699E-8</v>
      </c>
      <c r="Q1851" s="1">
        <f t="shared" si="266"/>
        <v>1.8000000000000025E-6</v>
      </c>
    </row>
    <row r="1852" spans="1:17" x14ac:dyDescent="0.25">
      <c r="A1852" s="1">
        <v>92.5</v>
      </c>
      <c r="B1852" s="1">
        <v>3.5075000000000002E-3</v>
      </c>
      <c r="C1852" s="1">
        <v>1.5446000000000001E-4</v>
      </c>
      <c r="D1852" s="1">
        <v>3.3189999999999997E-2</v>
      </c>
      <c r="E1852" s="1">
        <v>1.4743E-3</v>
      </c>
      <c r="F1852" s="1">
        <v>9.2936999999999994E-8</v>
      </c>
      <c r="G1852" s="1">
        <v>6.7065999999999999</v>
      </c>
      <c r="H1852" s="1">
        <v>1.9990999999999999E-7</v>
      </c>
      <c r="I1852" s="1">
        <f t="shared" si="252"/>
        <v>1.9990999999999999E-7</v>
      </c>
      <c r="J1852" s="4">
        <f t="shared" si="253"/>
        <v>-1.3902181671044688E-9</v>
      </c>
      <c r="K1852" s="4">
        <f t="shared" si="254"/>
        <v>-2.7578229205897066E-9</v>
      </c>
      <c r="L1852" s="4">
        <f t="shared" si="261"/>
        <v>-9.1696734285753185E-10</v>
      </c>
      <c r="M1852" s="4">
        <f t="shared" si="262"/>
        <v>-1.0652015862052362E-9</v>
      </c>
      <c r="N1852" s="5">
        <f t="shared" si="263"/>
        <v>1.6082745612828858E-6</v>
      </c>
      <c r="O1852" s="5">
        <f t="shared" si="264"/>
        <v>1.4112441327322583E-7</v>
      </c>
      <c r="P1852" s="5">
        <f t="shared" si="265"/>
        <v>5.0601025443890993E-8</v>
      </c>
      <c r="Q1852" s="1">
        <f t="shared" si="266"/>
        <v>1.8000000000000027E-6</v>
      </c>
    </row>
    <row r="1853" spans="1:17" x14ac:dyDescent="0.25">
      <c r="A1853" s="1">
        <v>92.55</v>
      </c>
      <c r="B1853" s="1">
        <v>3.5044E-3</v>
      </c>
      <c r="C1853" s="1">
        <v>1.5438E-4</v>
      </c>
      <c r="D1853" s="1">
        <v>3.3191999999999999E-2</v>
      </c>
      <c r="E1853" s="1">
        <v>1.4706999999999999E-3</v>
      </c>
      <c r="F1853" s="1">
        <v>9.2887000000000003E-8</v>
      </c>
      <c r="G1853" s="1">
        <v>6.7065999999999999</v>
      </c>
      <c r="H1853" s="1">
        <v>1.9990999999999999E-7</v>
      </c>
      <c r="I1853" s="1">
        <f t="shared" si="252"/>
        <v>1.9990999999999999E-7</v>
      </c>
      <c r="J1853" s="4">
        <f t="shared" si="253"/>
        <v>-1.3891127302467506E-9</v>
      </c>
      <c r="K1853" s="4">
        <f t="shared" si="254"/>
        <v>-2.7519260588277476E-9</v>
      </c>
      <c r="L1853" s="4">
        <f t="shared" si="261"/>
        <v>-9.1449809306751427E-10</v>
      </c>
      <c r="M1853" s="4">
        <f t="shared" si="262"/>
        <v>-1.0621433546312056E-9</v>
      </c>
      <c r="N1853" s="5">
        <f t="shared" si="263"/>
        <v>1.6087228765183993E-6</v>
      </c>
      <c r="O1853" s="5">
        <f t="shared" si="264"/>
        <v>1.4082374329927602E-7</v>
      </c>
      <c r="P1853" s="5">
        <f t="shared" si="265"/>
        <v>5.0453380182327307E-8</v>
      </c>
      <c r="Q1853" s="1">
        <f t="shared" si="266"/>
        <v>1.8000000000000027E-6</v>
      </c>
    </row>
    <row r="1854" spans="1:17" x14ac:dyDescent="0.25">
      <c r="A1854" s="1">
        <v>92.6</v>
      </c>
      <c r="B1854" s="1">
        <v>3.5011999999999999E-3</v>
      </c>
      <c r="C1854" s="1">
        <v>1.5428999999999999E-4</v>
      </c>
      <c r="D1854" s="1">
        <v>3.3193E-2</v>
      </c>
      <c r="E1854" s="1">
        <v>1.4671E-3</v>
      </c>
      <c r="F1854" s="1">
        <v>9.2838000000000001E-8</v>
      </c>
      <c r="G1854" s="1">
        <v>6.7065999999999999</v>
      </c>
      <c r="H1854" s="1">
        <v>1.9992000000000001E-7</v>
      </c>
      <c r="I1854" s="1">
        <f t="shared" si="252"/>
        <v>1.9992000000000001E-7</v>
      </c>
      <c r="J1854" s="4">
        <f t="shared" si="253"/>
        <v>-1.3880052563370594E-9</v>
      </c>
      <c r="K1854" s="4">
        <f t="shared" si="254"/>
        <v>-2.7460629943357265E-9</v>
      </c>
      <c r="L1854" s="4">
        <f t="shared" si="261"/>
        <v>-9.1202840241948707E-10</v>
      </c>
      <c r="M1854" s="4">
        <f t="shared" si="262"/>
        <v>-1.0590441993860901E-9</v>
      </c>
      <c r="N1854" s="5">
        <f t="shared" si="263"/>
        <v>1.6091689058539786E-6</v>
      </c>
      <c r="O1854" s="5">
        <f t="shared" si="264"/>
        <v>1.4052472976066343E-7</v>
      </c>
      <c r="P1854" s="5">
        <f t="shared" si="265"/>
        <v>5.0306364385360707E-8</v>
      </c>
      <c r="Q1854" s="1">
        <f t="shared" si="266"/>
        <v>1.8000000000000029E-6</v>
      </c>
    </row>
    <row r="1855" spans="1:17" x14ac:dyDescent="0.25">
      <c r="A1855" s="1">
        <v>92.65</v>
      </c>
      <c r="B1855" s="1">
        <v>3.4981000000000001E-3</v>
      </c>
      <c r="C1855" s="1">
        <v>1.5420000000000001E-4</v>
      </c>
      <c r="D1855" s="1">
        <v>3.3195000000000002E-2</v>
      </c>
      <c r="E1855" s="1">
        <v>1.4635E-3</v>
      </c>
      <c r="F1855" s="1">
        <v>9.2788999999999998E-8</v>
      </c>
      <c r="G1855" s="1">
        <v>6.7065999999999999</v>
      </c>
      <c r="H1855" s="1">
        <v>1.9992999999999999E-7</v>
      </c>
      <c r="I1855" s="1">
        <f t="shared" si="252"/>
        <v>1.9992999999999999E-7</v>
      </c>
      <c r="J1855" s="4">
        <f t="shared" si="253"/>
        <v>-1.3869256620291789E-9</v>
      </c>
      <c r="K1855" s="4">
        <f t="shared" si="254"/>
        <v>-2.7402322303335601E-9</v>
      </c>
      <c r="L1855" s="4">
        <f t="shared" si="261"/>
        <v>-9.0956810259446389E-10</v>
      </c>
      <c r="M1855" s="4">
        <f t="shared" si="262"/>
        <v>-1.0560110786319781E-9</v>
      </c>
      <c r="N1855" s="5">
        <f t="shared" si="263"/>
        <v>1.6096126443196886E-6</v>
      </c>
      <c r="O1855" s="5">
        <f t="shared" si="264"/>
        <v>1.40227434270991E-7</v>
      </c>
      <c r="P1855" s="5">
        <f t="shared" si="265"/>
        <v>5.0159921409323191E-8</v>
      </c>
      <c r="Q1855" s="1">
        <f t="shared" si="266"/>
        <v>1.8000000000000027E-6</v>
      </c>
    </row>
    <row r="1856" spans="1:17" x14ac:dyDescent="0.25">
      <c r="A1856" s="1">
        <v>92.7</v>
      </c>
      <c r="B1856" s="1">
        <v>3.4949999999999998E-3</v>
      </c>
      <c r="C1856" s="1">
        <v>1.5411999999999999E-4</v>
      </c>
      <c r="D1856" s="1">
        <v>3.3196999999999997E-2</v>
      </c>
      <c r="E1856" s="1">
        <v>1.4599000000000001E-3</v>
      </c>
      <c r="F1856" s="1">
        <v>9.2740999999999996E-8</v>
      </c>
      <c r="G1856" s="1">
        <v>6.7065999999999999</v>
      </c>
      <c r="H1856" s="1">
        <v>1.9992999999999999E-7</v>
      </c>
      <c r="I1856" s="1">
        <f t="shared" si="252"/>
        <v>1.9992999999999999E-7</v>
      </c>
      <c r="J1856" s="4">
        <f t="shared" si="253"/>
        <v>-1.3858440564445767E-9</v>
      </c>
      <c r="K1856" s="4">
        <f t="shared" si="254"/>
        <v>-2.734434968284169E-9</v>
      </c>
      <c r="L1856" s="4">
        <f t="shared" si="261"/>
        <v>-9.0710736433387014E-10</v>
      </c>
      <c r="M1856" s="4">
        <f t="shared" si="262"/>
        <v>-1.0529896741733684E-9</v>
      </c>
      <c r="N1856" s="5">
        <f t="shared" si="263"/>
        <v>1.6100541278671944E-6</v>
      </c>
      <c r="O1856" s="5">
        <f t="shared" si="264"/>
        <v>1.3993183303332478E-7</v>
      </c>
      <c r="P1856" s="5">
        <f t="shared" si="265"/>
        <v>5.0014039099483692E-8</v>
      </c>
      <c r="Q1856" s="1">
        <f t="shared" si="266"/>
        <v>1.8000000000000029E-6</v>
      </c>
    </row>
    <row r="1857" spans="1:17" x14ac:dyDescent="0.25">
      <c r="A1857" s="1">
        <v>92.75</v>
      </c>
      <c r="B1857" s="1">
        <v>3.4919E-3</v>
      </c>
      <c r="C1857" s="1">
        <v>1.5402999999999999E-4</v>
      </c>
      <c r="D1857" s="1">
        <v>3.3197999999999998E-2</v>
      </c>
      <c r="E1857" s="1">
        <v>1.4563E-3</v>
      </c>
      <c r="F1857" s="1">
        <v>9.2691999999999994E-8</v>
      </c>
      <c r="G1857" s="1">
        <v>6.7065000000000001</v>
      </c>
      <c r="H1857" s="1">
        <v>1.9994E-7</v>
      </c>
      <c r="I1857" s="1">
        <f t="shared" si="252"/>
        <v>1.9994E-7</v>
      </c>
      <c r="J1857" s="4">
        <f t="shared" si="253"/>
        <v>-1.3847903408407652E-9</v>
      </c>
      <c r="K1857" s="4">
        <f t="shared" si="254"/>
        <v>-2.7286707441496779E-9</v>
      </c>
      <c r="L1857" s="4">
        <f t="shared" si="261"/>
        <v>-9.0465597601521956E-10</v>
      </c>
      <c r="M1857" s="4">
        <f t="shared" si="262"/>
        <v>-1.0499272179017167E-9</v>
      </c>
      <c r="N1857" s="5">
        <f t="shared" si="263"/>
        <v>1.6104933522944881E-6</v>
      </c>
      <c r="O1857" s="5">
        <f t="shared" si="264"/>
        <v>1.3963787984791757E-7</v>
      </c>
      <c r="P1857" s="5">
        <f t="shared" si="265"/>
        <v>4.9868767857597192E-8</v>
      </c>
      <c r="Q1857" s="1">
        <f t="shared" si="266"/>
        <v>1.8000000000000029E-6</v>
      </c>
    </row>
    <row r="1858" spans="1:17" x14ac:dyDescent="0.25">
      <c r="A1858" s="1">
        <v>92.8</v>
      </c>
      <c r="B1858" s="1">
        <v>3.4889000000000001E-3</v>
      </c>
      <c r="C1858" s="1">
        <v>1.5395E-4</v>
      </c>
      <c r="D1858" s="1">
        <v>3.32E-2</v>
      </c>
      <c r="E1858" s="1">
        <v>1.4526999999999999E-3</v>
      </c>
      <c r="F1858" s="1">
        <v>9.2644000000000006E-8</v>
      </c>
      <c r="G1858" s="1">
        <v>6.7065000000000001</v>
      </c>
      <c r="H1858" s="1">
        <v>1.9994E-7</v>
      </c>
      <c r="I1858" s="1">
        <f t="shared" si="252"/>
        <v>1.9994E-7</v>
      </c>
      <c r="J1858" s="4">
        <f t="shared" si="253"/>
        <v>-1.3837047838669363E-9</v>
      </c>
      <c r="K1858" s="4">
        <f t="shared" si="254"/>
        <v>-2.7229386570342377E-9</v>
      </c>
      <c r="L1858" s="4">
        <f t="shared" si="261"/>
        <v>-9.0219441791022859E-10</v>
      </c>
      <c r="M1858" s="4">
        <f t="shared" si="262"/>
        <v>-1.0469299517719787E-9</v>
      </c>
      <c r="N1858" s="5">
        <f t="shared" si="263"/>
        <v>1.6109303917497452E-6</v>
      </c>
      <c r="O1858" s="5">
        <f t="shared" si="264"/>
        <v>1.3934557592652225E-7</v>
      </c>
      <c r="P1858" s="5">
        <f t="shared" si="265"/>
        <v>4.9724032323735443E-8</v>
      </c>
      <c r="Q1858" s="1">
        <f t="shared" si="266"/>
        <v>1.8000000000000029E-6</v>
      </c>
    </row>
    <row r="1859" spans="1:17" x14ac:dyDescent="0.25">
      <c r="A1859" s="1">
        <v>92.85</v>
      </c>
      <c r="B1859" s="1">
        <v>3.4857999999999998E-3</v>
      </c>
      <c r="C1859" s="1">
        <v>1.5385999999999999E-4</v>
      </c>
      <c r="D1859" s="1">
        <v>3.3201000000000001E-2</v>
      </c>
      <c r="E1859" s="1">
        <v>1.4492000000000001E-3</v>
      </c>
      <c r="F1859" s="1">
        <v>9.2596000000000004E-8</v>
      </c>
      <c r="G1859" s="1">
        <v>6.7065000000000001</v>
      </c>
      <c r="H1859" s="1">
        <v>1.9994999999999999E-7</v>
      </c>
      <c r="I1859" s="1">
        <f t="shared" ref="I1859:I1922" si="267">H1859</f>
        <v>1.9994999999999999E-7</v>
      </c>
      <c r="J1859" s="4">
        <f t="shared" ref="J1859:J1922" si="268">(-$T$4*F1858^2*N1858)*(A1859-A1858)</f>
        <v>-1.3826471754296791E-9</v>
      </c>
      <c r="K1859" s="4">
        <f t="shared" ref="K1859:K1922" si="269">-O1858*$T$7*(A1859-A1858)</f>
        <v>-2.7172387305670298E-9</v>
      </c>
      <c r="L1859" s="4">
        <f t="shared" si="261"/>
        <v>-8.9974223260532595E-10</v>
      </c>
      <c r="M1859" s="4">
        <f t="shared" si="262"/>
        <v>-1.0438914173947454E-9</v>
      </c>
      <c r="N1859" s="5">
        <f t="shared" si="263"/>
        <v>1.6113652410722771E-6</v>
      </c>
      <c r="O1859" s="5">
        <f t="shared" si="264"/>
        <v>1.3905487578877965E-7</v>
      </c>
      <c r="P1859" s="5">
        <f t="shared" si="265"/>
        <v>4.9579883138946024E-8</v>
      </c>
      <c r="Q1859" s="1">
        <f t="shared" si="266"/>
        <v>1.8000000000000029E-6</v>
      </c>
    </row>
    <row r="1860" spans="1:17" x14ac:dyDescent="0.25">
      <c r="A1860" s="1">
        <v>92.9</v>
      </c>
      <c r="B1860" s="1">
        <v>3.4827E-3</v>
      </c>
      <c r="C1860" s="1">
        <v>1.5378000000000001E-4</v>
      </c>
      <c r="D1860" s="1">
        <v>3.3203000000000003E-2</v>
      </c>
      <c r="E1860" s="1">
        <v>1.4456E-3</v>
      </c>
      <c r="F1860" s="1">
        <v>9.2549000000000004E-8</v>
      </c>
      <c r="G1860" s="1">
        <v>6.7065000000000001</v>
      </c>
      <c r="H1860" s="1">
        <v>1.9996E-7</v>
      </c>
      <c r="I1860" s="1">
        <f t="shared" si="267"/>
        <v>1.9996E-7</v>
      </c>
      <c r="J1860" s="4">
        <f t="shared" si="268"/>
        <v>-1.381587654095132E-9</v>
      </c>
      <c r="K1860" s="4">
        <f t="shared" si="269"/>
        <v>-2.7115700778818199E-9</v>
      </c>
      <c r="L1860" s="4">
        <f t="shared" si="261"/>
        <v>-8.9735159591190333E-10</v>
      </c>
      <c r="M1860" s="4">
        <f t="shared" si="262"/>
        <v>-1.0409172515316237E-9</v>
      </c>
      <c r="N1860" s="5">
        <f t="shared" si="263"/>
        <v>1.6117978719001518E-6</v>
      </c>
      <c r="O1860" s="5">
        <f t="shared" si="264"/>
        <v>1.3876581061652459E-7</v>
      </c>
      <c r="P1860" s="5">
        <f t="shared" si="265"/>
        <v>4.9436317483326309E-8</v>
      </c>
      <c r="Q1860" s="1">
        <f t="shared" si="266"/>
        <v>1.8000000000000029E-6</v>
      </c>
    </row>
    <row r="1861" spans="1:17" x14ac:dyDescent="0.25">
      <c r="A1861" s="1">
        <v>92.95</v>
      </c>
      <c r="B1861" s="1">
        <v>3.4795999999999998E-3</v>
      </c>
      <c r="C1861" s="1">
        <v>1.537E-4</v>
      </c>
      <c r="D1861" s="1">
        <v>3.3203999999999997E-2</v>
      </c>
      <c r="E1861" s="1">
        <v>1.4421E-3</v>
      </c>
      <c r="F1861" s="1">
        <v>9.2502000000000003E-8</v>
      </c>
      <c r="G1861" s="1">
        <v>6.7065000000000001</v>
      </c>
      <c r="H1861" s="1">
        <v>1.9996E-7</v>
      </c>
      <c r="I1861" s="1">
        <f t="shared" si="267"/>
        <v>1.9996E-7</v>
      </c>
      <c r="J1861" s="4">
        <f t="shared" si="268"/>
        <v>-1.3805560359080355E-9</v>
      </c>
      <c r="K1861" s="4">
        <f t="shared" si="269"/>
        <v>-2.7059333070220758E-9</v>
      </c>
      <c r="L1861" s="4">
        <f t="shared" si="261"/>
        <v>-8.9490831806512469E-10</v>
      </c>
      <c r="M1861" s="4">
        <f t="shared" si="262"/>
        <v>-1.0379550346163635E-9</v>
      </c>
      <c r="N1861" s="5">
        <f t="shared" si="263"/>
        <v>1.6122283408532009E-6</v>
      </c>
      <c r="O1861" s="5">
        <f t="shared" si="264"/>
        <v>1.3847838838002693E-7</v>
      </c>
      <c r="P1861" s="5">
        <f t="shared" si="265"/>
        <v>4.929327076677507E-8</v>
      </c>
      <c r="Q1861" s="1">
        <f t="shared" si="266"/>
        <v>1.8000000000000029E-6</v>
      </c>
    </row>
    <row r="1862" spans="1:17" x14ac:dyDescent="0.25">
      <c r="A1862" s="1">
        <v>93</v>
      </c>
      <c r="B1862" s="1">
        <v>3.4765999999999998E-3</v>
      </c>
      <c r="C1862" s="1">
        <v>1.5360999999999999E-4</v>
      </c>
      <c r="D1862" s="1">
        <v>3.3205999999999999E-2</v>
      </c>
      <c r="E1862" s="1">
        <v>1.4385999999999999E-3</v>
      </c>
      <c r="F1862" s="1">
        <v>9.2455000000000003E-8</v>
      </c>
      <c r="G1862" s="1">
        <v>6.7065000000000001</v>
      </c>
      <c r="H1862" s="1">
        <v>1.9997000000000001E-7</v>
      </c>
      <c r="I1862" s="1">
        <f t="shared" si="267"/>
        <v>1.9997000000000001E-7</v>
      </c>
      <c r="J1862" s="4">
        <f t="shared" si="268"/>
        <v>-1.3795225272359447E-9</v>
      </c>
      <c r="K1862" s="4">
        <f t="shared" si="269"/>
        <v>-2.7003285734103717E-9</v>
      </c>
      <c r="L1862" s="4">
        <f t="shared" si="261"/>
        <v>-8.9252655743517606E-10</v>
      </c>
      <c r="M1862" s="4">
        <f t="shared" si="262"/>
        <v>-1.0349516543649971E-9</v>
      </c>
      <c r="N1862" s="5">
        <f t="shared" si="263"/>
        <v>1.61265662034194E-6</v>
      </c>
      <c r="O1862" s="5">
        <f t="shared" si="264"/>
        <v>1.3819253398821748E-7</v>
      </c>
      <c r="P1862" s="5">
        <f t="shared" si="265"/>
        <v>4.915084566984525E-8</v>
      </c>
      <c r="Q1862" s="1">
        <f t="shared" si="266"/>
        <v>1.8000000000000027E-6</v>
      </c>
    </row>
    <row r="1863" spans="1:17" x14ac:dyDescent="0.25">
      <c r="A1863" s="1">
        <v>93.05</v>
      </c>
      <c r="B1863" s="1">
        <v>3.4735E-3</v>
      </c>
      <c r="C1863" s="1">
        <v>1.5353E-4</v>
      </c>
      <c r="D1863" s="1">
        <v>3.3208000000000001E-2</v>
      </c>
      <c r="E1863" s="1">
        <v>1.4350000000000001E-3</v>
      </c>
      <c r="F1863" s="1">
        <v>9.2409000000000004E-8</v>
      </c>
      <c r="G1863" s="1">
        <v>6.7065000000000001</v>
      </c>
      <c r="H1863" s="1">
        <v>1.9997999999999999E-7</v>
      </c>
      <c r="I1863" s="1">
        <f t="shared" si="267"/>
        <v>1.9997999999999999E-7</v>
      </c>
      <c r="J1863" s="4">
        <f t="shared" si="268"/>
        <v>-1.378487110706525E-9</v>
      </c>
      <c r="K1863" s="4">
        <f t="shared" si="269"/>
        <v>-2.6947544127700877E-9</v>
      </c>
      <c r="L1863" s="4">
        <f t="shared" si="261"/>
        <v>-8.9014439061911078E-10</v>
      </c>
      <c r="M1863" s="4">
        <f t="shared" si="262"/>
        <v>-1.0320129339028318E-9</v>
      </c>
      <c r="N1863" s="5">
        <f t="shared" si="263"/>
        <v>1.6130827432533847E-6</v>
      </c>
      <c r="O1863" s="5">
        <f t="shared" si="264"/>
        <v>1.3790827962005676E-7</v>
      </c>
      <c r="P1863" s="5">
        <f t="shared" si="265"/>
        <v>4.9008977126561534E-8</v>
      </c>
      <c r="Q1863" s="1">
        <f t="shared" si="266"/>
        <v>1.8000000000000029E-6</v>
      </c>
    </row>
    <row r="1864" spans="1:17" x14ac:dyDescent="0.25">
      <c r="A1864" s="1">
        <v>93.1</v>
      </c>
      <c r="B1864" s="1">
        <v>3.4705000000000001E-3</v>
      </c>
      <c r="C1864" s="1">
        <v>1.5344999999999999E-4</v>
      </c>
      <c r="D1864" s="1">
        <v>3.3209000000000002E-2</v>
      </c>
      <c r="E1864" s="1">
        <v>1.4315E-3</v>
      </c>
      <c r="F1864" s="1">
        <v>9.2362000000000003E-8</v>
      </c>
      <c r="G1864" s="1">
        <v>6.7064000000000004</v>
      </c>
      <c r="H1864" s="1">
        <v>1.9997999999999999E-7</v>
      </c>
      <c r="I1864" s="1">
        <f t="shared" si="267"/>
        <v>1.9997999999999999E-7</v>
      </c>
      <c r="J1864" s="4">
        <f t="shared" si="268"/>
        <v>-1.3774796331916517E-9</v>
      </c>
      <c r="K1864" s="4">
        <f t="shared" si="269"/>
        <v>-2.689211452590954E-9</v>
      </c>
      <c r="L1864" s="4">
        <f t="shared" si="261"/>
        <v>-8.8770959382360843E-10</v>
      </c>
      <c r="M1864" s="4">
        <f t="shared" si="262"/>
        <v>-1.0290856008057679E-9</v>
      </c>
      <c r="N1864" s="5">
        <f t="shared" si="263"/>
        <v>1.6135067654789605E-6</v>
      </c>
      <c r="O1864" s="5">
        <f t="shared" si="264"/>
        <v>1.3762563340146321E-7</v>
      </c>
      <c r="P1864" s="5">
        <f t="shared" si="265"/>
        <v>4.8867601119579373E-8</v>
      </c>
      <c r="Q1864" s="1">
        <f t="shared" si="266"/>
        <v>1.8000000000000031E-6</v>
      </c>
    </row>
    <row r="1865" spans="1:17" x14ac:dyDescent="0.25">
      <c r="A1865" s="1">
        <v>93.15</v>
      </c>
      <c r="B1865" s="1">
        <v>3.4675000000000001E-3</v>
      </c>
      <c r="C1865" s="1">
        <v>1.5337E-4</v>
      </c>
      <c r="D1865" s="1">
        <v>3.3210999999999997E-2</v>
      </c>
      <c r="E1865" s="1">
        <v>1.428E-3</v>
      </c>
      <c r="F1865" s="1">
        <v>9.2317000000000005E-8</v>
      </c>
      <c r="G1865" s="1">
        <v>6.7064000000000004</v>
      </c>
      <c r="H1865" s="1">
        <v>1.9999000000000001E-7</v>
      </c>
      <c r="I1865" s="1">
        <f t="shared" si="267"/>
        <v>1.9999000000000001E-7</v>
      </c>
      <c r="J1865" s="4">
        <f t="shared" si="268"/>
        <v>-1.3764405162032649E-9</v>
      </c>
      <c r="K1865" s="4">
        <f t="shared" si="269"/>
        <v>-2.6836998513291429E-9</v>
      </c>
      <c r="L1865" s="4">
        <f t="shared" si="261"/>
        <v>-8.8532671289292596E-10</v>
      </c>
      <c r="M1865" s="4">
        <f t="shared" si="262"/>
        <v>-1.026117001549049E-9</v>
      </c>
      <c r="N1865" s="5">
        <f t="shared" si="263"/>
        <v>1.6139286981011934E-6</v>
      </c>
      <c r="O1865" s="5">
        <f t="shared" si="264"/>
        <v>1.3734449106788638E-7</v>
      </c>
      <c r="P1865" s="5">
        <f t="shared" si="265"/>
        <v>4.872681083092325E-8</v>
      </c>
      <c r="Q1865" s="1">
        <f t="shared" si="266"/>
        <v>1.8000000000000031E-6</v>
      </c>
    </row>
    <row r="1866" spans="1:17" x14ac:dyDescent="0.25">
      <c r="A1866" s="1">
        <v>93.2</v>
      </c>
      <c r="B1866" s="1">
        <v>3.4643999999999999E-3</v>
      </c>
      <c r="C1866" s="1">
        <v>1.5328999999999999E-4</v>
      </c>
      <c r="D1866" s="1">
        <v>3.3211999999999998E-2</v>
      </c>
      <c r="E1866" s="1">
        <v>1.4245E-3</v>
      </c>
      <c r="F1866" s="1">
        <v>9.2271000000000006E-8</v>
      </c>
      <c r="G1866" s="1">
        <v>6.7064000000000004</v>
      </c>
      <c r="H1866" s="1">
        <v>1.9999000000000001E-7</v>
      </c>
      <c r="I1866" s="1">
        <f t="shared" si="267"/>
        <v>1.9999000000000001E-7</v>
      </c>
      <c r="J1866" s="4">
        <f t="shared" si="268"/>
        <v>-1.3754591915911512E-9</v>
      </c>
      <c r="K1866" s="4">
        <f t="shared" si="269"/>
        <v>-2.6782175758236324E-9</v>
      </c>
      <c r="L1866" s="4">
        <f t="shared" si="261"/>
        <v>-8.8296264623064862E-10</v>
      </c>
      <c r="M1866" s="4">
        <f t="shared" si="262"/>
        <v>-1.0232118642979577E-9</v>
      </c>
      <c r="N1866" s="5">
        <f t="shared" si="263"/>
        <v>1.6143484938391951E-6</v>
      </c>
      <c r="O1866" s="5">
        <f t="shared" si="264"/>
        <v>1.3706494454795186E-7</v>
      </c>
      <c r="P1866" s="5">
        <f t="shared" si="265"/>
        <v>4.8586561612855938E-8</v>
      </c>
      <c r="Q1866" s="1">
        <f t="shared" si="266"/>
        <v>1.8000000000000029E-6</v>
      </c>
    </row>
    <row r="1867" spans="1:17" x14ac:dyDescent="0.25">
      <c r="A1867" s="1">
        <v>93.25</v>
      </c>
      <c r="B1867" s="1">
        <v>3.4613999999999999E-3</v>
      </c>
      <c r="C1867" s="1">
        <v>1.5321000000000001E-4</v>
      </c>
      <c r="D1867" s="1">
        <v>3.3214E-2</v>
      </c>
      <c r="E1867" s="1">
        <v>1.421E-3</v>
      </c>
      <c r="F1867" s="1">
        <v>9.2225999999999995E-8</v>
      </c>
      <c r="G1867" s="1">
        <v>6.7064000000000004</v>
      </c>
      <c r="H1867" s="1">
        <v>1.9999999999999999E-7</v>
      </c>
      <c r="I1867" s="1">
        <f t="shared" si="267"/>
        <v>1.9999999999999999E-7</v>
      </c>
      <c r="J1867" s="4">
        <f t="shared" si="268"/>
        <v>-1.3744462084518699E-9</v>
      </c>
      <c r="K1867" s="4">
        <f t="shared" si="269"/>
        <v>-2.6727664186849092E-9</v>
      </c>
      <c r="L1867" s="4">
        <f t="shared" ref="L1867:L1930" si="270">-$T$5*F1866*E1866*(A1867-A1866)*N1866</f>
        <v>-8.8058862365745581E-10</v>
      </c>
      <c r="M1867" s="4">
        <f t="shared" ref="M1867:M1930" si="271">-P1866*$T$8*I1866*(A1867-A1866)</f>
        <v>-1.0202667779802232E-9</v>
      </c>
      <c r="N1867" s="5">
        <f t="shared" ref="N1867:N1930" si="272">N1866+J1867-K1867+L1867</f>
        <v>1.6147662254257708E-6</v>
      </c>
      <c r="O1867" s="5">
        <f t="shared" ref="O1867:O1930" si="273">-J1867+O1866+K1867-M1867</f>
        <v>1.3678689111569906E-7</v>
      </c>
      <c r="P1867" s="5">
        <f t="shared" ref="P1867:P1930" si="274">P1866-L1867+M1867</f>
        <v>4.8446883458533169E-8</v>
      </c>
      <c r="Q1867" s="1">
        <f t="shared" ref="Q1867:Q1930" si="275">N1867+O1867+P1867</f>
        <v>1.8000000000000031E-6</v>
      </c>
    </row>
    <row r="1868" spans="1:17" x14ac:dyDescent="0.25">
      <c r="A1868" s="1">
        <v>93.3</v>
      </c>
      <c r="B1868" s="1">
        <v>3.4583999999999999E-3</v>
      </c>
      <c r="C1868" s="1">
        <v>1.5312999999999999E-4</v>
      </c>
      <c r="D1868" s="1">
        <v>3.3215000000000001E-2</v>
      </c>
      <c r="E1868" s="1">
        <v>1.4174999999999999E-3</v>
      </c>
      <c r="F1868" s="1">
        <v>9.2180999999999997E-8</v>
      </c>
      <c r="G1868" s="1">
        <v>6.7064000000000004</v>
      </c>
      <c r="H1868" s="1">
        <v>2.0001E-7</v>
      </c>
      <c r="I1868" s="1">
        <f t="shared" si="267"/>
        <v>2.0001E-7</v>
      </c>
      <c r="J1868" s="4">
        <f t="shared" si="268"/>
        <v>-1.3734612246520778E-9</v>
      </c>
      <c r="K1868" s="4">
        <f t="shared" si="269"/>
        <v>-2.6673443767559801E-9</v>
      </c>
      <c r="L1868" s="4">
        <f t="shared" si="270"/>
        <v>-8.7822380467080857E-10</v>
      </c>
      <c r="M1868" s="4">
        <f t="shared" si="271"/>
        <v>-1.0173845526291386E-9</v>
      </c>
      <c r="N1868" s="5">
        <f t="shared" si="272"/>
        <v>1.6151818847732038E-6</v>
      </c>
      <c r="O1868" s="5">
        <f t="shared" si="273"/>
        <v>1.365103925162243E-7</v>
      </c>
      <c r="P1868" s="5">
        <f t="shared" si="274"/>
        <v>4.8307722710574837E-8</v>
      </c>
      <c r="Q1868" s="1">
        <f t="shared" si="275"/>
        <v>1.8000000000000029E-6</v>
      </c>
    </row>
    <row r="1869" spans="1:17" x14ac:dyDescent="0.25">
      <c r="A1869" s="1">
        <v>93.35</v>
      </c>
      <c r="B1869" s="1">
        <v>3.4554E-3</v>
      </c>
      <c r="C1869" s="1">
        <v>1.5305000000000001E-4</v>
      </c>
      <c r="D1869" s="1">
        <v>3.3217000000000003E-2</v>
      </c>
      <c r="E1869" s="1">
        <v>1.4140999999999999E-3</v>
      </c>
      <c r="F1869" s="1">
        <v>9.2135999999999999E-8</v>
      </c>
      <c r="G1869" s="1">
        <v>6.7064000000000004</v>
      </c>
      <c r="H1869" s="1">
        <v>2.0001E-7</v>
      </c>
      <c r="I1869" s="1">
        <f t="shared" si="267"/>
        <v>2.0001E-7</v>
      </c>
      <c r="J1869" s="4">
        <f t="shared" si="268"/>
        <v>-1.3724744405183832E-9</v>
      </c>
      <c r="K1869" s="4">
        <f t="shared" si="269"/>
        <v>-2.6619526540662225E-9</v>
      </c>
      <c r="L1869" s="4">
        <f t="shared" si="270"/>
        <v>-8.7585863200165457E-10</v>
      </c>
      <c r="M1869" s="4">
        <f t="shared" si="271"/>
        <v>-1.0145129000308602E-9</v>
      </c>
      <c r="N1869" s="5">
        <f t="shared" si="272"/>
        <v>1.6155955043547499E-6</v>
      </c>
      <c r="O1869" s="5">
        <f t="shared" si="273"/>
        <v>1.3623542720270731E-7</v>
      </c>
      <c r="P1869" s="5">
        <f t="shared" si="274"/>
        <v>4.8169068442545633E-8</v>
      </c>
      <c r="Q1869" s="1">
        <f t="shared" si="275"/>
        <v>1.8000000000000029E-6</v>
      </c>
    </row>
    <row r="1870" spans="1:17" x14ac:dyDescent="0.25">
      <c r="A1870" s="1">
        <v>93.4</v>
      </c>
      <c r="B1870" s="1">
        <v>3.4524E-3</v>
      </c>
      <c r="C1870" s="1">
        <v>1.5296999999999999E-4</v>
      </c>
      <c r="D1870" s="1">
        <v>3.3217999999999998E-2</v>
      </c>
      <c r="E1870" s="1">
        <v>1.4105999999999999E-3</v>
      </c>
      <c r="F1870" s="1">
        <v>9.2091000000000001E-8</v>
      </c>
      <c r="G1870" s="1">
        <v>6.7064000000000004</v>
      </c>
      <c r="H1870" s="1">
        <v>2.0001999999999999E-7</v>
      </c>
      <c r="I1870" s="1">
        <f t="shared" si="267"/>
        <v>2.0001999999999999E-7</v>
      </c>
      <c r="J1870" s="4">
        <f t="shared" si="268"/>
        <v>-1.3714858892817145E-9</v>
      </c>
      <c r="K1870" s="4">
        <f t="shared" si="269"/>
        <v>-2.6565908304533967E-9</v>
      </c>
      <c r="L1870" s="4">
        <f t="shared" si="270"/>
        <v>-8.735549094315012E-10</v>
      </c>
      <c r="M1870" s="4">
        <f t="shared" si="271"/>
        <v>-1.011601014815553E-9</v>
      </c>
      <c r="N1870" s="5">
        <f t="shared" si="272"/>
        <v>1.6160070543864899E-6</v>
      </c>
      <c r="O1870" s="5">
        <f t="shared" si="273"/>
        <v>1.3596192327635116E-7</v>
      </c>
      <c r="P1870" s="5">
        <f t="shared" si="274"/>
        <v>4.8031022337161586E-8</v>
      </c>
      <c r="Q1870" s="1">
        <f t="shared" si="275"/>
        <v>1.8000000000000027E-6</v>
      </c>
    </row>
    <row r="1871" spans="1:17" x14ac:dyDescent="0.25">
      <c r="A1871" s="1">
        <v>93.45</v>
      </c>
      <c r="B1871" s="1">
        <v>3.4494E-3</v>
      </c>
      <c r="C1871" s="1">
        <v>1.5289000000000001E-4</v>
      </c>
      <c r="D1871" s="1">
        <v>3.322E-2</v>
      </c>
      <c r="E1871" s="1">
        <v>1.4071999999999999E-3</v>
      </c>
      <c r="F1871" s="1">
        <v>9.2047000000000004E-8</v>
      </c>
      <c r="G1871" s="1">
        <v>6.7062999999999997</v>
      </c>
      <c r="H1871" s="1">
        <v>2.0001999999999999E-7</v>
      </c>
      <c r="I1871" s="1">
        <f t="shared" si="267"/>
        <v>2.0001999999999999E-7</v>
      </c>
      <c r="J1871" s="4">
        <f t="shared" si="268"/>
        <v>-1.3704955512599537E-9</v>
      </c>
      <c r="K1871" s="4">
        <f t="shared" si="269"/>
        <v>-2.6512575038886971E-9</v>
      </c>
      <c r="L1871" s="4">
        <f t="shared" si="270"/>
        <v>-8.7118906865168739E-10</v>
      </c>
      <c r="M1871" s="4">
        <f t="shared" si="271"/>
        <v>-1.008752334227244E-9</v>
      </c>
      <c r="N1871" s="5">
        <f t="shared" si="272"/>
        <v>1.6164166272704671E-6</v>
      </c>
      <c r="O1871" s="5">
        <f t="shared" si="273"/>
        <v>1.3568991365794967E-7</v>
      </c>
      <c r="P1871" s="5">
        <f t="shared" si="274"/>
        <v>4.7893459071586032E-8</v>
      </c>
      <c r="Q1871" s="1">
        <f t="shared" si="275"/>
        <v>1.8000000000000029E-6</v>
      </c>
    </row>
    <row r="1872" spans="1:17" x14ac:dyDescent="0.25">
      <c r="A1872" s="1">
        <v>93.5</v>
      </c>
      <c r="B1872" s="1">
        <v>3.4464000000000001E-3</v>
      </c>
      <c r="C1872" s="1">
        <v>1.5281E-4</v>
      </c>
      <c r="D1872" s="1">
        <v>3.3222000000000002E-2</v>
      </c>
      <c r="E1872" s="1">
        <v>1.4036999999999999E-3</v>
      </c>
      <c r="F1872" s="1">
        <v>9.2002999999999993E-8</v>
      </c>
      <c r="G1872" s="1">
        <v>6.7062999999999997</v>
      </c>
      <c r="H1872" s="1">
        <v>2.0003E-7</v>
      </c>
      <c r="I1872" s="1">
        <f t="shared" si="267"/>
        <v>2.0003E-7</v>
      </c>
      <c r="J1872" s="4">
        <f t="shared" si="268"/>
        <v>-1.3695332674873421E-9</v>
      </c>
      <c r="K1872" s="4">
        <f t="shared" si="269"/>
        <v>-2.6459533163298681E-9</v>
      </c>
      <c r="L1872" s="4">
        <f t="shared" si="270"/>
        <v>-8.6889414517952553E-10</v>
      </c>
      <c r="M1872" s="4">
        <f t="shared" si="271"/>
        <v>-1.0058632167672997E-9</v>
      </c>
      <c r="N1872" s="5">
        <f t="shared" si="272"/>
        <v>1.6168241531741303E-6</v>
      </c>
      <c r="O1872" s="5">
        <f t="shared" si="273"/>
        <v>1.3541935682587443E-7</v>
      </c>
      <c r="P1872" s="5">
        <f t="shared" si="274"/>
        <v>4.7756489999998258E-8</v>
      </c>
      <c r="Q1872" s="1">
        <f t="shared" si="275"/>
        <v>1.8000000000000029E-6</v>
      </c>
    </row>
    <row r="1873" spans="1:17" x14ac:dyDescent="0.25">
      <c r="A1873" s="1">
        <v>93.55</v>
      </c>
      <c r="B1873" s="1">
        <v>3.4434999999999999E-3</v>
      </c>
      <c r="C1873" s="1">
        <v>1.5273000000000001E-4</v>
      </c>
      <c r="D1873" s="1">
        <v>3.3223000000000003E-2</v>
      </c>
      <c r="E1873" s="1">
        <v>1.4002999999999999E-3</v>
      </c>
      <c r="F1873" s="1">
        <v>9.1958999999999996E-8</v>
      </c>
      <c r="G1873" s="1">
        <v>6.7062999999999997</v>
      </c>
      <c r="H1873" s="1">
        <v>2.0004000000000001E-7</v>
      </c>
      <c r="I1873" s="1">
        <f t="shared" si="267"/>
        <v>2.0004000000000001E-7</v>
      </c>
      <c r="J1873" s="4">
        <f t="shared" si="268"/>
        <v>-1.3685692133949028E-9</v>
      </c>
      <c r="K1873" s="4">
        <f t="shared" si="269"/>
        <v>-2.6406774581044014E-9</v>
      </c>
      <c r="L1873" s="4">
        <f t="shared" si="270"/>
        <v>-8.6653712488680416E-10</v>
      </c>
      <c r="M1873" s="4">
        <f t="shared" si="271"/>
        <v>-1.0030367229434064E-9</v>
      </c>
      <c r="N1873" s="5">
        <f t="shared" si="272"/>
        <v>1.617229724293953E-6</v>
      </c>
      <c r="O1873" s="5">
        <f t="shared" si="273"/>
        <v>1.3515028530410835E-7</v>
      </c>
      <c r="P1873" s="5">
        <f t="shared" si="274"/>
        <v>4.7619990401941653E-8</v>
      </c>
      <c r="Q1873" s="1">
        <f t="shared" si="275"/>
        <v>1.8000000000000029E-6</v>
      </c>
    </row>
    <row r="1874" spans="1:17" x14ac:dyDescent="0.25">
      <c r="A1874" s="1">
        <v>93.6</v>
      </c>
      <c r="B1874" s="1">
        <v>3.4405E-3</v>
      </c>
      <c r="C1874" s="1">
        <v>1.5265999999999999E-4</v>
      </c>
      <c r="D1874" s="1">
        <v>3.3224999999999998E-2</v>
      </c>
      <c r="E1874" s="1">
        <v>1.3969E-3</v>
      </c>
      <c r="F1874" s="1">
        <v>9.1916000000000001E-8</v>
      </c>
      <c r="G1874" s="1">
        <v>6.7062999999999997</v>
      </c>
      <c r="H1874" s="1">
        <v>2.0004000000000001E-7</v>
      </c>
      <c r="I1874" s="1">
        <f t="shared" si="267"/>
        <v>2.0004000000000001E-7</v>
      </c>
      <c r="J1874" s="4">
        <f t="shared" si="268"/>
        <v>-1.3676034723946333E-9</v>
      </c>
      <c r="K1874" s="4">
        <f t="shared" si="269"/>
        <v>-2.635430563429963E-9</v>
      </c>
      <c r="L1874" s="4">
        <f t="shared" si="270"/>
        <v>-8.6424154687805988E-10</v>
      </c>
      <c r="M1874" s="4">
        <f t="shared" si="271"/>
        <v>-1.000219802400406E-9</v>
      </c>
      <c r="N1874" s="5">
        <f t="shared" si="272"/>
        <v>1.6176333098381103E-6</v>
      </c>
      <c r="O1874" s="5">
        <f t="shared" si="273"/>
        <v>1.3488267801547341E-7</v>
      </c>
      <c r="P1874" s="5">
        <f t="shared" si="274"/>
        <v>4.7484012146419307E-8</v>
      </c>
      <c r="Q1874" s="1">
        <f t="shared" si="275"/>
        <v>1.8000000000000031E-6</v>
      </c>
    </row>
    <row r="1875" spans="1:17" x14ac:dyDescent="0.25">
      <c r="A1875" s="1">
        <v>93.65</v>
      </c>
      <c r="B1875" s="1">
        <v>3.4375E-3</v>
      </c>
      <c r="C1875" s="1">
        <v>1.5258000000000001E-4</v>
      </c>
      <c r="D1875" s="1">
        <v>3.3225999999999999E-2</v>
      </c>
      <c r="E1875" s="1">
        <v>1.3933999999999999E-3</v>
      </c>
      <c r="F1875" s="1">
        <v>9.1873000000000005E-8</v>
      </c>
      <c r="G1875" s="1">
        <v>6.7062999999999997</v>
      </c>
      <c r="H1875" s="1">
        <v>2.0004999999999999E-7</v>
      </c>
      <c r="I1875" s="1">
        <f t="shared" si="267"/>
        <v>2.0004999999999999E-7</v>
      </c>
      <c r="J1875" s="4">
        <f t="shared" si="268"/>
        <v>-1.366665760805665E-9</v>
      </c>
      <c r="K1875" s="4">
        <f t="shared" si="269"/>
        <v>-2.6302122213023298E-9</v>
      </c>
      <c r="L1875" s="4">
        <f t="shared" si="270"/>
        <v>-8.6195503669308362E-10</v>
      </c>
      <c r="M1875" s="4">
        <f t="shared" si="271"/>
        <v>-9.9736368792604712E-10</v>
      </c>
      <c r="N1875" s="5">
        <f t="shared" si="272"/>
        <v>1.6180349012619139E-6</v>
      </c>
      <c r="O1875" s="5">
        <f t="shared" si="273"/>
        <v>1.3461649524290281E-7</v>
      </c>
      <c r="P1875" s="5">
        <f t="shared" si="274"/>
        <v>4.7348603495186345E-8</v>
      </c>
      <c r="Q1875" s="1">
        <f t="shared" si="275"/>
        <v>1.8000000000000031E-6</v>
      </c>
    </row>
    <row r="1876" spans="1:17" x14ac:dyDescent="0.25">
      <c r="A1876" s="1">
        <v>93.7</v>
      </c>
      <c r="B1876" s="1">
        <v>3.4345999999999999E-3</v>
      </c>
      <c r="C1876" s="1">
        <v>1.5249999999999999E-4</v>
      </c>
      <c r="D1876" s="1">
        <v>3.3228000000000001E-2</v>
      </c>
      <c r="E1876" s="1">
        <v>1.39E-3</v>
      </c>
      <c r="F1876" s="1">
        <v>9.1829999999999996E-8</v>
      </c>
      <c r="G1876" s="1">
        <v>6.7062999999999997</v>
      </c>
      <c r="H1876" s="1">
        <v>2.0004999999999999E-7</v>
      </c>
      <c r="I1876" s="1">
        <f t="shared" si="267"/>
        <v>2.0004999999999999E-7</v>
      </c>
      <c r="J1876" s="4">
        <f t="shared" si="268"/>
        <v>-1.3657263261992298E-9</v>
      </c>
      <c r="K1876" s="4">
        <f t="shared" si="269"/>
        <v>-2.6250216572364558E-9</v>
      </c>
      <c r="L1876" s="4">
        <f t="shared" si="270"/>
        <v>-8.596064906058285E-10</v>
      </c>
      <c r="M1876" s="4">
        <f t="shared" si="271"/>
        <v>-9.9456925356720624E-10</v>
      </c>
      <c r="N1876" s="5">
        <f t="shared" si="272"/>
        <v>1.6184345901023452E-6</v>
      </c>
      <c r="O1876" s="5">
        <f t="shared" si="273"/>
        <v>1.3435176916543281E-7</v>
      </c>
      <c r="P1876" s="5">
        <f t="shared" si="274"/>
        <v>4.7213640732224963E-8</v>
      </c>
      <c r="Q1876" s="1">
        <f t="shared" si="275"/>
        <v>1.8000000000000029E-6</v>
      </c>
    </row>
    <row r="1877" spans="1:17" x14ac:dyDescent="0.25">
      <c r="A1877" s="1">
        <v>93.75</v>
      </c>
      <c r="B1877" s="1">
        <v>3.4315999999999999E-3</v>
      </c>
      <c r="C1877" s="1">
        <v>1.5243E-4</v>
      </c>
      <c r="D1877" s="1">
        <v>3.3229000000000002E-2</v>
      </c>
      <c r="E1877" s="1">
        <v>1.3866E-3</v>
      </c>
      <c r="F1877" s="1">
        <v>9.1787E-8</v>
      </c>
      <c r="G1877" s="1">
        <v>6.7062999999999997</v>
      </c>
      <c r="H1877" s="1">
        <v>2.0006000000000001E-7</v>
      </c>
      <c r="I1877" s="1">
        <f t="shared" si="267"/>
        <v>2.0006000000000001E-7</v>
      </c>
      <c r="J1877" s="4">
        <f t="shared" si="268"/>
        <v>-1.3647852509406724E-9</v>
      </c>
      <c r="K1877" s="4">
        <f t="shared" si="269"/>
        <v>-2.6198594987257911E-9</v>
      </c>
      <c r="L1877" s="4">
        <f t="shared" si="270"/>
        <v>-8.5731936404783514E-10</v>
      </c>
      <c r="M1877" s="4">
        <f t="shared" si="271"/>
        <v>-9.917343269905121E-10</v>
      </c>
      <c r="N1877" s="5">
        <f t="shared" si="272"/>
        <v>1.6188323449860824E-6</v>
      </c>
      <c r="O1877" s="5">
        <f t="shared" si="273"/>
        <v>1.340884292446382E-7</v>
      </c>
      <c r="P1877" s="5">
        <f t="shared" si="274"/>
        <v>4.7079225769282287E-8</v>
      </c>
      <c r="Q1877" s="1">
        <f t="shared" si="275"/>
        <v>1.8000000000000029E-6</v>
      </c>
    </row>
    <row r="1878" spans="1:17" x14ac:dyDescent="0.25">
      <c r="A1878" s="1">
        <v>93.8</v>
      </c>
      <c r="B1878" s="1">
        <v>3.4286999999999998E-3</v>
      </c>
      <c r="C1878" s="1">
        <v>1.5234999999999999E-4</v>
      </c>
      <c r="D1878" s="1">
        <v>3.3230999999999997E-2</v>
      </c>
      <c r="E1878" s="1">
        <v>1.3832E-3</v>
      </c>
      <c r="F1878" s="1">
        <v>9.1745000000000005E-8</v>
      </c>
      <c r="G1878" s="1">
        <v>6.7061999999999999</v>
      </c>
      <c r="H1878" s="1">
        <v>2.0006999999999999E-7</v>
      </c>
      <c r="I1878" s="1">
        <f t="shared" si="267"/>
        <v>2.0006999999999999E-7</v>
      </c>
      <c r="J1878" s="4">
        <f t="shared" si="268"/>
        <v>-1.3638425135501392E-9</v>
      </c>
      <c r="K1878" s="4">
        <f t="shared" si="269"/>
        <v>-2.6147243702702962E-9</v>
      </c>
      <c r="L1878" s="4">
        <f t="shared" si="270"/>
        <v>-8.5503194586899942E-10</v>
      </c>
      <c r="M1878" s="4">
        <f t="shared" si="271"/>
        <v>-9.8896034027721834E-10</v>
      </c>
      <c r="N1878" s="5">
        <f t="shared" si="272"/>
        <v>1.6192281948969334E-6</v>
      </c>
      <c r="O1878" s="5">
        <f t="shared" si="273"/>
        <v>1.3382650772819527E-7</v>
      </c>
      <c r="P1878" s="5">
        <f t="shared" si="274"/>
        <v>4.6945297374874065E-8</v>
      </c>
      <c r="Q1878" s="1">
        <f t="shared" si="275"/>
        <v>1.8000000000000029E-6</v>
      </c>
    </row>
    <row r="1879" spans="1:17" x14ac:dyDescent="0.25">
      <c r="A1879" s="1">
        <v>93.85</v>
      </c>
      <c r="B1879" s="1">
        <v>3.4258000000000001E-3</v>
      </c>
      <c r="C1879" s="1">
        <v>1.5228E-4</v>
      </c>
      <c r="D1879" s="1">
        <v>3.3231999999999998E-2</v>
      </c>
      <c r="E1879" s="1">
        <v>1.3798E-3</v>
      </c>
      <c r="F1879" s="1">
        <v>9.1702999999999997E-8</v>
      </c>
      <c r="G1879" s="1">
        <v>6.7061999999999999</v>
      </c>
      <c r="H1879" s="1">
        <v>2.0006999999999999E-7</v>
      </c>
      <c r="I1879" s="1">
        <f t="shared" si="267"/>
        <v>2.0006999999999999E-7</v>
      </c>
      <c r="J1879" s="4">
        <f t="shared" si="268"/>
        <v>-1.3629278545015681E-9</v>
      </c>
      <c r="K1879" s="4">
        <f t="shared" si="269"/>
        <v>-2.6096169006996597E-9</v>
      </c>
      <c r="L1879" s="4">
        <f t="shared" si="270"/>
        <v>-8.5275355655766101E-10</v>
      </c>
      <c r="M1879" s="4">
        <f t="shared" si="271"/>
        <v>-9.8619629280800457E-10</v>
      </c>
      <c r="N1879" s="5">
        <f t="shared" si="272"/>
        <v>1.6196221303865737E-6</v>
      </c>
      <c r="O1879" s="5">
        <f t="shared" si="273"/>
        <v>1.3356601497480518E-7</v>
      </c>
      <c r="P1879" s="5">
        <f t="shared" si="274"/>
        <v>4.6811854638623722E-8</v>
      </c>
      <c r="Q1879" s="1">
        <f t="shared" si="275"/>
        <v>1.8000000000000027E-6</v>
      </c>
    </row>
    <row r="1880" spans="1:17" x14ac:dyDescent="0.25">
      <c r="A1880" s="1">
        <v>93.9</v>
      </c>
      <c r="B1880" s="1">
        <v>3.4228000000000001E-3</v>
      </c>
      <c r="C1880" s="1">
        <v>1.5220000000000001E-4</v>
      </c>
      <c r="D1880" s="1">
        <v>3.3234E-2</v>
      </c>
      <c r="E1880" s="1">
        <v>1.3764999999999999E-3</v>
      </c>
      <c r="F1880" s="1">
        <v>9.1661000000000003E-8</v>
      </c>
      <c r="G1880" s="1">
        <v>6.7061999999999999</v>
      </c>
      <c r="H1880" s="1">
        <v>2.0008E-7</v>
      </c>
      <c r="I1880" s="1">
        <f t="shared" si="267"/>
        <v>2.0008E-7</v>
      </c>
      <c r="J1880" s="4">
        <f t="shared" si="268"/>
        <v>-1.362011546666219E-9</v>
      </c>
      <c r="K1880" s="4">
        <f t="shared" si="269"/>
        <v>-2.6045372920092936E-9</v>
      </c>
      <c r="L1880" s="4">
        <f t="shared" si="270"/>
        <v>-8.5047486539957282E-10</v>
      </c>
      <c r="M1880" s="4">
        <f t="shared" si="271"/>
        <v>-9.8339301454291544E-10</v>
      </c>
      <c r="N1880" s="5">
        <f t="shared" si="272"/>
        <v>1.6200141812665173E-6</v>
      </c>
      <c r="O1880" s="5">
        <f t="shared" si="273"/>
        <v>1.3330688224400503E-7</v>
      </c>
      <c r="P1880" s="5">
        <f t="shared" si="274"/>
        <v>4.6678936489480385E-8</v>
      </c>
      <c r="Q1880" s="1">
        <f t="shared" si="275"/>
        <v>1.8000000000000027E-6</v>
      </c>
    </row>
    <row r="1881" spans="1:17" x14ac:dyDescent="0.25">
      <c r="A1881" s="1">
        <v>93.95</v>
      </c>
      <c r="B1881" s="1">
        <v>3.4199E-3</v>
      </c>
      <c r="C1881" s="1">
        <v>1.5213E-4</v>
      </c>
      <c r="D1881" s="1">
        <v>3.3235000000000001E-2</v>
      </c>
      <c r="E1881" s="1">
        <v>1.3730999999999999E-3</v>
      </c>
      <c r="F1881" s="1">
        <v>9.1619999999999996E-8</v>
      </c>
      <c r="G1881" s="1">
        <v>6.7061999999999999</v>
      </c>
      <c r="H1881" s="1">
        <v>2.0008E-7</v>
      </c>
      <c r="I1881" s="1">
        <f t="shared" si="267"/>
        <v>2.0008E-7</v>
      </c>
      <c r="J1881" s="4">
        <f t="shared" si="268"/>
        <v>-1.3610936199318073E-9</v>
      </c>
      <c r="K1881" s="4">
        <f t="shared" si="269"/>
        <v>-2.5994842037579505E-9</v>
      </c>
      <c r="L1881" s="4">
        <f t="shared" si="270"/>
        <v>-8.4825752244901869E-10</v>
      </c>
      <c r="M1881" s="4">
        <f t="shared" si="271"/>
        <v>-9.8064976934554393E-10</v>
      </c>
      <c r="N1881" s="5">
        <f t="shared" si="272"/>
        <v>1.6204043143278945E-6</v>
      </c>
      <c r="O1881" s="5">
        <f t="shared" si="273"/>
        <v>1.3304914142952442E-7</v>
      </c>
      <c r="P1881" s="5">
        <f t="shared" si="274"/>
        <v>4.6546544242583857E-8</v>
      </c>
      <c r="Q1881" s="1">
        <f t="shared" si="275"/>
        <v>1.8000000000000027E-6</v>
      </c>
    </row>
    <row r="1882" spans="1:17" x14ac:dyDescent="0.25">
      <c r="A1882" s="1">
        <v>94</v>
      </c>
      <c r="B1882" s="1">
        <v>3.4169999999999999E-3</v>
      </c>
      <c r="C1882" s="1">
        <v>1.5206E-4</v>
      </c>
      <c r="D1882" s="1">
        <v>3.3237000000000003E-2</v>
      </c>
      <c r="E1882" s="1">
        <v>1.3697E-3</v>
      </c>
      <c r="F1882" s="1">
        <v>9.1578000000000001E-8</v>
      </c>
      <c r="G1882" s="1">
        <v>6.7061999999999999</v>
      </c>
      <c r="H1882" s="1">
        <v>2.0008999999999999E-7</v>
      </c>
      <c r="I1882" s="1">
        <f t="shared" si="267"/>
        <v>2.0008999999999999E-7</v>
      </c>
      <c r="J1882" s="4">
        <f t="shared" si="268"/>
        <v>-1.3602037433195705E-9</v>
      </c>
      <c r="K1882" s="4">
        <f t="shared" si="269"/>
        <v>-2.5944582578755792E-9</v>
      </c>
      <c r="L1882" s="4">
        <f t="shared" si="270"/>
        <v>-8.4598749222890462E-10</v>
      </c>
      <c r="M1882" s="4">
        <f t="shared" si="271"/>
        <v>-9.7786842006584321E-10</v>
      </c>
      <c r="N1882" s="5">
        <f t="shared" si="272"/>
        <v>1.6207925813502215E-6</v>
      </c>
      <c r="O1882" s="5">
        <f t="shared" si="273"/>
        <v>1.3279275533503425E-7</v>
      </c>
      <c r="P1882" s="5">
        <f t="shared" si="274"/>
        <v>4.6414663314746919E-8</v>
      </c>
      <c r="Q1882" s="1">
        <f t="shared" si="275"/>
        <v>1.8000000000000027E-6</v>
      </c>
    </row>
    <row r="1883" spans="1:17" x14ac:dyDescent="0.25">
      <c r="A1883" s="1">
        <v>94.05</v>
      </c>
      <c r="B1883" s="1">
        <v>3.4141000000000002E-3</v>
      </c>
      <c r="C1883" s="1">
        <v>1.5197999999999999E-4</v>
      </c>
      <c r="D1883" s="1">
        <v>3.3237999999999997E-2</v>
      </c>
      <c r="E1883" s="1">
        <v>1.3664E-3</v>
      </c>
      <c r="F1883" s="1">
        <v>9.1536999999999994E-8</v>
      </c>
      <c r="G1883" s="1">
        <v>6.7061999999999999</v>
      </c>
      <c r="H1883" s="1">
        <v>2.001E-7</v>
      </c>
      <c r="I1883" s="1">
        <f t="shared" si="267"/>
        <v>2.001E-7</v>
      </c>
      <c r="J1883" s="4">
        <f t="shared" si="268"/>
        <v>-1.359282574341688E-9</v>
      </c>
      <c r="K1883" s="4">
        <f t="shared" si="269"/>
        <v>-2.5894587290330207E-9</v>
      </c>
      <c r="L1883" s="4">
        <f t="shared" si="270"/>
        <v>-8.4370796147705887E-10</v>
      </c>
      <c r="M1883" s="4">
        <f t="shared" si="271"/>
        <v>-9.7514654817795399E-10</v>
      </c>
      <c r="N1883" s="5">
        <f t="shared" si="272"/>
        <v>1.6211790495434358E-6</v>
      </c>
      <c r="O1883" s="5">
        <f t="shared" si="273"/>
        <v>1.3253772572852089E-7</v>
      </c>
      <c r="P1883" s="5">
        <f t="shared" si="274"/>
        <v>4.6283224728046024E-8</v>
      </c>
      <c r="Q1883" s="1">
        <f t="shared" si="275"/>
        <v>1.8000000000000027E-6</v>
      </c>
    </row>
    <row r="1884" spans="1:17" x14ac:dyDescent="0.25">
      <c r="A1884" s="1">
        <v>94.1</v>
      </c>
      <c r="B1884" s="1">
        <v>3.4112000000000001E-3</v>
      </c>
      <c r="C1884" s="1">
        <v>1.5191E-4</v>
      </c>
      <c r="D1884" s="1">
        <v>3.3239999999999999E-2</v>
      </c>
      <c r="E1884" s="1">
        <v>1.3630000000000001E-3</v>
      </c>
      <c r="F1884" s="1">
        <v>9.1496000000000001E-8</v>
      </c>
      <c r="G1884" s="1">
        <v>6.7061999999999999</v>
      </c>
      <c r="H1884" s="1">
        <v>2.001E-7</v>
      </c>
      <c r="I1884" s="1">
        <f t="shared" si="267"/>
        <v>2.001E-7</v>
      </c>
      <c r="J1884" s="4">
        <f t="shared" si="268"/>
        <v>-1.3583895520277832E-9</v>
      </c>
      <c r="K1884" s="4">
        <f t="shared" si="269"/>
        <v>-2.5844856517060103E-9</v>
      </c>
      <c r="L1884" s="4">
        <f t="shared" si="270"/>
        <v>-8.4149900675646649E-10</v>
      </c>
      <c r="M1884" s="4">
        <f t="shared" si="271"/>
        <v>-9.7243369314855569E-10</v>
      </c>
      <c r="N1884" s="5">
        <f t="shared" si="272"/>
        <v>1.6215636466363575E-6</v>
      </c>
      <c r="O1884" s="5">
        <f t="shared" si="273"/>
        <v>1.3228406332199122E-7</v>
      </c>
      <c r="P1884" s="5">
        <f t="shared" si="274"/>
        <v>4.6152290041653939E-8</v>
      </c>
      <c r="Q1884" s="1">
        <f t="shared" si="275"/>
        <v>1.8000000000000027E-6</v>
      </c>
    </row>
    <row r="1885" spans="1:17" x14ac:dyDescent="0.25">
      <c r="A1885" s="1">
        <v>94.15</v>
      </c>
      <c r="B1885" s="1">
        <v>3.4083E-3</v>
      </c>
      <c r="C1885" s="1">
        <v>1.5184000000000001E-4</v>
      </c>
      <c r="D1885" s="1">
        <v>3.3241E-2</v>
      </c>
      <c r="E1885" s="1">
        <v>1.3596999999999999E-3</v>
      </c>
      <c r="F1885" s="1">
        <v>9.1455999999999995E-8</v>
      </c>
      <c r="G1885" s="1">
        <v>6.7061000000000002</v>
      </c>
      <c r="H1885" s="1">
        <v>2.0011000000000001E-7</v>
      </c>
      <c r="I1885" s="1">
        <f t="shared" si="267"/>
        <v>2.0011000000000001E-7</v>
      </c>
      <c r="J1885" s="4">
        <f t="shared" si="268"/>
        <v>-1.3574949281910012E-9</v>
      </c>
      <c r="K1885" s="4">
        <f t="shared" si="269"/>
        <v>-2.5795392347794157E-9</v>
      </c>
      <c r="L1885" s="4">
        <f t="shared" si="270"/>
        <v>-8.3922818337041923E-10</v>
      </c>
      <c r="M1885" s="4">
        <f t="shared" si="271"/>
        <v>-9.6968268992039058E-10</v>
      </c>
      <c r="N1885" s="5">
        <f t="shared" si="272"/>
        <v>1.6219464627595756E-6</v>
      </c>
      <c r="O1885" s="5">
        <f t="shared" si="273"/>
        <v>1.320317017053232E-7</v>
      </c>
      <c r="P1885" s="5">
        <f t="shared" si="274"/>
        <v>4.6021835535103969E-8</v>
      </c>
      <c r="Q1885" s="1">
        <f t="shared" si="275"/>
        <v>1.8000000000000027E-6</v>
      </c>
    </row>
    <row r="1886" spans="1:17" x14ac:dyDescent="0.25">
      <c r="A1886" s="1">
        <v>94.2</v>
      </c>
      <c r="B1886" s="1">
        <v>3.4053999999999998E-3</v>
      </c>
      <c r="C1886" s="1">
        <v>1.5176999999999999E-4</v>
      </c>
      <c r="D1886" s="1">
        <v>3.3243000000000002E-2</v>
      </c>
      <c r="E1886" s="1">
        <v>1.3564E-3</v>
      </c>
      <c r="F1886" s="1">
        <v>9.1415000000000002E-8</v>
      </c>
      <c r="G1886" s="1">
        <v>6.7061000000000002</v>
      </c>
      <c r="H1886" s="1">
        <v>2.0011000000000001E-7</v>
      </c>
      <c r="I1886" s="1">
        <f t="shared" si="267"/>
        <v>2.0011000000000001E-7</v>
      </c>
      <c r="J1886" s="4">
        <f t="shared" si="268"/>
        <v>-1.3566284500008295E-9</v>
      </c>
      <c r="K1886" s="4">
        <f t="shared" si="269"/>
        <v>-2.5746181832536563E-9</v>
      </c>
      <c r="L1886" s="4">
        <f t="shared" si="270"/>
        <v>-8.3702785704430886E-10</v>
      </c>
      <c r="M1886" s="4">
        <f t="shared" si="271"/>
        <v>-9.6699009843755883E-10</v>
      </c>
      <c r="N1886" s="5">
        <f t="shared" si="272"/>
        <v>1.6223274246357843E-6</v>
      </c>
      <c r="O1886" s="5">
        <f t="shared" si="273"/>
        <v>1.3178070207050796E-7</v>
      </c>
      <c r="P1886" s="5">
        <f t="shared" si="274"/>
        <v>4.589187329371072E-8</v>
      </c>
      <c r="Q1886" s="1">
        <f t="shared" si="275"/>
        <v>1.8000000000000029E-6</v>
      </c>
    </row>
    <row r="1887" spans="1:17" x14ac:dyDescent="0.25">
      <c r="A1887" s="1">
        <v>94.25</v>
      </c>
      <c r="B1887" s="1">
        <v>3.4026E-3</v>
      </c>
      <c r="C1887" s="1">
        <v>1.517E-4</v>
      </c>
      <c r="D1887" s="1">
        <v>3.3244000000000003E-2</v>
      </c>
      <c r="E1887" s="1">
        <v>1.3531000000000001E-3</v>
      </c>
      <c r="F1887" s="1">
        <v>9.1374999999999996E-8</v>
      </c>
      <c r="G1887" s="1">
        <v>6.7061000000000002</v>
      </c>
      <c r="H1887" s="1">
        <v>2.0011999999999999E-7</v>
      </c>
      <c r="I1887" s="1">
        <f t="shared" si="267"/>
        <v>2.0011999999999999E-7</v>
      </c>
      <c r="J1887" s="4">
        <f t="shared" si="268"/>
        <v>-1.3557307199131609E-9</v>
      </c>
      <c r="K1887" s="4">
        <f t="shared" si="269"/>
        <v>-2.5697236903747593E-9</v>
      </c>
      <c r="L1887" s="4">
        <f t="shared" si="270"/>
        <v>-8.3481808961706241E-10</v>
      </c>
      <c r="M1887" s="4">
        <f t="shared" si="271"/>
        <v>-9.6425939030441271E-10</v>
      </c>
      <c r="N1887" s="5">
        <f t="shared" si="272"/>
        <v>1.6227065995166287E-6</v>
      </c>
      <c r="O1887" s="5">
        <f t="shared" si="273"/>
        <v>1.3153096849035077E-7</v>
      </c>
      <c r="P1887" s="5">
        <f t="shared" si="274"/>
        <v>4.5762431993023369E-8</v>
      </c>
      <c r="Q1887" s="1">
        <f t="shared" si="275"/>
        <v>1.8000000000000029E-6</v>
      </c>
    </row>
    <row r="1888" spans="1:17" x14ac:dyDescent="0.25">
      <c r="A1888" s="1">
        <v>94.3</v>
      </c>
      <c r="B1888" s="1">
        <v>3.3996999999999999E-3</v>
      </c>
      <c r="C1888" s="1">
        <v>1.5163000000000001E-4</v>
      </c>
      <c r="D1888" s="1">
        <v>3.3245999999999998E-2</v>
      </c>
      <c r="E1888" s="1">
        <v>1.3496999999999999E-3</v>
      </c>
      <c r="F1888" s="1">
        <v>9.1335000000000004E-8</v>
      </c>
      <c r="G1888" s="1">
        <v>6.7061000000000002</v>
      </c>
      <c r="H1888" s="1">
        <v>2.0011999999999999E-7</v>
      </c>
      <c r="I1888" s="1">
        <f t="shared" si="267"/>
        <v>2.0011999999999999E-7</v>
      </c>
      <c r="J1888" s="4">
        <f t="shared" si="268"/>
        <v>-1.3548611269129E-9</v>
      </c>
      <c r="K1888" s="4">
        <f t="shared" si="269"/>
        <v>-2.5648538855616942E-9</v>
      </c>
      <c r="L1888" s="4">
        <f t="shared" si="270"/>
        <v>-8.3261720951324272E-10</v>
      </c>
      <c r="M1888" s="4">
        <f t="shared" si="271"/>
        <v>-9.6158767849654815E-10</v>
      </c>
      <c r="N1888" s="5">
        <f t="shared" si="272"/>
        <v>1.6230839750657645E-6</v>
      </c>
      <c r="O1888" s="5">
        <f t="shared" si="273"/>
        <v>1.3128256341019852E-7</v>
      </c>
      <c r="P1888" s="5">
        <f t="shared" si="274"/>
        <v>4.5633461524040061E-8</v>
      </c>
      <c r="Q1888" s="1">
        <f t="shared" si="275"/>
        <v>1.8000000000000029E-6</v>
      </c>
    </row>
    <row r="1889" spans="1:17" x14ac:dyDescent="0.25">
      <c r="A1889" s="1">
        <v>94.35</v>
      </c>
      <c r="B1889" s="1">
        <v>3.3968000000000002E-3</v>
      </c>
      <c r="C1889" s="1">
        <v>1.5155E-4</v>
      </c>
      <c r="D1889" s="1">
        <v>3.3246999999999999E-2</v>
      </c>
      <c r="E1889" s="1">
        <v>1.3464E-3</v>
      </c>
      <c r="F1889" s="1">
        <v>9.1295999999999999E-8</v>
      </c>
      <c r="G1889" s="1">
        <v>6.7061000000000002</v>
      </c>
      <c r="H1889" s="1">
        <v>2.0013000000000001E-7</v>
      </c>
      <c r="I1889" s="1">
        <f t="shared" si="267"/>
        <v>2.0013000000000001E-7</v>
      </c>
      <c r="J1889" s="4">
        <f t="shared" si="268"/>
        <v>-1.3539899978077687E-9</v>
      </c>
      <c r="K1889" s="4">
        <f t="shared" si="269"/>
        <v>-2.5600099864987255E-9</v>
      </c>
      <c r="L1889" s="4">
        <f t="shared" si="270"/>
        <v>-8.3035454592114235E-10</v>
      </c>
      <c r="M1889" s="4">
        <f t="shared" si="271"/>
        <v>-9.5887767361998975E-10</v>
      </c>
      <c r="N1889" s="5">
        <f t="shared" si="272"/>
        <v>1.6234596405085344E-6</v>
      </c>
      <c r="O1889" s="5">
        <f t="shared" si="273"/>
        <v>1.3103542109512754E-7</v>
      </c>
      <c r="P1889" s="5">
        <f t="shared" si="274"/>
        <v>4.5504938396341211E-8</v>
      </c>
      <c r="Q1889" s="1">
        <f t="shared" si="275"/>
        <v>1.8000000000000031E-6</v>
      </c>
    </row>
    <row r="1890" spans="1:17" x14ac:dyDescent="0.25">
      <c r="A1890" s="1">
        <v>94.4</v>
      </c>
      <c r="B1890" s="1">
        <v>3.3939999999999999E-3</v>
      </c>
      <c r="C1890" s="1">
        <v>1.5148000000000001E-4</v>
      </c>
      <c r="D1890" s="1">
        <v>3.3248E-2</v>
      </c>
      <c r="E1890" s="1">
        <v>1.3431000000000001E-3</v>
      </c>
      <c r="F1890" s="1">
        <v>9.1255999999999993E-8</v>
      </c>
      <c r="G1890" s="1">
        <v>6.7061000000000002</v>
      </c>
      <c r="H1890" s="1">
        <v>2.0013999999999999E-7</v>
      </c>
      <c r="I1890" s="1">
        <f t="shared" si="267"/>
        <v>2.0013999999999999E-7</v>
      </c>
      <c r="J1890" s="4">
        <f t="shared" si="268"/>
        <v>-1.353147054184759E-9</v>
      </c>
      <c r="K1890" s="4">
        <f t="shared" si="269"/>
        <v>-2.5551907113555681E-9</v>
      </c>
      <c r="L1890" s="4">
        <f t="shared" si="270"/>
        <v>-8.2816228028397647E-10</v>
      </c>
      <c r="M1890" s="4">
        <f t="shared" si="271"/>
        <v>-9.5622484873249287E-10</v>
      </c>
      <c r="N1890" s="5">
        <f t="shared" si="272"/>
        <v>1.6238335218854211E-6</v>
      </c>
      <c r="O1890" s="5">
        <f t="shared" si="273"/>
        <v>1.3078960228668921E-7</v>
      </c>
      <c r="P1890" s="5">
        <f t="shared" si="274"/>
        <v>4.5376875827892696E-8</v>
      </c>
      <c r="Q1890" s="1">
        <f t="shared" si="275"/>
        <v>1.8000000000000029E-6</v>
      </c>
    </row>
    <row r="1891" spans="1:17" x14ac:dyDescent="0.25">
      <c r="A1891" s="1">
        <v>94.45</v>
      </c>
      <c r="B1891" s="1">
        <v>3.3911000000000002E-3</v>
      </c>
      <c r="C1891" s="1">
        <v>1.5142000000000001E-4</v>
      </c>
      <c r="D1891" s="1">
        <v>3.3250000000000002E-2</v>
      </c>
      <c r="E1891" s="1">
        <v>1.3399E-3</v>
      </c>
      <c r="F1891" s="1">
        <v>9.1217000000000002E-8</v>
      </c>
      <c r="G1891" s="1">
        <v>6.7061000000000002</v>
      </c>
      <c r="H1891" s="1">
        <v>2.0013999999999999E-7</v>
      </c>
      <c r="I1891" s="1">
        <f t="shared" si="267"/>
        <v>2.0013999999999999E-7</v>
      </c>
      <c r="J1891" s="4">
        <f t="shared" si="268"/>
        <v>-1.3522729465737776E-9</v>
      </c>
      <c r="K1891" s="4">
        <f t="shared" si="269"/>
        <v>-2.5503972445902948E-9</v>
      </c>
      <c r="L1891" s="4">
        <f t="shared" si="270"/>
        <v>-8.2596068722653328E-10</v>
      </c>
      <c r="M1891" s="4">
        <f t="shared" si="271"/>
        <v>-9.5358143246036238E-10</v>
      </c>
      <c r="N1891" s="5">
        <f t="shared" si="272"/>
        <v>1.624205685496211E-6</v>
      </c>
      <c r="O1891" s="5">
        <f t="shared" si="273"/>
        <v>1.3054505942113307E-7</v>
      </c>
      <c r="P1891" s="5">
        <f t="shared" si="274"/>
        <v>4.524925508265887E-8</v>
      </c>
      <c r="Q1891" s="1">
        <f t="shared" si="275"/>
        <v>1.8000000000000029E-6</v>
      </c>
    </row>
    <row r="1892" spans="1:17" x14ac:dyDescent="0.25">
      <c r="A1892" s="1">
        <v>94.5</v>
      </c>
      <c r="B1892" s="1">
        <v>3.3882999999999999E-3</v>
      </c>
      <c r="C1892" s="1">
        <v>1.5134999999999999E-4</v>
      </c>
      <c r="D1892" s="1">
        <v>3.3251000000000003E-2</v>
      </c>
      <c r="E1892" s="1">
        <v>1.3366000000000001E-3</v>
      </c>
      <c r="F1892" s="1">
        <v>9.1177999999999998E-8</v>
      </c>
      <c r="G1892" s="1">
        <v>6.7061000000000002</v>
      </c>
      <c r="H1892" s="1">
        <v>2.0015E-7</v>
      </c>
      <c r="I1892" s="1">
        <f t="shared" si="267"/>
        <v>2.0015E-7</v>
      </c>
      <c r="J1892" s="4">
        <f t="shared" si="268"/>
        <v>-1.3514270143157868E-9</v>
      </c>
      <c r="K1892" s="4">
        <f t="shared" si="269"/>
        <v>-2.5456286587119502E-9</v>
      </c>
      <c r="L1892" s="4">
        <f t="shared" si="270"/>
        <v>-8.2382941605173918E-10</v>
      </c>
      <c r="M1892" s="4">
        <f t="shared" si="271"/>
        <v>-9.5089952078549715E-10</v>
      </c>
      <c r="N1892" s="5">
        <f t="shared" si="272"/>
        <v>1.6245760577245555E-6</v>
      </c>
      <c r="O1892" s="5">
        <f t="shared" si="273"/>
        <v>1.303017572975224E-7</v>
      </c>
      <c r="P1892" s="5">
        <f t="shared" si="274"/>
        <v>4.5122184977925112E-8</v>
      </c>
      <c r="Q1892" s="1">
        <f t="shared" si="275"/>
        <v>1.8000000000000031E-6</v>
      </c>
    </row>
    <row r="1893" spans="1:17" x14ac:dyDescent="0.25">
      <c r="A1893" s="1">
        <v>94.55</v>
      </c>
      <c r="B1893" s="1">
        <v>3.3855000000000001E-3</v>
      </c>
      <c r="C1893" s="1">
        <v>1.5128E-4</v>
      </c>
      <c r="D1893" s="1">
        <v>3.3252999999999998E-2</v>
      </c>
      <c r="E1893" s="1">
        <v>1.3332999999999999E-3</v>
      </c>
      <c r="F1893" s="1">
        <v>9.1139999999999994E-8</v>
      </c>
      <c r="G1893" s="1">
        <v>6.7060000000000004</v>
      </c>
      <c r="H1893" s="1">
        <v>2.0015E-7</v>
      </c>
      <c r="I1893" s="1">
        <f t="shared" si="267"/>
        <v>2.0015E-7</v>
      </c>
      <c r="J1893" s="4">
        <f t="shared" si="268"/>
        <v>-1.3505795573050133E-9</v>
      </c>
      <c r="K1893" s="4">
        <f t="shared" si="269"/>
        <v>-2.5408842673015427E-9</v>
      </c>
      <c r="L1893" s="4">
        <f t="shared" si="270"/>
        <v>-8.2163638603825549E-10</v>
      </c>
      <c r="M1893" s="4">
        <f t="shared" si="271"/>
        <v>-9.4827655894977565E-10</v>
      </c>
      <c r="N1893" s="5">
        <f t="shared" si="272"/>
        <v>1.624944726048514E-6</v>
      </c>
      <c r="O1893" s="5">
        <f t="shared" si="273"/>
        <v>1.3005972914647564E-7</v>
      </c>
      <c r="P1893" s="5">
        <f t="shared" si="274"/>
        <v>4.499554480501359E-8</v>
      </c>
      <c r="Q1893" s="1">
        <f t="shared" si="275"/>
        <v>1.8000000000000033E-6</v>
      </c>
    </row>
    <row r="1894" spans="1:17" x14ac:dyDescent="0.25">
      <c r="A1894" s="1">
        <v>94.6</v>
      </c>
      <c r="B1894" s="1">
        <v>3.3825999999999999E-3</v>
      </c>
      <c r="C1894" s="1">
        <v>1.5121000000000001E-4</v>
      </c>
      <c r="D1894" s="1">
        <v>3.3253999999999999E-2</v>
      </c>
      <c r="E1894" s="1">
        <v>1.3301000000000001E-3</v>
      </c>
      <c r="F1894" s="1">
        <v>9.1101000000000003E-8</v>
      </c>
      <c r="G1894" s="1">
        <v>6.7060000000000004</v>
      </c>
      <c r="H1894" s="1">
        <v>2.0015999999999999E-7</v>
      </c>
      <c r="I1894" s="1">
        <f t="shared" si="267"/>
        <v>2.0015999999999999E-7</v>
      </c>
      <c r="J1894" s="4">
        <f t="shared" si="268"/>
        <v>-1.3497602716943323E-9</v>
      </c>
      <c r="K1894" s="4">
        <f t="shared" si="269"/>
        <v>-2.5361647183561311E-9</v>
      </c>
      <c r="L1894" s="4">
        <f t="shared" si="270"/>
        <v>-8.1945213808840465E-10</v>
      </c>
      <c r="M1894" s="4">
        <f t="shared" si="271"/>
        <v>-9.456151207359106E-10</v>
      </c>
      <c r="N1894" s="5">
        <f t="shared" si="272"/>
        <v>1.6253116783570874E-6</v>
      </c>
      <c r="O1894" s="5">
        <f t="shared" si="273"/>
        <v>1.2981893982054977E-7</v>
      </c>
      <c r="P1894" s="5">
        <f t="shared" si="274"/>
        <v>4.4869381822366086E-8</v>
      </c>
      <c r="Q1894" s="1">
        <f t="shared" si="275"/>
        <v>1.8000000000000033E-6</v>
      </c>
    </row>
    <row r="1895" spans="1:17" x14ac:dyDescent="0.25">
      <c r="A1895" s="1">
        <v>94.65</v>
      </c>
      <c r="B1895" s="1">
        <v>3.3798000000000001E-3</v>
      </c>
      <c r="C1895" s="1">
        <v>1.5113999999999999E-4</v>
      </c>
      <c r="D1895" s="1">
        <v>3.3256000000000001E-2</v>
      </c>
      <c r="E1895" s="1">
        <v>1.3267999999999999E-3</v>
      </c>
      <c r="F1895" s="1">
        <v>9.1063E-8</v>
      </c>
      <c r="G1895" s="1">
        <v>6.7060000000000004</v>
      </c>
      <c r="H1895" s="1">
        <v>2.0015999999999999E-7</v>
      </c>
      <c r="I1895" s="1">
        <f t="shared" si="267"/>
        <v>2.0015999999999999E-7</v>
      </c>
      <c r="J1895" s="4">
        <f t="shared" si="268"/>
        <v>-1.34890990675541E-9</v>
      </c>
      <c r="K1895" s="4">
        <f t="shared" si="269"/>
        <v>-2.5314693265012959E-9</v>
      </c>
      <c r="L1895" s="4">
        <f t="shared" si="270"/>
        <v>-8.173201203003028E-10</v>
      </c>
      <c r="M1895" s="4">
        <f t="shared" si="271"/>
        <v>-9.4301082388451788E-10</v>
      </c>
      <c r="N1895" s="5">
        <f t="shared" si="272"/>
        <v>1.6256769176565329E-6</v>
      </c>
      <c r="O1895" s="5">
        <f t="shared" si="273"/>
        <v>1.2957939122468839E-7</v>
      </c>
      <c r="P1895" s="5">
        <f t="shared" si="274"/>
        <v>4.474369111878187E-8</v>
      </c>
      <c r="Q1895" s="1">
        <f t="shared" si="275"/>
        <v>1.8000000000000031E-6</v>
      </c>
    </row>
    <row r="1896" spans="1:17" x14ac:dyDescent="0.25">
      <c r="A1896" s="1">
        <v>94.7</v>
      </c>
      <c r="B1896" s="1">
        <v>3.3769999999999998E-3</v>
      </c>
      <c r="C1896" s="1">
        <v>1.5107E-4</v>
      </c>
      <c r="D1896" s="1">
        <v>3.3257000000000002E-2</v>
      </c>
      <c r="E1896" s="1">
        <v>1.3236000000000001E-3</v>
      </c>
      <c r="F1896" s="1">
        <v>9.1024999999999996E-8</v>
      </c>
      <c r="G1896" s="1">
        <v>6.7060000000000004</v>
      </c>
      <c r="H1896" s="1">
        <v>2.0017E-7</v>
      </c>
      <c r="I1896" s="1">
        <f t="shared" si="267"/>
        <v>2.0017E-7</v>
      </c>
      <c r="J1896" s="4">
        <f t="shared" si="268"/>
        <v>-1.3480877018962515E-9</v>
      </c>
      <c r="K1896" s="4">
        <f t="shared" si="269"/>
        <v>-2.5267981288812801E-9</v>
      </c>
      <c r="L1896" s="4">
        <f t="shared" si="270"/>
        <v>-8.1513539702570514E-10</v>
      </c>
      <c r="M1896" s="4">
        <f t="shared" si="271"/>
        <v>-9.4036920750516137E-10</v>
      </c>
      <c r="N1896" s="5">
        <f t="shared" si="272"/>
        <v>1.6260404926864922E-6</v>
      </c>
      <c r="O1896" s="5">
        <f t="shared" si="273"/>
        <v>1.2934105000520853E-7</v>
      </c>
      <c r="P1896" s="5">
        <f t="shared" si="274"/>
        <v>4.4618457308302417E-8</v>
      </c>
      <c r="Q1896" s="1">
        <f t="shared" si="275"/>
        <v>1.8000000000000031E-6</v>
      </c>
    </row>
    <row r="1897" spans="1:17" x14ac:dyDescent="0.25">
      <c r="A1897" s="1">
        <v>94.75</v>
      </c>
      <c r="B1897" s="1">
        <v>3.3741999999999999E-3</v>
      </c>
      <c r="C1897" s="1">
        <v>1.5101000000000001E-4</v>
      </c>
      <c r="D1897" s="1">
        <v>3.3258999999999997E-2</v>
      </c>
      <c r="E1897" s="1">
        <v>1.3202999999999999E-3</v>
      </c>
      <c r="F1897" s="1">
        <v>9.0987000000000006E-8</v>
      </c>
      <c r="G1897" s="1">
        <v>6.7060000000000004</v>
      </c>
      <c r="H1897" s="1">
        <v>2.0018000000000001E-7</v>
      </c>
      <c r="I1897" s="1">
        <f t="shared" si="267"/>
        <v>2.0018000000000001E-7</v>
      </c>
      <c r="J1897" s="4">
        <f t="shared" si="268"/>
        <v>-1.3472640820453105E-9</v>
      </c>
      <c r="K1897" s="4">
        <f t="shared" si="269"/>
        <v>-2.5221504751014233E-9</v>
      </c>
      <c r="L1897" s="4">
        <f t="shared" si="270"/>
        <v>-8.130118941862093E-10</v>
      </c>
      <c r="M1897" s="4">
        <f t="shared" si="271"/>
        <v>-9.3778404293725058E-10</v>
      </c>
      <c r="N1897" s="5">
        <f t="shared" si="272"/>
        <v>1.6264023671853622E-6</v>
      </c>
      <c r="O1897" s="5">
        <f t="shared" si="273"/>
        <v>1.2910394765508965E-7</v>
      </c>
      <c r="P1897" s="5">
        <f t="shared" si="274"/>
        <v>4.4493685159551371E-8</v>
      </c>
      <c r="Q1897" s="1">
        <f t="shared" si="275"/>
        <v>1.8000000000000031E-6</v>
      </c>
    </row>
    <row r="1898" spans="1:17" x14ac:dyDescent="0.25">
      <c r="A1898" s="1">
        <v>94.8</v>
      </c>
      <c r="B1898" s="1">
        <v>3.3714000000000001E-3</v>
      </c>
      <c r="C1898" s="1">
        <v>1.5093999999999999E-4</v>
      </c>
      <c r="D1898" s="1">
        <v>3.3259999999999998E-2</v>
      </c>
      <c r="E1898" s="1">
        <v>1.3171000000000001E-3</v>
      </c>
      <c r="F1898" s="1">
        <v>9.0950000000000004E-8</v>
      </c>
      <c r="G1898" s="1">
        <v>6.7060000000000004</v>
      </c>
      <c r="H1898" s="1">
        <v>2.0018000000000001E-7</v>
      </c>
      <c r="I1898" s="1">
        <f t="shared" si="267"/>
        <v>2.0018000000000001E-7</v>
      </c>
      <c r="J1898" s="4">
        <f t="shared" si="268"/>
        <v>-1.3464390209522459E-9</v>
      </c>
      <c r="K1898" s="4">
        <f t="shared" si="269"/>
        <v>-2.517526979274105E-9</v>
      </c>
      <c r="L1898" s="4">
        <f t="shared" si="270"/>
        <v>-8.1082674155181382E-10</v>
      </c>
      <c r="M1898" s="4">
        <f t="shared" si="271"/>
        <v>-9.3520831900004109E-10</v>
      </c>
      <c r="N1898" s="5">
        <f t="shared" si="272"/>
        <v>1.6267626284021321E-6</v>
      </c>
      <c r="O1898" s="5">
        <f t="shared" si="273"/>
        <v>1.2886806801576783E-7</v>
      </c>
      <c r="P1898" s="5">
        <f t="shared" si="274"/>
        <v>4.4369303582103143E-8</v>
      </c>
      <c r="Q1898" s="1">
        <f t="shared" si="275"/>
        <v>1.8000000000000031E-6</v>
      </c>
    </row>
    <row r="1899" spans="1:17" x14ac:dyDescent="0.25">
      <c r="A1899" s="1">
        <v>94.85</v>
      </c>
      <c r="B1899" s="1">
        <v>3.3685999999999998E-3</v>
      </c>
      <c r="C1899" s="1">
        <v>1.5087E-4</v>
      </c>
      <c r="D1899" s="1">
        <v>3.3260999999999999E-2</v>
      </c>
      <c r="E1899" s="1">
        <v>1.3139E-3</v>
      </c>
      <c r="F1899" s="1">
        <v>9.0912E-8</v>
      </c>
      <c r="G1899" s="1">
        <v>6.7060000000000004</v>
      </c>
      <c r="H1899" s="1">
        <v>2.0018999999999999E-7</v>
      </c>
      <c r="I1899" s="1">
        <f t="shared" si="267"/>
        <v>2.0018999999999999E-7</v>
      </c>
      <c r="J1899" s="4">
        <f t="shared" si="268"/>
        <v>-1.3456421852785405E-9</v>
      </c>
      <c r="K1899" s="4">
        <f t="shared" si="269"/>
        <v>-2.5129273263073299E-9</v>
      </c>
      <c r="L1899" s="4">
        <f t="shared" si="270"/>
        <v>-8.0871171932446589E-10</v>
      </c>
      <c r="M1899" s="4">
        <f t="shared" si="271"/>
        <v>-9.3259395506181471E-10</v>
      </c>
      <c r="N1899" s="5">
        <f t="shared" si="272"/>
        <v>1.6271212018238363E-6</v>
      </c>
      <c r="O1899" s="5">
        <f t="shared" si="273"/>
        <v>1.2863337682980085E-7</v>
      </c>
      <c r="P1899" s="5">
        <f t="shared" si="274"/>
        <v>4.4245421346365796E-8</v>
      </c>
      <c r="Q1899" s="1">
        <f t="shared" si="275"/>
        <v>1.8000000000000029E-6</v>
      </c>
    </row>
    <row r="1900" spans="1:17" x14ac:dyDescent="0.25">
      <c r="A1900" s="1">
        <v>94.9</v>
      </c>
      <c r="B1900" s="1">
        <v>3.3658E-3</v>
      </c>
      <c r="C1900" s="1">
        <v>1.5081E-4</v>
      </c>
      <c r="D1900" s="1">
        <v>3.3263000000000001E-2</v>
      </c>
      <c r="E1900" s="1">
        <v>1.3106999999999999E-3</v>
      </c>
      <c r="F1900" s="1">
        <v>9.0874999999999998E-8</v>
      </c>
      <c r="G1900" s="1">
        <v>6.7058999999999997</v>
      </c>
      <c r="H1900" s="1">
        <v>2.0018999999999999E-7</v>
      </c>
      <c r="I1900" s="1">
        <f t="shared" si="267"/>
        <v>2.0018999999999999E-7</v>
      </c>
      <c r="J1900" s="4">
        <f t="shared" si="268"/>
        <v>-1.3448143299564422E-9</v>
      </c>
      <c r="K1900" s="4">
        <f t="shared" si="269"/>
        <v>-2.5083508481816872E-9</v>
      </c>
      <c r="L1900" s="4">
        <f t="shared" si="270"/>
        <v>-8.065875709189705E-10</v>
      </c>
      <c r="M1900" s="4">
        <f t="shared" si="271"/>
        <v>-9.300365444297532E-10</v>
      </c>
      <c r="N1900" s="5">
        <f t="shared" si="272"/>
        <v>1.6274781507711426E-6</v>
      </c>
      <c r="O1900" s="5">
        <f t="shared" si="273"/>
        <v>1.2839987685600537E-7</v>
      </c>
      <c r="P1900" s="5">
        <f t="shared" si="274"/>
        <v>4.4121972372855017E-8</v>
      </c>
      <c r="Q1900" s="1">
        <f t="shared" si="275"/>
        <v>1.8000000000000031E-6</v>
      </c>
    </row>
    <row r="1901" spans="1:17" x14ac:dyDescent="0.25">
      <c r="A1901" s="1">
        <v>94.95</v>
      </c>
      <c r="B1901" s="1">
        <v>3.3630999999999999E-3</v>
      </c>
      <c r="C1901" s="1">
        <v>1.5074000000000001E-4</v>
      </c>
      <c r="D1901" s="1">
        <v>3.3264000000000002E-2</v>
      </c>
      <c r="E1901" s="1">
        <v>1.3075000000000001E-3</v>
      </c>
      <c r="F1901" s="1">
        <v>9.0837999999999996E-8</v>
      </c>
      <c r="G1901" s="1">
        <v>6.7058999999999997</v>
      </c>
      <c r="H1901" s="1">
        <v>2.0020000000000001E-7</v>
      </c>
      <c r="I1901" s="1">
        <f t="shared" si="267"/>
        <v>2.0020000000000001E-7</v>
      </c>
      <c r="J1901" s="4">
        <f t="shared" si="268"/>
        <v>-1.3440146867951131E-9</v>
      </c>
      <c r="K1901" s="4">
        <f t="shared" si="269"/>
        <v>-2.5037975986919624E-9</v>
      </c>
      <c r="L1901" s="4">
        <f t="shared" si="270"/>
        <v>-8.0447209985439022E-10</v>
      </c>
      <c r="M1901" s="4">
        <f t="shared" si="271"/>
        <v>-9.2744165317874101E-10</v>
      </c>
      <c r="N1901" s="5">
        <f t="shared" si="272"/>
        <v>1.627833461583185E-6</v>
      </c>
      <c r="O1901" s="5">
        <f t="shared" si="273"/>
        <v>1.2816753559728726E-7</v>
      </c>
      <c r="P1901" s="5">
        <f t="shared" si="274"/>
        <v>4.3999002819530664E-8</v>
      </c>
      <c r="Q1901" s="1">
        <f t="shared" si="275"/>
        <v>1.8000000000000029E-6</v>
      </c>
    </row>
    <row r="1902" spans="1:17" x14ac:dyDescent="0.25">
      <c r="A1902" s="1">
        <v>95</v>
      </c>
      <c r="B1902" s="1">
        <v>3.3603000000000001E-3</v>
      </c>
      <c r="C1902" s="1">
        <v>1.5066999999999999E-4</v>
      </c>
      <c r="D1902" s="1">
        <v>3.3265999999999997E-2</v>
      </c>
      <c r="E1902" s="1">
        <v>1.3043E-3</v>
      </c>
      <c r="F1902" s="1">
        <v>9.0800999999999994E-8</v>
      </c>
      <c r="G1902" s="1">
        <v>6.7058999999999997</v>
      </c>
      <c r="H1902" s="1">
        <v>2.0020000000000001E-7</v>
      </c>
      <c r="I1902" s="1">
        <f t="shared" si="267"/>
        <v>2.0020000000000001E-7</v>
      </c>
      <c r="J1902" s="4">
        <f t="shared" si="268"/>
        <v>-1.3432136574449639E-9</v>
      </c>
      <c r="K1902" s="4">
        <f t="shared" si="269"/>
        <v>-2.4992669441469594E-9</v>
      </c>
      <c r="L1902" s="4">
        <f t="shared" si="270"/>
        <v>-8.0235641548730219E-10</v>
      </c>
      <c r="M1902" s="4">
        <f t="shared" si="271"/>
        <v>-9.2490303826930146E-10</v>
      </c>
      <c r="N1902" s="5">
        <f t="shared" si="272"/>
        <v>1.6281871584543996E-6</v>
      </c>
      <c r="O1902" s="5">
        <f t="shared" si="273"/>
        <v>1.2793638534885458E-7</v>
      </c>
      <c r="P1902" s="5">
        <f t="shared" si="274"/>
        <v>4.3876456196748662E-8</v>
      </c>
      <c r="Q1902" s="1">
        <f t="shared" si="275"/>
        <v>1.8000000000000029E-6</v>
      </c>
    </row>
    <row r="1903" spans="1:17" x14ac:dyDescent="0.25">
      <c r="A1903" s="1">
        <v>95.05</v>
      </c>
      <c r="B1903" s="1">
        <v>3.3574999999999998E-3</v>
      </c>
      <c r="C1903" s="1">
        <v>1.5061E-4</v>
      </c>
      <c r="D1903" s="1">
        <v>3.3266999999999998E-2</v>
      </c>
      <c r="E1903" s="1">
        <v>1.3010999999999999E-3</v>
      </c>
      <c r="F1903" s="1">
        <v>9.0765000000000006E-8</v>
      </c>
      <c r="G1903" s="1">
        <v>6.7058999999999997</v>
      </c>
      <c r="H1903" s="1">
        <v>2.0020999999999999E-7</v>
      </c>
      <c r="I1903" s="1">
        <f t="shared" si="267"/>
        <v>2.0020999999999999E-7</v>
      </c>
      <c r="J1903" s="4">
        <f t="shared" si="268"/>
        <v>-1.3424112654494879E-9</v>
      </c>
      <c r="K1903" s="4">
        <f t="shared" si="269"/>
        <v>-2.4947595143025227E-9</v>
      </c>
      <c r="L1903" s="4">
        <f t="shared" si="270"/>
        <v>-8.0024053767380707E-10</v>
      </c>
      <c r="M1903" s="4">
        <f t="shared" si="271"/>
        <v>-9.223269857118014E-10</v>
      </c>
      <c r="N1903" s="5">
        <f t="shared" si="272"/>
        <v>1.6285392661655789E-6</v>
      </c>
      <c r="O1903" s="5">
        <f t="shared" si="273"/>
        <v>1.2770636408571334E-7</v>
      </c>
      <c r="P1903" s="5">
        <f t="shared" si="274"/>
        <v>4.3754369748710671E-8</v>
      </c>
      <c r="Q1903" s="1">
        <f t="shared" si="275"/>
        <v>1.8000000000000029E-6</v>
      </c>
    </row>
    <row r="1904" spans="1:17" x14ac:dyDescent="0.25">
      <c r="A1904" s="1">
        <v>95.1</v>
      </c>
      <c r="B1904" s="1">
        <v>3.3547999999999998E-3</v>
      </c>
      <c r="C1904" s="1">
        <v>1.5054000000000001E-4</v>
      </c>
      <c r="D1904" s="1">
        <v>3.3269E-2</v>
      </c>
      <c r="E1904" s="1">
        <v>1.2979000000000001E-3</v>
      </c>
      <c r="F1904" s="1">
        <v>9.0729000000000005E-8</v>
      </c>
      <c r="G1904" s="1">
        <v>6.7058999999999997</v>
      </c>
      <c r="H1904" s="1">
        <v>2.0022E-7</v>
      </c>
      <c r="I1904" s="1">
        <f t="shared" si="267"/>
        <v>2.0022E-7</v>
      </c>
      <c r="J1904" s="4">
        <f t="shared" si="268"/>
        <v>-1.341637097478347E-9</v>
      </c>
      <c r="K1904" s="4">
        <f t="shared" si="269"/>
        <v>-2.4902740996712689E-9</v>
      </c>
      <c r="L1904" s="4">
        <f t="shared" si="270"/>
        <v>-7.9813327981553122E-10</v>
      </c>
      <c r="M1904" s="4">
        <f t="shared" si="271"/>
        <v>-9.1980654857583093E-10</v>
      </c>
      <c r="N1904" s="5">
        <f t="shared" si="272"/>
        <v>1.6288897698879563E-6</v>
      </c>
      <c r="O1904" s="5">
        <f t="shared" si="273"/>
        <v>1.2747753363209624E-7</v>
      </c>
      <c r="P1904" s="5">
        <f t="shared" si="274"/>
        <v>4.3632696479950375E-8</v>
      </c>
      <c r="Q1904" s="1">
        <f t="shared" si="275"/>
        <v>1.8000000000000029E-6</v>
      </c>
    </row>
    <row r="1905" spans="1:17" x14ac:dyDescent="0.25">
      <c r="A1905" s="1">
        <v>95.15</v>
      </c>
      <c r="B1905" s="1">
        <v>3.3519999999999999E-3</v>
      </c>
      <c r="C1905" s="1">
        <v>1.5048000000000001E-4</v>
      </c>
      <c r="D1905" s="1">
        <v>3.3270000000000001E-2</v>
      </c>
      <c r="E1905" s="1">
        <v>1.2947E-3</v>
      </c>
      <c r="F1905" s="1">
        <v>9.0692000000000002E-8</v>
      </c>
      <c r="G1905" s="1">
        <v>6.7058999999999997</v>
      </c>
      <c r="H1905" s="1">
        <v>2.0022E-7</v>
      </c>
      <c r="I1905" s="1">
        <f t="shared" si="267"/>
        <v>2.0022E-7</v>
      </c>
      <c r="J1905" s="4">
        <f t="shared" si="268"/>
        <v>-1.3408615710508393E-9</v>
      </c>
      <c r="K1905" s="4">
        <f t="shared" si="269"/>
        <v>-2.4858119058264422E-9</v>
      </c>
      <c r="L1905" s="4">
        <f t="shared" si="270"/>
        <v>-7.960258095236991E-10</v>
      </c>
      <c r="M1905" s="4">
        <f t="shared" si="271"/>
        <v>-9.1729454136785326E-10</v>
      </c>
      <c r="N1905" s="5">
        <f t="shared" si="272"/>
        <v>1.6292386944132083E-6</v>
      </c>
      <c r="O1905" s="5">
        <f t="shared" si="273"/>
        <v>1.2724987783868849E-7</v>
      </c>
      <c r="P1905" s="5">
        <f t="shared" si="274"/>
        <v>4.3511427748106221E-8</v>
      </c>
      <c r="Q1905" s="1">
        <f t="shared" si="275"/>
        <v>1.8000000000000029E-6</v>
      </c>
    </row>
    <row r="1906" spans="1:17" x14ac:dyDescent="0.25">
      <c r="A1906" s="1">
        <v>95.2</v>
      </c>
      <c r="B1906" s="1">
        <v>3.3492999999999999E-3</v>
      </c>
      <c r="C1906" s="1">
        <v>1.5042000000000001E-4</v>
      </c>
      <c r="D1906" s="1">
        <v>3.3271000000000002E-2</v>
      </c>
      <c r="E1906" s="1">
        <v>1.2914999999999999E-3</v>
      </c>
      <c r="F1906" s="1">
        <v>9.0657000000000002E-8</v>
      </c>
      <c r="G1906" s="1">
        <v>6.7058999999999997</v>
      </c>
      <c r="H1906" s="1">
        <v>2.0022999999999999E-7</v>
      </c>
      <c r="I1906" s="1">
        <f t="shared" si="267"/>
        <v>2.0022999999999999E-7</v>
      </c>
      <c r="J1906" s="4">
        <f t="shared" si="268"/>
        <v>-1.3400551580280496E-9</v>
      </c>
      <c r="K1906" s="4">
        <f t="shared" si="269"/>
        <v>-2.4813726178542846E-9</v>
      </c>
      <c r="L1906" s="4">
        <f t="shared" si="270"/>
        <v>-7.9390939270944506E-10</v>
      </c>
      <c r="M1906" s="4">
        <f t="shared" si="271"/>
        <v>-9.1474509669115994E-10</v>
      </c>
      <c r="N1906" s="5">
        <f t="shared" si="272"/>
        <v>1.6295861024803253E-6</v>
      </c>
      <c r="O1906" s="5">
        <f t="shared" si="273"/>
        <v>1.2702330547555339E-7</v>
      </c>
      <c r="P1906" s="5">
        <f t="shared" si="274"/>
        <v>4.3390592044124504E-8</v>
      </c>
      <c r="Q1906" s="1">
        <f t="shared" si="275"/>
        <v>1.8000000000000033E-6</v>
      </c>
    </row>
    <row r="1907" spans="1:17" x14ac:dyDescent="0.25">
      <c r="A1907" s="1">
        <v>95.25</v>
      </c>
      <c r="B1907" s="1">
        <v>3.3465000000000001E-3</v>
      </c>
      <c r="C1907" s="1">
        <v>1.5035E-4</v>
      </c>
      <c r="D1907" s="1">
        <v>3.3272999999999997E-2</v>
      </c>
      <c r="E1907" s="1">
        <v>1.2884000000000001E-3</v>
      </c>
      <c r="F1907" s="1">
        <v>9.0621000000000001E-8</v>
      </c>
      <c r="G1907" s="1">
        <v>6.7058999999999997</v>
      </c>
      <c r="H1907" s="1">
        <v>2.0022999999999999E-7</v>
      </c>
      <c r="I1907" s="1">
        <f t="shared" si="267"/>
        <v>2.0022999999999999E-7</v>
      </c>
      <c r="J1907" s="4">
        <f t="shared" si="268"/>
        <v>-1.3393065691780749E-9</v>
      </c>
      <c r="K1907" s="4">
        <f t="shared" si="269"/>
        <v>-2.4769544567731505E-9</v>
      </c>
      <c r="L1907" s="4">
        <f t="shared" si="270"/>
        <v>-7.9181032920656494E-10</v>
      </c>
      <c r="M1907" s="4">
        <f t="shared" si="271"/>
        <v>-9.1225031572442833E-10</v>
      </c>
      <c r="N1907" s="5">
        <f t="shared" si="272"/>
        <v>1.6299319400387137E-6</v>
      </c>
      <c r="O1907" s="5">
        <f t="shared" si="273"/>
        <v>1.2679790790368272E-7</v>
      </c>
      <c r="P1907" s="5">
        <f t="shared" si="274"/>
        <v>4.3270152057606643E-8</v>
      </c>
      <c r="Q1907" s="1">
        <f t="shared" si="275"/>
        <v>1.8000000000000031E-6</v>
      </c>
    </row>
    <row r="1908" spans="1:17" x14ac:dyDescent="0.25">
      <c r="A1908" s="1">
        <v>95.3</v>
      </c>
      <c r="B1908" s="1">
        <v>3.3438000000000001E-3</v>
      </c>
      <c r="C1908" s="1">
        <v>1.5029E-4</v>
      </c>
      <c r="D1908" s="1">
        <v>3.3273999999999998E-2</v>
      </c>
      <c r="E1908" s="1">
        <v>1.2852E-3</v>
      </c>
      <c r="F1908" s="1">
        <v>9.0585E-8</v>
      </c>
      <c r="G1908" s="1">
        <v>6.7058</v>
      </c>
      <c r="H1908" s="1">
        <v>2.0024E-7</v>
      </c>
      <c r="I1908" s="1">
        <f t="shared" si="267"/>
        <v>2.0024E-7</v>
      </c>
      <c r="J1908" s="4">
        <f t="shared" si="268"/>
        <v>-1.3385271075153636E-9</v>
      </c>
      <c r="K1908" s="4">
        <f t="shared" si="269"/>
        <v>-2.4725592041216728E-9</v>
      </c>
      <c r="L1908" s="4">
        <f t="shared" si="270"/>
        <v>-7.8976363647384139E-10</v>
      </c>
      <c r="M1908" s="4">
        <f t="shared" si="271"/>
        <v>-9.0971816738187881E-10</v>
      </c>
      <c r="N1908" s="5">
        <f t="shared" si="272"/>
        <v>1.6302762084988463E-6</v>
      </c>
      <c r="O1908" s="5">
        <f t="shared" si="273"/>
        <v>1.2657359397445829E-7</v>
      </c>
      <c r="P1908" s="5">
        <f t="shared" si="274"/>
        <v>4.3150197526698605E-8</v>
      </c>
      <c r="Q1908" s="1">
        <f t="shared" si="275"/>
        <v>1.8000000000000031E-6</v>
      </c>
    </row>
    <row r="1909" spans="1:17" x14ac:dyDescent="0.25">
      <c r="A1909" s="1">
        <v>95.35</v>
      </c>
      <c r="B1909" s="1">
        <v>3.3411000000000001E-3</v>
      </c>
      <c r="C1909" s="1">
        <v>1.5023E-4</v>
      </c>
      <c r="D1909" s="1">
        <v>3.3276E-2</v>
      </c>
      <c r="E1909" s="1">
        <v>1.2821E-3</v>
      </c>
      <c r="F1909" s="1">
        <v>9.055E-8</v>
      </c>
      <c r="G1909" s="1">
        <v>6.7058</v>
      </c>
      <c r="H1909" s="1">
        <v>2.0024E-7</v>
      </c>
      <c r="I1909" s="1">
        <f t="shared" si="267"/>
        <v>2.0024E-7</v>
      </c>
      <c r="J1909" s="4">
        <f t="shared" si="268"/>
        <v>-1.3377463294870277E-9</v>
      </c>
      <c r="K1909" s="4">
        <f t="shared" si="269"/>
        <v>-2.4681850825017965E-9</v>
      </c>
      <c r="L1909" s="4">
        <f t="shared" si="270"/>
        <v>-7.8765546923060336E-10</v>
      </c>
      <c r="M1909" s="4">
        <f t="shared" si="271"/>
        <v>-9.0724153303829183E-10</v>
      </c>
      <c r="N1909" s="5">
        <f t="shared" si="272"/>
        <v>1.6306189917826304E-6</v>
      </c>
      <c r="O1909" s="5">
        <f t="shared" si="273"/>
        <v>1.2635039675448178E-7</v>
      </c>
      <c r="P1909" s="5">
        <f t="shared" si="274"/>
        <v>4.3030611462890914E-8</v>
      </c>
      <c r="Q1909" s="1">
        <f t="shared" si="275"/>
        <v>1.8000000000000029E-6</v>
      </c>
    </row>
    <row r="1910" spans="1:17" x14ac:dyDescent="0.25">
      <c r="A1910" s="1">
        <v>95.4</v>
      </c>
      <c r="B1910" s="1">
        <v>3.3384E-3</v>
      </c>
      <c r="C1910" s="1">
        <v>1.5016000000000001E-4</v>
      </c>
      <c r="D1910" s="1">
        <v>3.3277000000000001E-2</v>
      </c>
      <c r="E1910" s="1">
        <v>1.279E-3</v>
      </c>
      <c r="F1910" s="1">
        <v>9.0515E-8</v>
      </c>
      <c r="G1910" s="1">
        <v>6.7058</v>
      </c>
      <c r="H1910" s="1">
        <v>2.0025000000000001E-7</v>
      </c>
      <c r="I1910" s="1">
        <f t="shared" si="267"/>
        <v>2.0025000000000001E-7</v>
      </c>
      <c r="J1910" s="4">
        <f t="shared" si="268"/>
        <v>-1.3369938375873841E-9</v>
      </c>
      <c r="K1910" s="4">
        <f t="shared" si="269"/>
        <v>-2.463832736712955E-9</v>
      </c>
      <c r="L1910" s="4">
        <f t="shared" si="270"/>
        <v>-7.8561713600869772E-10</v>
      </c>
      <c r="M1910" s="4">
        <f t="shared" si="271"/>
        <v>-9.0472721212977978E-10</v>
      </c>
      <c r="N1910" s="5">
        <f t="shared" si="272"/>
        <v>1.6309602135457471E-6</v>
      </c>
      <c r="O1910" s="5">
        <f t="shared" si="273"/>
        <v>1.2612828506748598E-7</v>
      </c>
      <c r="P1910" s="5">
        <f t="shared" si="274"/>
        <v>4.2911501386769832E-8</v>
      </c>
      <c r="Q1910" s="1">
        <f t="shared" si="275"/>
        <v>1.8000000000000029E-6</v>
      </c>
    </row>
    <row r="1911" spans="1:17" x14ac:dyDescent="0.25">
      <c r="A1911" s="1">
        <v>95.45</v>
      </c>
      <c r="B1911" s="1">
        <v>3.3356000000000002E-3</v>
      </c>
      <c r="C1911" s="1">
        <v>1.5009999999999999E-4</v>
      </c>
      <c r="D1911" s="1">
        <v>3.3278000000000002E-2</v>
      </c>
      <c r="E1911" s="1">
        <v>1.2757999999999999E-3</v>
      </c>
      <c r="F1911" s="1">
        <v>9.048E-8</v>
      </c>
      <c r="G1911" s="1">
        <v>6.7058</v>
      </c>
      <c r="H1911" s="1">
        <v>2.0025000000000001E-7</v>
      </c>
      <c r="I1911" s="1">
        <f t="shared" si="267"/>
        <v>2.0025000000000001E-7</v>
      </c>
      <c r="J1911" s="4">
        <f t="shared" si="268"/>
        <v>-1.3362400312938119E-9</v>
      </c>
      <c r="K1911" s="4">
        <f t="shared" si="269"/>
        <v>-2.4595015588158371E-9</v>
      </c>
      <c r="L1911" s="4">
        <f t="shared" si="270"/>
        <v>-7.8357859471942338E-10</v>
      </c>
      <c r="M1911" s="4">
        <f t="shared" si="271"/>
        <v>-9.0226795603351804E-10</v>
      </c>
      <c r="N1911" s="5">
        <f t="shared" si="272"/>
        <v>1.6312998964785497E-6</v>
      </c>
      <c r="O1911" s="5">
        <f t="shared" si="273"/>
        <v>1.2590729149599749E-7</v>
      </c>
      <c r="P1911" s="5">
        <f t="shared" si="274"/>
        <v>4.2792812025455733E-8</v>
      </c>
      <c r="Q1911" s="1">
        <f t="shared" si="275"/>
        <v>1.8000000000000029E-6</v>
      </c>
    </row>
    <row r="1912" spans="1:17" x14ac:dyDescent="0.25">
      <c r="A1912" s="1">
        <v>95.5</v>
      </c>
      <c r="B1912" s="1">
        <v>3.3329000000000002E-3</v>
      </c>
      <c r="C1912" s="1">
        <v>1.5003999999999999E-4</v>
      </c>
      <c r="D1912" s="1">
        <v>3.3279999999999997E-2</v>
      </c>
      <c r="E1912" s="1">
        <v>1.2727000000000001E-3</v>
      </c>
      <c r="F1912" s="1">
        <v>9.0445E-8</v>
      </c>
      <c r="G1912" s="1">
        <v>6.7058</v>
      </c>
      <c r="H1912" s="1">
        <v>2.0025999999999999E-7</v>
      </c>
      <c r="I1912" s="1">
        <f t="shared" si="267"/>
        <v>2.0025999999999999E-7</v>
      </c>
      <c r="J1912" s="4">
        <f t="shared" si="268"/>
        <v>-1.3354849324027389E-9</v>
      </c>
      <c r="K1912" s="4">
        <f t="shared" si="269"/>
        <v>-2.4551921841718117E-9</v>
      </c>
      <c r="L1912" s="4">
        <f t="shared" si="270"/>
        <v>-7.8147860947740589E-10</v>
      </c>
      <c r="M1912" s="4">
        <f t="shared" si="271"/>
        <v>-8.9977236385018759E-10</v>
      </c>
      <c r="N1912" s="5">
        <f t="shared" si="272"/>
        <v>1.6316381251208412E-6</v>
      </c>
      <c r="O1912" s="5">
        <f t="shared" si="273"/>
        <v>1.256873566080786E-7</v>
      </c>
      <c r="P1912" s="5">
        <f t="shared" si="274"/>
        <v>4.2674518271082951E-8</v>
      </c>
      <c r="Q1912" s="1">
        <f t="shared" si="275"/>
        <v>1.8000000000000027E-6</v>
      </c>
    </row>
    <row r="1913" spans="1:17" x14ac:dyDescent="0.25">
      <c r="A1913" s="1">
        <v>95.55</v>
      </c>
      <c r="B1913" s="1">
        <v>3.3302000000000002E-3</v>
      </c>
      <c r="C1913" s="1">
        <v>1.4998E-4</v>
      </c>
      <c r="D1913" s="1">
        <v>3.3280999999999998E-2</v>
      </c>
      <c r="E1913" s="1">
        <v>1.2696000000000001E-3</v>
      </c>
      <c r="F1913" s="1">
        <v>9.0411000000000001E-8</v>
      </c>
      <c r="G1913" s="1">
        <v>6.7058</v>
      </c>
      <c r="H1913" s="1">
        <v>2.0025999999999999E-7</v>
      </c>
      <c r="I1913" s="1">
        <f t="shared" si="267"/>
        <v>2.0025999999999999E-7</v>
      </c>
      <c r="J1913" s="4">
        <f t="shared" si="268"/>
        <v>-1.3347286132439964E-9</v>
      </c>
      <c r="K1913" s="4">
        <f t="shared" si="269"/>
        <v>-2.4509034538573936E-9</v>
      </c>
      <c r="L1913" s="4">
        <f t="shared" si="270"/>
        <v>-7.7943974683109969E-10</v>
      </c>
      <c r="M1913" s="4">
        <f t="shared" si="271"/>
        <v>-8.9732989804149151E-10</v>
      </c>
      <c r="N1913" s="5">
        <f t="shared" si="272"/>
        <v>1.6319748602146234E-6</v>
      </c>
      <c r="O1913" s="5">
        <f t="shared" si="273"/>
        <v>1.2546851166550669E-7</v>
      </c>
      <c r="P1913" s="5">
        <f t="shared" si="274"/>
        <v>4.2556628119872562E-8</v>
      </c>
      <c r="Q1913" s="1">
        <f t="shared" si="275"/>
        <v>1.8000000000000027E-6</v>
      </c>
    </row>
    <row r="1914" spans="1:17" x14ac:dyDescent="0.25">
      <c r="A1914" s="1">
        <v>95.6</v>
      </c>
      <c r="B1914" s="1">
        <v>3.3275000000000002E-3</v>
      </c>
      <c r="C1914" s="1">
        <v>1.4992E-4</v>
      </c>
      <c r="D1914" s="1">
        <v>3.3281999999999999E-2</v>
      </c>
      <c r="E1914" s="1">
        <v>1.2665E-3</v>
      </c>
      <c r="F1914" s="1">
        <v>9.0376000000000001E-8</v>
      </c>
      <c r="G1914" s="1">
        <v>6.7058</v>
      </c>
      <c r="H1914" s="1">
        <v>2.0027000000000001E-7</v>
      </c>
      <c r="I1914" s="1">
        <f t="shared" si="267"/>
        <v>2.0027000000000001E-7</v>
      </c>
      <c r="J1914" s="4">
        <f t="shared" si="268"/>
        <v>-1.3340005542721729E-9</v>
      </c>
      <c r="K1914" s="4">
        <f t="shared" si="269"/>
        <v>-2.4466359774772414E-9</v>
      </c>
      <c r="L1914" s="4">
        <f t="shared" si="270"/>
        <v>-7.7740932855199006E-10</v>
      </c>
      <c r="M1914" s="4">
        <f t="shared" si="271"/>
        <v>-8.9485098646494535E-10</v>
      </c>
      <c r="N1914" s="5">
        <f t="shared" si="272"/>
        <v>1.6323100863092767E-6</v>
      </c>
      <c r="O1914" s="5">
        <f t="shared" si="273"/>
        <v>1.2525072722876658E-7</v>
      </c>
      <c r="P1914" s="5">
        <f t="shared" si="274"/>
        <v>4.2439186461959607E-8</v>
      </c>
      <c r="Q1914" s="1">
        <f t="shared" si="275"/>
        <v>1.8000000000000029E-6</v>
      </c>
    </row>
    <row r="1915" spans="1:17" x14ac:dyDescent="0.25">
      <c r="A1915" s="1">
        <v>95.65</v>
      </c>
      <c r="B1915" s="1">
        <v>3.3249E-3</v>
      </c>
      <c r="C1915" s="1">
        <v>1.4986000000000001E-4</v>
      </c>
      <c r="D1915" s="1">
        <v>3.3284000000000001E-2</v>
      </c>
      <c r="E1915" s="1">
        <v>1.2634E-3</v>
      </c>
      <c r="F1915" s="1">
        <v>9.0342000000000003E-8</v>
      </c>
      <c r="G1915" s="1">
        <v>6.7058</v>
      </c>
      <c r="H1915" s="1">
        <v>2.0027999999999999E-7</v>
      </c>
      <c r="I1915" s="1">
        <f t="shared" si="267"/>
        <v>2.0027999999999999E-7</v>
      </c>
      <c r="J1915" s="4">
        <f t="shared" si="268"/>
        <v>-1.3332417215220345E-9</v>
      </c>
      <c r="K1915" s="4">
        <f t="shared" si="269"/>
        <v>-2.4423891809615039E-9</v>
      </c>
      <c r="L1915" s="4">
        <f t="shared" si="270"/>
        <v>-7.7537013778843677E-10</v>
      </c>
      <c r="M1915" s="4">
        <f t="shared" si="271"/>
        <v>-8.9242606663755119E-10</v>
      </c>
      <c r="N1915" s="5">
        <f t="shared" si="272"/>
        <v>1.6326438636309278E-6</v>
      </c>
      <c r="O1915" s="5">
        <f t="shared" si="273"/>
        <v>1.2503400583596469E-7</v>
      </c>
      <c r="P1915" s="5">
        <f t="shared" si="274"/>
        <v>4.2322130533110488E-8</v>
      </c>
      <c r="Q1915" s="1">
        <f t="shared" si="275"/>
        <v>1.8000000000000029E-6</v>
      </c>
    </row>
    <row r="1916" spans="1:17" x14ac:dyDescent="0.25">
      <c r="A1916" s="1">
        <v>95.7</v>
      </c>
      <c r="B1916" s="1">
        <v>3.3222E-3</v>
      </c>
      <c r="C1916" s="1">
        <v>1.4978999999999999E-4</v>
      </c>
      <c r="D1916" s="1">
        <v>3.3285000000000002E-2</v>
      </c>
      <c r="E1916" s="1">
        <v>1.2603E-3</v>
      </c>
      <c r="F1916" s="1">
        <v>9.0308000000000004E-8</v>
      </c>
      <c r="G1916" s="1">
        <v>6.7057000000000002</v>
      </c>
      <c r="H1916" s="1">
        <v>2.0027999999999999E-7</v>
      </c>
      <c r="I1916" s="1">
        <f t="shared" si="267"/>
        <v>2.0027999999999999E-7</v>
      </c>
      <c r="J1916" s="4">
        <f t="shared" si="268"/>
        <v>-1.3325111812211745E-9</v>
      </c>
      <c r="K1916" s="4">
        <f t="shared" si="269"/>
        <v>-2.438163113801173E-9</v>
      </c>
      <c r="L1916" s="4">
        <f t="shared" si="270"/>
        <v>-7.7333938803353393E-10</v>
      </c>
      <c r="M1916" s="4">
        <f t="shared" si="271"/>
        <v>-8.9000901183294305E-10</v>
      </c>
      <c r="N1916" s="5">
        <f t="shared" si="272"/>
        <v>1.6329761761754744E-6</v>
      </c>
      <c r="O1916" s="5">
        <f t="shared" si="273"/>
        <v>1.2481836291521763E-7</v>
      </c>
      <c r="P1916" s="5">
        <f t="shared" si="274"/>
        <v>4.2205460909311079E-8</v>
      </c>
      <c r="Q1916" s="1">
        <f t="shared" si="275"/>
        <v>1.8000000000000031E-6</v>
      </c>
    </row>
    <row r="1917" spans="1:17" x14ac:dyDescent="0.25">
      <c r="A1917" s="1">
        <v>95.75</v>
      </c>
      <c r="B1917" s="1">
        <v>3.3195E-3</v>
      </c>
      <c r="C1917" s="1">
        <v>1.4972999999999999E-4</v>
      </c>
      <c r="D1917" s="1">
        <v>3.3286999999999997E-2</v>
      </c>
      <c r="E1917" s="1">
        <v>1.2572E-3</v>
      </c>
      <c r="F1917" s="1">
        <v>9.0275000000000006E-8</v>
      </c>
      <c r="G1917" s="1">
        <v>6.7057000000000002</v>
      </c>
      <c r="H1917" s="1">
        <v>2.0029E-7</v>
      </c>
      <c r="I1917" s="1">
        <f t="shared" si="267"/>
        <v>2.0029E-7</v>
      </c>
      <c r="J1917" s="4">
        <f t="shared" si="268"/>
        <v>-1.3317794136879732E-9</v>
      </c>
      <c r="K1917" s="4">
        <f t="shared" si="269"/>
        <v>-2.4339580768466054E-9</v>
      </c>
      <c r="L1917" s="4">
        <f t="shared" si="270"/>
        <v>-7.7130847981844931E-10</v>
      </c>
      <c r="M1917" s="4">
        <f t="shared" si="271"/>
        <v>-8.8755551964621597E-10</v>
      </c>
      <c r="N1917" s="5">
        <f t="shared" si="272"/>
        <v>1.6333070463588144E-6</v>
      </c>
      <c r="O1917" s="5">
        <f t="shared" si="273"/>
        <v>1.2460373977170522E-7</v>
      </c>
      <c r="P1917" s="5">
        <f t="shared" si="274"/>
        <v>4.208921386948331E-8</v>
      </c>
      <c r="Q1917" s="1">
        <f t="shared" si="275"/>
        <v>1.8000000000000029E-6</v>
      </c>
    </row>
    <row r="1918" spans="1:17" x14ac:dyDescent="0.25">
      <c r="A1918" s="1">
        <v>95.8</v>
      </c>
      <c r="B1918" s="1">
        <v>3.3168E-3</v>
      </c>
      <c r="C1918" s="1">
        <v>1.4967E-4</v>
      </c>
      <c r="D1918" s="1">
        <v>3.3287999999999998E-2</v>
      </c>
      <c r="E1918" s="1">
        <v>1.2542E-3</v>
      </c>
      <c r="F1918" s="1">
        <v>9.0240999999999994E-8</v>
      </c>
      <c r="G1918" s="1">
        <v>6.7057000000000002</v>
      </c>
      <c r="H1918" s="1">
        <v>2.0029E-7</v>
      </c>
      <c r="I1918" s="1">
        <f t="shared" si="267"/>
        <v>2.0029E-7</v>
      </c>
      <c r="J1918" s="4">
        <f t="shared" si="268"/>
        <v>-1.3310759293145787E-9</v>
      </c>
      <c r="K1918" s="4">
        <f t="shared" si="269"/>
        <v>-2.4297729255481139E-9</v>
      </c>
      <c r="L1918" s="4">
        <f t="shared" si="270"/>
        <v>-7.692859520451171E-10</v>
      </c>
      <c r="M1918" s="4">
        <f t="shared" si="271"/>
        <v>-8.8515510782142496E-10</v>
      </c>
      <c r="N1918" s="5">
        <f t="shared" si="272"/>
        <v>1.6336364574030029E-6</v>
      </c>
      <c r="O1918" s="5">
        <f t="shared" si="273"/>
        <v>1.2439019788329312E-7</v>
      </c>
      <c r="P1918" s="5">
        <f t="shared" si="274"/>
        <v>4.1973344713707002E-8</v>
      </c>
      <c r="Q1918" s="1">
        <f t="shared" si="275"/>
        <v>1.8000000000000031E-6</v>
      </c>
    </row>
    <row r="1919" spans="1:17" x14ac:dyDescent="0.25">
      <c r="A1919" s="1">
        <v>95.85</v>
      </c>
      <c r="B1919" s="1">
        <v>3.3141999999999998E-3</v>
      </c>
      <c r="C1919" s="1">
        <v>1.4961E-4</v>
      </c>
      <c r="D1919" s="1">
        <v>3.3288999999999999E-2</v>
      </c>
      <c r="E1919" s="1">
        <v>1.2511E-3</v>
      </c>
      <c r="F1919" s="1">
        <v>9.0207999999999996E-8</v>
      </c>
      <c r="G1919" s="1">
        <v>6.7057000000000002</v>
      </c>
      <c r="H1919" s="1">
        <v>2.0029999999999999E-7</v>
      </c>
      <c r="I1919" s="1">
        <f t="shared" si="267"/>
        <v>2.0029999999999999E-7</v>
      </c>
      <c r="J1919" s="4">
        <f t="shared" si="268"/>
        <v>-1.3303417337724792E-9</v>
      </c>
      <c r="K1919" s="4">
        <f t="shared" si="269"/>
        <v>-2.4256088587240782E-9</v>
      </c>
      <c r="L1919" s="4">
        <f t="shared" si="270"/>
        <v>-7.6731592074161303E-10</v>
      </c>
      <c r="M1919" s="4">
        <f t="shared" si="271"/>
        <v>-8.8271832733432924E-10</v>
      </c>
      <c r="N1919" s="5">
        <f t="shared" si="272"/>
        <v>1.6339644086072129E-6</v>
      </c>
      <c r="O1919" s="5">
        <f t="shared" si="273"/>
        <v>1.2417764908567586E-7</v>
      </c>
      <c r="P1919" s="5">
        <f t="shared" si="274"/>
        <v>4.1857942307114286E-8</v>
      </c>
      <c r="Q1919" s="1">
        <f t="shared" si="275"/>
        <v>1.8000000000000031E-6</v>
      </c>
    </row>
    <row r="1920" spans="1:17" x14ac:dyDescent="0.25">
      <c r="A1920" s="1">
        <v>95.9</v>
      </c>
      <c r="B1920" s="1">
        <v>3.3115000000000002E-3</v>
      </c>
      <c r="C1920" s="1">
        <v>1.4956E-4</v>
      </c>
      <c r="D1920" s="1">
        <v>3.3291000000000001E-2</v>
      </c>
      <c r="E1920" s="1">
        <v>1.248E-3</v>
      </c>
      <c r="F1920" s="1">
        <v>9.0174999999999998E-8</v>
      </c>
      <c r="G1920" s="1">
        <v>6.7057000000000002</v>
      </c>
      <c r="H1920" s="1">
        <v>2.0029999999999999E-7</v>
      </c>
      <c r="I1920" s="1">
        <f t="shared" si="267"/>
        <v>2.0029999999999999E-7</v>
      </c>
      <c r="J1920" s="4">
        <f t="shared" si="268"/>
        <v>-1.3296358029015873E-9</v>
      </c>
      <c r="K1920" s="4">
        <f t="shared" si="269"/>
        <v>-2.42146415717123E-9</v>
      </c>
      <c r="L1920" s="4">
        <f t="shared" si="270"/>
        <v>-7.6529304662471525E-10</v>
      </c>
      <c r="M1920" s="4">
        <f t="shared" si="271"/>
        <v>-8.8033531363227423E-10</v>
      </c>
      <c r="N1920" s="5">
        <f t="shared" si="272"/>
        <v>1.6342909439148579E-6</v>
      </c>
      <c r="O1920" s="5">
        <f t="shared" si="273"/>
        <v>1.2396615604503849E-7</v>
      </c>
      <c r="P1920" s="5">
        <f t="shared" si="274"/>
        <v>4.1742900040106725E-8</v>
      </c>
      <c r="Q1920" s="1">
        <f t="shared" si="275"/>
        <v>1.8000000000000031E-6</v>
      </c>
    </row>
    <row r="1921" spans="1:17" x14ac:dyDescent="0.25">
      <c r="A1921" s="1">
        <v>95.95</v>
      </c>
      <c r="B1921" s="1">
        <v>3.3089E-3</v>
      </c>
      <c r="C1921" s="1">
        <v>1.495E-4</v>
      </c>
      <c r="D1921" s="1">
        <v>3.3292000000000002E-2</v>
      </c>
      <c r="E1921" s="1">
        <v>1.245E-3</v>
      </c>
      <c r="F1921" s="1">
        <v>9.0141E-8</v>
      </c>
      <c r="G1921" s="1">
        <v>6.7057000000000002</v>
      </c>
      <c r="H1921" s="1">
        <v>2.0031E-7</v>
      </c>
      <c r="I1921" s="1">
        <f t="shared" si="267"/>
        <v>2.0031E-7</v>
      </c>
      <c r="J1921" s="4">
        <f t="shared" si="268"/>
        <v>-1.3289286860603071E-9</v>
      </c>
      <c r="K1921" s="4">
        <f t="shared" si="269"/>
        <v>-2.4173400428781133E-9</v>
      </c>
      <c r="L1921" s="4">
        <f t="shared" si="270"/>
        <v>-7.6327002504502809E-10</v>
      </c>
      <c r="M1921" s="4">
        <f t="shared" si="271"/>
        <v>-8.7791580219345469E-10</v>
      </c>
      <c r="N1921" s="5">
        <f t="shared" si="272"/>
        <v>1.6346160852466306E-6</v>
      </c>
      <c r="O1921" s="5">
        <f t="shared" si="273"/>
        <v>1.2375566049041415E-7</v>
      </c>
      <c r="P1921" s="5">
        <f t="shared" si="274"/>
        <v>4.1628254262958297E-8</v>
      </c>
      <c r="Q1921" s="1">
        <f t="shared" si="275"/>
        <v>1.8000000000000031E-6</v>
      </c>
    </row>
    <row r="1922" spans="1:17" x14ac:dyDescent="0.25">
      <c r="A1922" s="1">
        <v>96</v>
      </c>
      <c r="B1922" s="1">
        <v>3.3062999999999999E-3</v>
      </c>
      <c r="C1922" s="1">
        <v>1.4944000000000001E-4</v>
      </c>
      <c r="D1922" s="1">
        <v>3.3293000000000003E-2</v>
      </c>
      <c r="E1922" s="1">
        <v>1.2419E-3</v>
      </c>
      <c r="F1922" s="1">
        <v>9.0109000000000003E-8</v>
      </c>
      <c r="G1922" s="1">
        <v>6.7057000000000002</v>
      </c>
      <c r="H1922" s="1">
        <v>2.0031E-7</v>
      </c>
      <c r="I1922" s="1">
        <f t="shared" si="267"/>
        <v>2.0031E-7</v>
      </c>
      <c r="J1922" s="4">
        <f t="shared" si="268"/>
        <v>-1.3281909344542904E-9</v>
      </c>
      <c r="K1922" s="4">
        <f t="shared" si="269"/>
        <v>-2.4132353795629388E-9</v>
      </c>
      <c r="L1922" s="4">
        <f t="shared" si="270"/>
        <v>-7.6129957628512033E-10</v>
      </c>
      <c r="M1922" s="4">
        <f t="shared" si="271"/>
        <v>-8.7554833919833376E-10</v>
      </c>
      <c r="N1922" s="5">
        <f t="shared" si="272"/>
        <v>1.6349398301154541E-6</v>
      </c>
      <c r="O1922" s="5">
        <f t="shared" si="273"/>
        <v>1.2354616438450383E-7</v>
      </c>
      <c r="P1922" s="5">
        <f t="shared" si="274"/>
        <v>4.1514005500045082E-8</v>
      </c>
      <c r="Q1922" s="1">
        <f t="shared" si="275"/>
        <v>1.8000000000000029E-6</v>
      </c>
    </row>
    <row r="1923" spans="1:17" x14ac:dyDescent="0.25">
      <c r="A1923" s="1">
        <v>96.05</v>
      </c>
      <c r="B1923" s="1">
        <v>3.3035999999999999E-3</v>
      </c>
      <c r="C1923" s="1">
        <v>1.4938000000000001E-4</v>
      </c>
      <c r="D1923" s="1">
        <v>3.3294999999999998E-2</v>
      </c>
      <c r="E1923" s="1">
        <v>1.2389E-3</v>
      </c>
      <c r="F1923" s="1">
        <v>9.0076000000000005E-8</v>
      </c>
      <c r="G1923" s="1">
        <v>6.7057000000000002</v>
      </c>
      <c r="H1923" s="1">
        <v>2.0032000000000001E-7</v>
      </c>
      <c r="I1923" s="1">
        <f t="shared" ref="I1923:I1986" si="276">H1923</f>
        <v>2.0032000000000001E-7</v>
      </c>
      <c r="J1923" s="4">
        <f t="shared" ref="J1923:J1986" si="277">(-$T$4*F1922^2*N1922)*(A1923-A1922)</f>
        <v>-1.3275109568121411E-9</v>
      </c>
      <c r="K1923" s="4">
        <f t="shared" ref="K1923:K1986" si="278">-O1922*$T$7*(A1923-A1922)</f>
        <v>-2.4091502054976878E-9</v>
      </c>
      <c r="L1923" s="4">
        <f t="shared" si="270"/>
        <v>-7.592847337835002E-10</v>
      </c>
      <c r="M1923" s="4">
        <f t="shared" si="271"/>
        <v>-8.7314539637992357E-10</v>
      </c>
      <c r="N1923" s="5">
        <f t="shared" si="272"/>
        <v>1.6352621846303561E-6</v>
      </c>
      <c r="O1923" s="5">
        <f t="shared" si="273"/>
        <v>1.2333767053219822E-7</v>
      </c>
      <c r="P1923" s="5">
        <f t="shared" si="274"/>
        <v>4.1400144837448663E-8</v>
      </c>
      <c r="Q1923" s="1">
        <f t="shared" si="275"/>
        <v>1.8000000000000029E-6</v>
      </c>
    </row>
    <row r="1924" spans="1:17" x14ac:dyDescent="0.25">
      <c r="A1924" s="1">
        <v>96.1</v>
      </c>
      <c r="B1924" s="1">
        <v>3.3010000000000001E-3</v>
      </c>
      <c r="C1924" s="1">
        <v>1.4931999999999999E-4</v>
      </c>
      <c r="D1924" s="1">
        <v>3.3295999999999999E-2</v>
      </c>
      <c r="E1924" s="1">
        <v>1.2359000000000001E-3</v>
      </c>
      <c r="F1924" s="1">
        <v>9.0042999999999994E-8</v>
      </c>
      <c r="G1924" s="1">
        <v>6.7055999999999996</v>
      </c>
      <c r="H1924" s="1">
        <v>2.0032000000000001E-7</v>
      </c>
      <c r="I1924" s="1">
        <f t="shared" si="276"/>
        <v>2.0032000000000001E-7</v>
      </c>
      <c r="J1924" s="4">
        <f t="shared" si="277"/>
        <v>-1.3268003527465253E-9</v>
      </c>
      <c r="K1924" s="4">
        <f t="shared" si="278"/>
        <v>-2.4050845753777287E-9</v>
      </c>
      <c r="L1924" s="4">
        <f t="shared" si="270"/>
        <v>-7.5732245788260253E-10</v>
      </c>
      <c r="M1924" s="4">
        <f t="shared" si="271"/>
        <v>-8.7079408645291074E-10</v>
      </c>
      <c r="N1924" s="5">
        <f t="shared" si="272"/>
        <v>1.6355831463951048E-6</v>
      </c>
      <c r="O1924" s="5">
        <f t="shared" si="273"/>
        <v>1.2313018039601997E-7</v>
      </c>
      <c r="P1924" s="5">
        <f t="shared" si="274"/>
        <v>4.1286673208878354E-8</v>
      </c>
      <c r="Q1924" s="1">
        <f t="shared" si="275"/>
        <v>1.8000000000000031E-6</v>
      </c>
    </row>
    <row r="1925" spans="1:17" x14ac:dyDescent="0.25">
      <c r="A1925" s="1">
        <v>96.15</v>
      </c>
      <c r="B1925" s="1">
        <v>3.2983999999999999E-3</v>
      </c>
      <c r="C1925" s="1">
        <v>1.4925999999999999E-4</v>
      </c>
      <c r="D1925" s="1">
        <v>3.3297E-2</v>
      </c>
      <c r="E1925" s="1">
        <v>1.2329000000000001E-3</v>
      </c>
      <c r="F1925" s="1">
        <v>9.0010999999999998E-8</v>
      </c>
      <c r="G1925" s="1">
        <v>6.7055999999999996</v>
      </c>
      <c r="H1925" s="1">
        <v>2.0032999999999999E-7</v>
      </c>
      <c r="I1925" s="1">
        <f t="shared" si="276"/>
        <v>2.0032999999999999E-7</v>
      </c>
      <c r="J1925" s="4">
        <f t="shared" si="277"/>
        <v>-1.32608859235497E-9</v>
      </c>
      <c r="K1925" s="4">
        <f t="shared" si="278"/>
        <v>-2.4010385177229354E-9</v>
      </c>
      <c r="L1925" s="4">
        <f t="shared" si="270"/>
        <v>-7.5536005007160539E-10</v>
      </c>
      <c r="M1925" s="4">
        <f t="shared" si="271"/>
        <v>-8.6840736960646114E-10</v>
      </c>
      <c r="N1925" s="5">
        <f t="shared" si="272"/>
        <v>1.6359027362704011E-6</v>
      </c>
      <c r="O1925" s="5">
        <f t="shared" si="273"/>
        <v>1.2292363784025846E-7</v>
      </c>
      <c r="P1925" s="5">
        <f t="shared" si="274"/>
        <v>4.1173625889343499E-8</v>
      </c>
      <c r="Q1925" s="1">
        <f t="shared" si="275"/>
        <v>1.8000000000000031E-6</v>
      </c>
    </row>
    <row r="1926" spans="1:17" x14ac:dyDescent="0.25">
      <c r="A1926" s="1">
        <v>96.2</v>
      </c>
      <c r="B1926" s="1">
        <v>3.2958000000000002E-3</v>
      </c>
      <c r="C1926" s="1">
        <v>1.4920999999999999E-4</v>
      </c>
      <c r="D1926" s="1">
        <v>3.3299000000000002E-2</v>
      </c>
      <c r="E1926" s="1">
        <v>1.2298999999999999E-3</v>
      </c>
      <c r="F1926" s="1">
        <v>8.9979000000000001E-8</v>
      </c>
      <c r="G1926" s="1">
        <v>6.7055999999999996</v>
      </c>
      <c r="H1926" s="1">
        <v>2.0032999999999999E-7</v>
      </c>
      <c r="I1926" s="1">
        <f t="shared" si="276"/>
        <v>2.0032999999999999E-7</v>
      </c>
      <c r="J1926" s="4">
        <f t="shared" si="277"/>
        <v>-1.3254051449151541E-9</v>
      </c>
      <c r="K1926" s="4">
        <f t="shared" si="278"/>
        <v>-2.397010937884904E-9</v>
      </c>
      <c r="L1926" s="4">
        <f t="shared" si="270"/>
        <v>-7.5340589629472615E-10</v>
      </c>
      <c r="M1926" s="4">
        <f t="shared" si="271"/>
        <v>-8.6607280981322995E-10</v>
      </c>
      <c r="N1926" s="5">
        <f t="shared" si="272"/>
        <v>1.6362209361670762E-6</v>
      </c>
      <c r="O1926" s="5">
        <f t="shared" si="273"/>
        <v>1.2271810485710193E-7</v>
      </c>
      <c r="P1926" s="5">
        <f t="shared" si="274"/>
        <v>4.1060958975825001E-8</v>
      </c>
      <c r="Q1926" s="1">
        <f t="shared" si="275"/>
        <v>1.8000000000000031E-6</v>
      </c>
    </row>
    <row r="1927" spans="1:17" x14ac:dyDescent="0.25">
      <c r="A1927" s="1">
        <v>96.25</v>
      </c>
      <c r="B1927" s="1">
        <v>3.2931000000000002E-3</v>
      </c>
      <c r="C1927" s="1">
        <v>1.4914999999999999E-4</v>
      </c>
      <c r="D1927" s="1">
        <v>3.3300000000000003E-2</v>
      </c>
      <c r="E1927" s="1">
        <v>1.2267999999999999E-3</v>
      </c>
      <c r="F1927" s="1">
        <v>8.9947000000000005E-8</v>
      </c>
      <c r="G1927" s="1">
        <v>6.7055999999999996</v>
      </c>
      <c r="H1927" s="1">
        <v>2.0034000000000001E-7</v>
      </c>
      <c r="I1927" s="1">
        <f t="shared" si="276"/>
        <v>2.0034000000000001E-7</v>
      </c>
      <c r="J1927" s="4">
        <f t="shared" si="277"/>
        <v>-1.3247205389387286E-9</v>
      </c>
      <c r="K1927" s="4">
        <f t="shared" si="278"/>
        <v>-2.3930030447133514E-9</v>
      </c>
      <c r="L1927" s="4">
        <f t="shared" si="270"/>
        <v>-7.5145158670235058E-10</v>
      </c>
      <c r="M1927" s="4">
        <f t="shared" si="271"/>
        <v>-8.6370290072078815E-10</v>
      </c>
      <c r="N1927" s="5">
        <f t="shared" si="272"/>
        <v>1.6365377670861486E-6</v>
      </c>
      <c r="O1927" s="5">
        <f t="shared" si="273"/>
        <v>1.2251352525204808E-7</v>
      </c>
      <c r="P1927" s="5">
        <f t="shared" si="274"/>
        <v>4.0948707661806569E-8</v>
      </c>
      <c r="Q1927" s="1">
        <f t="shared" si="275"/>
        <v>1.8000000000000033E-6</v>
      </c>
    </row>
    <row r="1928" spans="1:17" x14ac:dyDescent="0.25">
      <c r="A1928" s="1">
        <v>96.3</v>
      </c>
      <c r="B1928" s="1">
        <v>3.2905E-3</v>
      </c>
      <c r="C1928" s="1">
        <v>1.4909E-4</v>
      </c>
      <c r="D1928" s="1">
        <v>3.3300999999999997E-2</v>
      </c>
      <c r="E1928" s="1">
        <v>1.2239E-3</v>
      </c>
      <c r="F1928" s="1">
        <v>8.9914999999999995E-8</v>
      </c>
      <c r="G1928" s="1">
        <v>6.7055999999999996</v>
      </c>
      <c r="H1928" s="1">
        <v>2.0034999999999999E-7</v>
      </c>
      <c r="I1928" s="1">
        <f t="shared" si="276"/>
        <v>2.0034999999999999E-7</v>
      </c>
      <c r="J1928" s="4">
        <f t="shared" si="277"/>
        <v>-1.3240347940133638E-9</v>
      </c>
      <c r="K1928" s="4">
        <f t="shared" si="278"/>
        <v>-2.3890137424148019E-9</v>
      </c>
      <c r="L1928" s="4">
        <f t="shared" si="270"/>
        <v>-7.4943604833698919E-10</v>
      </c>
      <c r="M1928" s="4">
        <f t="shared" si="271"/>
        <v>-8.6138472976141563E-10</v>
      </c>
      <c r="N1928" s="5">
        <f t="shared" si="272"/>
        <v>1.636853309986213E-6</v>
      </c>
      <c r="O1928" s="5">
        <f t="shared" si="273"/>
        <v>1.2230993103340804E-7</v>
      </c>
      <c r="P1928" s="5">
        <f t="shared" si="274"/>
        <v>4.0836758980382144E-8</v>
      </c>
      <c r="Q1928" s="1">
        <f t="shared" si="275"/>
        <v>1.8000000000000033E-6</v>
      </c>
    </row>
    <row r="1929" spans="1:17" x14ac:dyDescent="0.25">
      <c r="A1929" s="1">
        <v>96.35</v>
      </c>
      <c r="B1929" s="1">
        <v>3.2880000000000001E-3</v>
      </c>
      <c r="C1929" s="1">
        <v>1.4903E-4</v>
      </c>
      <c r="D1929" s="1">
        <v>3.3302999999999999E-2</v>
      </c>
      <c r="E1929" s="1">
        <v>1.2209E-3</v>
      </c>
      <c r="F1929" s="1">
        <v>8.9883999999999999E-8</v>
      </c>
      <c r="G1929" s="1">
        <v>6.7055999999999996</v>
      </c>
      <c r="H1929" s="1">
        <v>2.0034999999999999E-7</v>
      </c>
      <c r="I1929" s="1">
        <f t="shared" si="276"/>
        <v>2.0034999999999999E-7</v>
      </c>
      <c r="J1929" s="4">
        <f t="shared" si="277"/>
        <v>-1.3233479781509948E-9</v>
      </c>
      <c r="K1929" s="4">
        <f t="shared" si="278"/>
        <v>-2.3850436551513212E-9</v>
      </c>
      <c r="L1929" s="4">
        <f t="shared" si="270"/>
        <v>-7.475425902691276E-10</v>
      </c>
      <c r="M1929" s="4">
        <f t="shared" si="271"/>
        <v>-8.5907268948050524E-10</v>
      </c>
      <c r="N1929" s="5">
        <f t="shared" si="272"/>
        <v>1.6371674630729444E-6</v>
      </c>
      <c r="O1929" s="5">
        <f t="shared" si="273"/>
        <v>1.2210730804588822E-7</v>
      </c>
      <c r="P1929" s="5">
        <f t="shared" si="274"/>
        <v>4.0725228881170773E-8</v>
      </c>
      <c r="Q1929" s="1">
        <f t="shared" si="275"/>
        <v>1.8000000000000035E-6</v>
      </c>
    </row>
    <row r="1930" spans="1:17" x14ac:dyDescent="0.25">
      <c r="A1930" s="1">
        <v>96.4</v>
      </c>
      <c r="B1930" s="1">
        <v>3.2854E-3</v>
      </c>
      <c r="C1930" s="1">
        <v>1.4898E-4</v>
      </c>
      <c r="D1930" s="1">
        <v>3.3304E-2</v>
      </c>
      <c r="E1930" s="1">
        <v>1.2179000000000001E-3</v>
      </c>
      <c r="F1930" s="1">
        <v>8.9852000000000003E-8</v>
      </c>
      <c r="G1930" s="1">
        <v>6.7055999999999996</v>
      </c>
      <c r="H1930" s="1">
        <v>2.0036E-7</v>
      </c>
      <c r="I1930" s="1">
        <f t="shared" si="276"/>
        <v>2.0036E-7</v>
      </c>
      <c r="J1930" s="4">
        <f t="shared" si="277"/>
        <v>-1.3226894423990278E-9</v>
      </c>
      <c r="K1930" s="4">
        <f t="shared" si="278"/>
        <v>-2.3810925068953619E-9</v>
      </c>
      <c r="L1930" s="4">
        <f t="shared" si="270"/>
        <v>-7.4559620087375255E-10</v>
      </c>
      <c r="M1930" s="4">
        <f t="shared" si="271"/>
        <v>-8.5672645866616387E-10</v>
      </c>
      <c r="N1930" s="5">
        <f t="shared" si="272"/>
        <v>1.637480269936567E-6</v>
      </c>
      <c r="O1930" s="5">
        <f t="shared" si="273"/>
        <v>1.2190563144005807E-7</v>
      </c>
      <c r="P1930" s="5">
        <f t="shared" si="274"/>
        <v>4.0614098623378365E-8</v>
      </c>
      <c r="Q1930" s="1">
        <f t="shared" si="275"/>
        <v>1.8000000000000033E-6</v>
      </c>
    </row>
    <row r="1931" spans="1:17" x14ac:dyDescent="0.25">
      <c r="A1931" s="1">
        <v>96.45</v>
      </c>
      <c r="B1931" s="1">
        <v>3.2828000000000002E-3</v>
      </c>
      <c r="C1931" s="1">
        <v>1.4892E-4</v>
      </c>
      <c r="D1931" s="1">
        <v>3.3305000000000001E-2</v>
      </c>
      <c r="E1931" s="1">
        <v>1.2149000000000001E-3</v>
      </c>
      <c r="F1931" s="1">
        <v>8.9820999999999994E-8</v>
      </c>
      <c r="G1931" s="1">
        <v>6.7055999999999996</v>
      </c>
      <c r="H1931" s="1">
        <v>2.0036E-7</v>
      </c>
      <c r="I1931" s="1">
        <f t="shared" si="276"/>
        <v>2.0036E-7</v>
      </c>
      <c r="J1931" s="4">
        <f t="shared" si="277"/>
        <v>-1.3220003579462166E-9</v>
      </c>
      <c r="K1931" s="4">
        <f t="shared" si="278"/>
        <v>-2.3771598130809974E-9</v>
      </c>
      <c r="L1931" s="4">
        <f t="shared" ref="L1931:L1994" si="279">-$T$5*F1930*E1930*(A1931-A1930)*N1930</f>
        <v>-7.4364138574124037E-10</v>
      </c>
      <c r="M1931" s="4">
        <f t="shared" ref="M1931:M1994" si="280">-P1930*$T$8*I1930*(A1931-A1930)</f>
        <v>-8.5443128401886076E-10</v>
      </c>
      <c r="N1931" s="5">
        <f t="shared" ref="N1931:N1994" si="281">N1930+J1931-K1931+L1931</f>
        <v>1.6377917880059604E-6</v>
      </c>
      <c r="O1931" s="5">
        <f t="shared" ref="O1931:O1994" si="282">-J1931+O1930+K1931-M1931</f>
        <v>1.2170490326894215E-7</v>
      </c>
      <c r="P1931" s="5">
        <f t="shared" ref="P1931:P1994" si="283">P1930-L1931+M1931</f>
        <v>4.0503308725100742E-8</v>
      </c>
      <c r="Q1931" s="1">
        <f t="shared" ref="Q1931:Q1994" si="284">N1931+O1931+P1931</f>
        <v>1.8000000000000033E-6</v>
      </c>
    </row>
    <row r="1932" spans="1:17" x14ac:dyDescent="0.25">
      <c r="A1932" s="1">
        <v>96.5</v>
      </c>
      <c r="B1932" s="1">
        <v>3.2802E-3</v>
      </c>
      <c r="C1932" s="1">
        <v>1.4887E-4</v>
      </c>
      <c r="D1932" s="1">
        <v>3.3307000000000003E-2</v>
      </c>
      <c r="E1932" s="1">
        <v>1.2118999999999999E-3</v>
      </c>
      <c r="F1932" s="1">
        <v>8.9789999999999999E-8</v>
      </c>
      <c r="G1932" s="1">
        <v>6.7054999999999998</v>
      </c>
      <c r="H1932" s="1">
        <v>2.0036999999999999E-7</v>
      </c>
      <c r="I1932" s="1">
        <f t="shared" si="276"/>
        <v>2.0036999999999999E-7</v>
      </c>
      <c r="J1932" s="4">
        <f t="shared" si="277"/>
        <v>-1.3213396307924654E-9</v>
      </c>
      <c r="K1932" s="4">
        <f t="shared" si="278"/>
        <v>-2.3732456137442371E-9</v>
      </c>
      <c r="L1932" s="4">
        <f t="shared" si="279"/>
        <v>-7.4169474815650363E-10</v>
      </c>
      <c r="M1932" s="4">
        <f t="shared" si="280"/>
        <v>-8.5210050829687594E-10</v>
      </c>
      <c r="N1932" s="5">
        <f t="shared" si="281"/>
        <v>1.6381019992407555E-6</v>
      </c>
      <c r="O1932" s="5">
        <f t="shared" si="282"/>
        <v>1.2150509779428729E-7</v>
      </c>
      <c r="P1932" s="5">
        <f t="shared" si="283"/>
        <v>4.0392902964960373E-8</v>
      </c>
      <c r="Q1932" s="1">
        <f t="shared" si="284"/>
        <v>1.8000000000000033E-6</v>
      </c>
    </row>
    <row r="1933" spans="1:17" x14ac:dyDescent="0.25">
      <c r="A1933" s="1">
        <v>96.55</v>
      </c>
      <c r="B1933" s="1">
        <v>3.2775999999999999E-3</v>
      </c>
      <c r="C1933" s="1">
        <v>1.4881000000000001E-4</v>
      </c>
      <c r="D1933" s="1">
        <v>3.3307999999999997E-2</v>
      </c>
      <c r="E1933" s="1">
        <v>1.209E-3</v>
      </c>
      <c r="F1933" s="1">
        <v>8.9759000000000003E-8</v>
      </c>
      <c r="G1933" s="1">
        <v>6.7054999999999998</v>
      </c>
      <c r="H1933" s="1">
        <v>2.0036999999999999E-7</v>
      </c>
      <c r="I1933" s="1">
        <f t="shared" si="276"/>
        <v>2.0036999999999999E-7</v>
      </c>
      <c r="J1933" s="4">
        <f t="shared" si="277"/>
        <v>-1.3206778178576233E-9</v>
      </c>
      <c r="K1933" s="4">
        <f t="shared" si="278"/>
        <v>-2.3693494069884678E-9</v>
      </c>
      <c r="L1933" s="4">
        <f t="shared" si="279"/>
        <v>-7.3974799052966514E-10</v>
      </c>
      <c r="M1933" s="4">
        <f t="shared" si="280"/>
        <v>-8.4982022654430819E-10</v>
      </c>
      <c r="N1933" s="5">
        <f t="shared" si="281"/>
        <v>1.6384109228393568E-6</v>
      </c>
      <c r="O1933" s="5">
        <f t="shared" si="282"/>
        <v>1.2130624643170075E-7</v>
      </c>
      <c r="P1933" s="5">
        <f t="shared" si="283"/>
        <v>4.0282830728945731E-8</v>
      </c>
      <c r="Q1933" s="1">
        <f t="shared" si="284"/>
        <v>1.8000000000000033E-6</v>
      </c>
    </row>
    <row r="1934" spans="1:17" x14ac:dyDescent="0.25">
      <c r="A1934" s="1">
        <v>96.6</v>
      </c>
      <c r="B1934" s="1">
        <v>3.2751E-3</v>
      </c>
      <c r="C1934" s="1">
        <v>1.4876000000000001E-4</v>
      </c>
      <c r="D1934" s="1">
        <v>3.3308999999999998E-2</v>
      </c>
      <c r="E1934" s="1">
        <v>1.206E-3</v>
      </c>
      <c r="F1934" s="1">
        <v>8.9727999999999995E-8</v>
      </c>
      <c r="G1934" s="1">
        <v>6.7054999999999998</v>
      </c>
      <c r="H1934" s="1">
        <v>2.0038E-7</v>
      </c>
      <c r="I1934" s="1">
        <f t="shared" si="276"/>
        <v>2.0038E-7</v>
      </c>
      <c r="J1934" s="4">
        <f t="shared" si="277"/>
        <v>-1.3200149369710081E-9</v>
      </c>
      <c r="K1934" s="4">
        <f t="shared" si="278"/>
        <v>-2.3654718054180304E-9</v>
      </c>
      <c r="L1934" s="4">
        <f t="shared" si="279"/>
        <v>-7.3786215800214859E-10</v>
      </c>
      <c r="M1934" s="4">
        <f t="shared" si="280"/>
        <v>-8.4750443328163167E-10</v>
      </c>
      <c r="N1934" s="5">
        <f t="shared" si="281"/>
        <v>1.6387185175498017E-6</v>
      </c>
      <c r="O1934" s="5">
        <f t="shared" si="282"/>
        <v>1.2110829399653535E-7</v>
      </c>
      <c r="P1934" s="5">
        <f t="shared" si="283"/>
        <v>4.0173188453666246E-8</v>
      </c>
      <c r="Q1934" s="1">
        <f t="shared" si="284"/>
        <v>1.8000000000000033E-6</v>
      </c>
    </row>
    <row r="1935" spans="1:17" x14ac:dyDescent="0.25">
      <c r="A1935" s="1">
        <v>96.65</v>
      </c>
      <c r="B1935" s="1">
        <v>3.2724999999999998E-3</v>
      </c>
      <c r="C1935" s="1">
        <v>1.4870000000000001E-4</v>
      </c>
      <c r="D1935" s="1">
        <v>3.3311E-2</v>
      </c>
      <c r="E1935" s="1">
        <v>1.2030999999999999E-3</v>
      </c>
      <c r="F1935" s="1">
        <v>8.9696999999999999E-8</v>
      </c>
      <c r="G1935" s="1">
        <v>6.7054999999999998</v>
      </c>
      <c r="H1935" s="1">
        <v>2.0038E-7</v>
      </c>
      <c r="I1935" s="1">
        <f t="shared" si="276"/>
        <v>2.0038E-7</v>
      </c>
      <c r="J1935" s="4">
        <f t="shared" si="277"/>
        <v>-1.3193509572487956E-9</v>
      </c>
      <c r="K1935" s="4">
        <f t="shared" si="278"/>
        <v>-2.3616117329329762E-9</v>
      </c>
      <c r="L1935" s="4">
        <f t="shared" si="279"/>
        <v>-7.3591516649590966E-10</v>
      </c>
      <c r="M1935" s="4">
        <f t="shared" si="280"/>
        <v>-8.4523986774648467E-10</v>
      </c>
      <c r="N1935" s="5">
        <f t="shared" si="281"/>
        <v>1.6390248631589898E-6</v>
      </c>
      <c r="O1935" s="5">
        <f t="shared" si="282"/>
        <v>1.2091127308859766E-7</v>
      </c>
      <c r="P1935" s="5">
        <f t="shared" si="283"/>
        <v>4.0063863752415674E-8</v>
      </c>
      <c r="Q1935" s="1">
        <f t="shared" si="284"/>
        <v>1.8000000000000031E-6</v>
      </c>
    </row>
    <row r="1936" spans="1:17" x14ac:dyDescent="0.25">
      <c r="A1936" s="1">
        <v>96.7</v>
      </c>
      <c r="B1936" s="1">
        <v>3.2699999999999999E-3</v>
      </c>
      <c r="C1936" s="1">
        <v>1.4865000000000001E-4</v>
      </c>
      <c r="D1936" s="1">
        <v>3.3312000000000001E-2</v>
      </c>
      <c r="E1936" s="1">
        <v>1.2001E-3</v>
      </c>
      <c r="F1936" s="1">
        <v>8.9667000000000005E-8</v>
      </c>
      <c r="G1936" s="1">
        <v>6.7054999999999998</v>
      </c>
      <c r="H1936" s="1">
        <v>2.0039000000000001E-7</v>
      </c>
      <c r="I1936" s="1">
        <f t="shared" si="276"/>
        <v>2.0039000000000001E-7</v>
      </c>
      <c r="J1936" s="4">
        <f t="shared" si="277"/>
        <v>-1.3186859452784035E-9</v>
      </c>
      <c r="K1936" s="4">
        <f t="shared" si="278"/>
        <v>-2.3577698252275203E-9</v>
      </c>
      <c r="L1936" s="4">
        <f t="shared" si="279"/>
        <v>-7.340291093539871E-10</v>
      </c>
      <c r="M1936" s="4">
        <f t="shared" si="280"/>
        <v>-8.4293968696440251E-10</v>
      </c>
      <c r="N1936" s="5">
        <f t="shared" si="281"/>
        <v>1.6393299179295849E-6</v>
      </c>
      <c r="O1936" s="5">
        <f t="shared" si="282"/>
        <v>1.2071512889561295E-7</v>
      </c>
      <c r="P1936" s="5">
        <f t="shared" si="283"/>
        <v>3.9954953174805264E-8</v>
      </c>
      <c r="Q1936" s="1">
        <f t="shared" si="284"/>
        <v>1.8000000000000031E-6</v>
      </c>
    </row>
    <row r="1937" spans="1:17" x14ac:dyDescent="0.25">
      <c r="A1937" s="1">
        <v>96.75</v>
      </c>
      <c r="B1937" s="1">
        <v>3.2674000000000002E-3</v>
      </c>
      <c r="C1937" s="1">
        <v>1.4859000000000001E-4</v>
      </c>
      <c r="D1937" s="1">
        <v>3.3313000000000002E-2</v>
      </c>
      <c r="E1937" s="1">
        <v>1.1972E-3</v>
      </c>
      <c r="F1937" s="1">
        <v>8.9636999999999997E-8</v>
      </c>
      <c r="G1937" s="1">
        <v>6.7054999999999998</v>
      </c>
      <c r="H1937" s="1">
        <v>2.0039000000000001E-7</v>
      </c>
      <c r="I1937" s="1">
        <f t="shared" si="276"/>
        <v>2.0039000000000001E-7</v>
      </c>
      <c r="J1937" s="4">
        <f t="shared" si="277"/>
        <v>-1.3180492683603459E-9</v>
      </c>
      <c r="K1937" s="4">
        <f t="shared" si="278"/>
        <v>-2.3539450134643189E-9</v>
      </c>
      <c r="L1937" s="4">
        <f t="shared" si="279"/>
        <v>-7.3209010526513564E-10</v>
      </c>
      <c r="M1937" s="4">
        <f t="shared" si="280"/>
        <v>-8.4069017200337111E-10</v>
      </c>
      <c r="N1937" s="5">
        <f t="shared" si="281"/>
        <v>1.6396337235694236E-6</v>
      </c>
      <c r="O1937" s="5">
        <f t="shared" si="282"/>
        <v>1.2051992332251236E-7</v>
      </c>
      <c r="P1937" s="5">
        <f t="shared" si="283"/>
        <v>3.9846353108067033E-8</v>
      </c>
      <c r="Q1937" s="1">
        <f t="shared" si="284"/>
        <v>1.8000000000000029E-6</v>
      </c>
    </row>
    <row r="1938" spans="1:17" x14ac:dyDescent="0.25">
      <c r="A1938" s="1">
        <v>96.8</v>
      </c>
      <c r="B1938" s="1">
        <v>3.2648999999999998E-3</v>
      </c>
      <c r="C1938" s="1">
        <v>1.4854000000000001E-4</v>
      </c>
      <c r="D1938" s="1">
        <v>3.3314999999999997E-2</v>
      </c>
      <c r="E1938" s="1">
        <v>1.1942999999999999E-3</v>
      </c>
      <c r="F1938" s="1">
        <v>8.9606000000000002E-8</v>
      </c>
      <c r="G1938" s="1">
        <v>6.7054999999999998</v>
      </c>
      <c r="H1938" s="1">
        <v>2.0039999999999999E-7</v>
      </c>
      <c r="I1938" s="1">
        <f t="shared" si="276"/>
        <v>2.0039999999999999E-7</v>
      </c>
      <c r="J1938" s="4">
        <f t="shared" si="277"/>
        <v>-1.3174115546309675E-9</v>
      </c>
      <c r="K1938" s="4">
        <f t="shared" si="278"/>
        <v>-2.3501385047888574E-9</v>
      </c>
      <c r="L1938" s="4">
        <f t="shared" si="279"/>
        <v>-7.3021199056164383E-10</v>
      </c>
      <c r="M1938" s="4">
        <f t="shared" si="280"/>
        <v>-8.3840512342913552E-10</v>
      </c>
      <c r="N1938" s="5">
        <f t="shared" si="281"/>
        <v>1.6399362385290198E-6</v>
      </c>
      <c r="O1938" s="5">
        <f t="shared" si="282"/>
        <v>1.2032560149578363E-7</v>
      </c>
      <c r="P1938" s="5">
        <f t="shared" si="283"/>
        <v>3.9738159975199543E-8</v>
      </c>
      <c r="Q1938" s="1">
        <f t="shared" si="284"/>
        <v>1.8000000000000029E-6</v>
      </c>
    </row>
    <row r="1939" spans="1:17" x14ac:dyDescent="0.25">
      <c r="A1939" s="1">
        <v>96.85</v>
      </c>
      <c r="B1939" s="1">
        <v>3.2623999999999999E-3</v>
      </c>
      <c r="C1939" s="1">
        <v>1.4847999999999999E-4</v>
      </c>
      <c r="D1939" s="1">
        <v>3.3315999999999998E-2</v>
      </c>
      <c r="E1939" s="1">
        <v>1.1914E-3</v>
      </c>
      <c r="F1939" s="1">
        <v>8.9575999999999994E-8</v>
      </c>
      <c r="G1939" s="1">
        <v>6.7054999999999998</v>
      </c>
      <c r="H1939" s="1">
        <v>2.0039999999999999E-7</v>
      </c>
      <c r="I1939" s="1">
        <f t="shared" si="276"/>
        <v>2.0039999999999999E-7</v>
      </c>
      <c r="J1939" s="4">
        <f t="shared" si="277"/>
        <v>-1.3167433831189758E-9</v>
      </c>
      <c r="K1939" s="4">
        <f t="shared" si="278"/>
        <v>-2.3463492291676474E-9</v>
      </c>
      <c r="L1939" s="4">
        <f t="shared" si="279"/>
        <v>-7.2832561248184499E-10</v>
      </c>
      <c r="M1939" s="4">
        <f t="shared" si="280"/>
        <v>-8.3617036219810134E-10</v>
      </c>
      <c r="N1939" s="5">
        <f t="shared" si="281"/>
        <v>1.6402375187625866E-6</v>
      </c>
      <c r="O1939" s="5">
        <f t="shared" si="282"/>
        <v>1.2013216601193303E-7</v>
      </c>
      <c r="P1939" s="5">
        <f t="shared" si="283"/>
        <v>3.963031522548329E-8</v>
      </c>
      <c r="Q1939" s="1">
        <f t="shared" si="284"/>
        <v>1.8000000000000029E-6</v>
      </c>
    </row>
    <row r="1940" spans="1:17" x14ac:dyDescent="0.25">
      <c r="A1940" s="1">
        <v>96.9</v>
      </c>
      <c r="B1940" s="1">
        <v>3.2598000000000002E-3</v>
      </c>
      <c r="C1940" s="1">
        <v>1.4842999999999999E-4</v>
      </c>
      <c r="D1940" s="1">
        <v>3.3316999999999999E-2</v>
      </c>
      <c r="E1940" s="1">
        <v>1.1885000000000001E-3</v>
      </c>
      <c r="F1940" s="1">
        <v>8.9547000000000001E-8</v>
      </c>
      <c r="G1940" s="1">
        <v>6.7054</v>
      </c>
      <c r="H1940" s="1">
        <v>2.0041000000000001E-7</v>
      </c>
      <c r="I1940" s="1">
        <f t="shared" si="276"/>
        <v>2.0041000000000001E-7</v>
      </c>
      <c r="J1940" s="4">
        <f t="shared" si="277"/>
        <v>-1.3161035849888157E-9</v>
      </c>
      <c r="K1940" s="4">
        <f t="shared" si="278"/>
        <v>-2.342577237233227E-9</v>
      </c>
      <c r="L1940" s="4">
        <f t="shared" si="279"/>
        <v>-7.2644727564258851E-10</v>
      </c>
      <c r="M1940" s="4">
        <f t="shared" si="280"/>
        <v>-8.3390109297480895E-10</v>
      </c>
      <c r="N1940" s="5">
        <f t="shared" si="281"/>
        <v>1.6405375451391884E-6</v>
      </c>
      <c r="O1940" s="5">
        <f t="shared" si="282"/>
        <v>1.1993959345266341E-7</v>
      </c>
      <c r="P1940" s="5">
        <f t="shared" si="283"/>
        <v>3.9522861408151072E-8</v>
      </c>
      <c r="Q1940" s="1">
        <f t="shared" si="284"/>
        <v>1.8000000000000029E-6</v>
      </c>
    </row>
    <row r="1941" spans="1:17" x14ac:dyDescent="0.25">
      <c r="A1941" s="1">
        <v>96.95</v>
      </c>
      <c r="B1941" s="1">
        <v>3.2572999999999999E-3</v>
      </c>
      <c r="C1941" s="1">
        <v>1.4838000000000001E-4</v>
      </c>
      <c r="D1941" s="1">
        <v>3.3318E-2</v>
      </c>
      <c r="E1941" s="1">
        <v>1.1856E-3</v>
      </c>
      <c r="F1941" s="1">
        <v>8.9516999999999994E-8</v>
      </c>
      <c r="G1941" s="1">
        <v>6.7054</v>
      </c>
      <c r="H1941" s="1">
        <v>2.0041000000000001E-7</v>
      </c>
      <c r="I1941" s="1">
        <f t="shared" si="276"/>
        <v>2.0041000000000001E-7</v>
      </c>
      <c r="J1941" s="4">
        <f t="shared" si="277"/>
        <v>-1.3154921337265127E-9</v>
      </c>
      <c r="K1941" s="4">
        <f t="shared" si="278"/>
        <v>-2.3388220723268036E-9</v>
      </c>
      <c r="L1941" s="4">
        <f t="shared" si="279"/>
        <v>-7.2457692204941961E-10</v>
      </c>
      <c r="M1941" s="4">
        <f t="shared" si="280"/>
        <v>-8.3168154875474632E-10</v>
      </c>
      <c r="N1941" s="5">
        <f t="shared" si="281"/>
        <v>1.6408362981557393E-6</v>
      </c>
      <c r="O1941" s="5">
        <f t="shared" si="282"/>
        <v>1.1974794506281788E-7</v>
      </c>
      <c r="P1941" s="5">
        <f t="shared" si="283"/>
        <v>3.9415756781445746E-8</v>
      </c>
      <c r="Q1941" s="1">
        <f t="shared" si="284"/>
        <v>1.8000000000000029E-6</v>
      </c>
    </row>
    <row r="1942" spans="1:17" x14ac:dyDescent="0.25">
      <c r="A1942" s="1">
        <v>97</v>
      </c>
      <c r="B1942" s="1">
        <v>3.2548E-3</v>
      </c>
      <c r="C1942" s="1">
        <v>1.4831999999999999E-4</v>
      </c>
      <c r="D1942" s="1">
        <v>3.3320000000000002E-2</v>
      </c>
      <c r="E1942" s="1">
        <v>1.1827000000000001E-3</v>
      </c>
      <c r="F1942" s="1">
        <v>8.9486999999999999E-8</v>
      </c>
      <c r="G1942" s="1">
        <v>6.7054</v>
      </c>
      <c r="H1942" s="1">
        <v>2.0041999999999999E-7</v>
      </c>
      <c r="I1942" s="1">
        <f t="shared" si="276"/>
        <v>2.0041999999999999E-7</v>
      </c>
      <c r="J1942" s="4">
        <f t="shared" si="277"/>
        <v>-1.314850249635824E-9</v>
      </c>
      <c r="K1942" s="4">
        <f t="shared" si="278"/>
        <v>-2.3350849287248159E-9</v>
      </c>
      <c r="L1942" s="4">
        <f t="shared" si="279"/>
        <v>-7.2269834693613137E-10</v>
      </c>
      <c r="M1942" s="4">
        <f t="shared" si="280"/>
        <v>-8.2942774073975482E-10</v>
      </c>
      <c r="N1942" s="5">
        <f t="shared" si="281"/>
        <v>1.6411338344878922E-6</v>
      </c>
      <c r="O1942" s="5">
        <f t="shared" si="282"/>
        <v>1.1955713812446865E-7</v>
      </c>
      <c r="P1942" s="5">
        <f t="shared" si="283"/>
        <v>3.9309027387642124E-8</v>
      </c>
      <c r="Q1942" s="1">
        <f t="shared" si="284"/>
        <v>1.8000000000000029E-6</v>
      </c>
    </row>
    <row r="1943" spans="1:17" x14ac:dyDescent="0.25">
      <c r="A1943" s="1">
        <v>97.05</v>
      </c>
      <c r="B1943" s="1">
        <v>3.2523000000000001E-3</v>
      </c>
      <c r="C1943" s="1">
        <v>1.4826999999999999E-4</v>
      </c>
      <c r="D1943" s="1">
        <v>3.3321000000000003E-2</v>
      </c>
      <c r="E1943" s="1">
        <v>1.1797999999999999E-3</v>
      </c>
      <c r="F1943" s="1">
        <v>8.9458000000000006E-8</v>
      </c>
      <c r="G1943" s="1">
        <v>6.7054</v>
      </c>
      <c r="H1943" s="1">
        <v>2.0041999999999999E-7</v>
      </c>
      <c r="I1943" s="1">
        <f t="shared" si="276"/>
        <v>2.0041999999999999E-7</v>
      </c>
      <c r="J1943" s="4">
        <f t="shared" si="277"/>
        <v>-1.3142073656624657E-9</v>
      </c>
      <c r="K1943" s="4">
        <f t="shared" si="278"/>
        <v>-2.3313641934270059E-9</v>
      </c>
      <c r="L1943" s="4">
        <f t="shared" si="279"/>
        <v>-7.2081969036634843E-10</v>
      </c>
      <c r="M1943" s="4">
        <f t="shared" si="280"/>
        <v>-8.2722310324823251E-10</v>
      </c>
      <c r="N1943" s="5">
        <f t="shared" si="281"/>
        <v>1.6414301716252902E-6</v>
      </c>
      <c r="O1943" s="5">
        <f t="shared" si="282"/>
        <v>1.1936720439995235E-7</v>
      </c>
      <c r="P1943" s="5">
        <f t="shared" si="283"/>
        <v>3.9202623974760241E-8</v>
      </c>
      <c r="Q1943" s="1">
        <f t="shared" si="284"/>
        <v>1.8000000000000029E-6</v>
      </c>
    </row>
    <row r="1944" spans="1:17" x14ac:dyDescent="0.25">
      <c r="A1944" s="1">
        <v>97.1</v>
      </c>
      <c r="B1944" s="1">
        <v>3.2498000000000002E-3</v>
      </c>
      <c r="C1944" s="1">
        <v>1.4821999999999999E-4</v>
      </c>
      <c r="D1944" s="1">
        <v>3.3321999999999997E-2</v>
      </c>
      <c r="E1944" s="1">
        <v>1.1769E-3</v>
      </c>
      <c r="F1944" s="1">
        <v>8.9429E-8</v>
      </c>
      <c r="G1944" s="1">
        <v>6.7054</v>
      </c>
      <c r="H1944" s="1">
        <v>2.0043E-7</v>
      </c>
      <c r="I1944" s="1">
        <f t="shared" si="276"/>
        <v>2.0043E-7</v>
      </c>
      <c r="J1944" s="4">
        <f t="shared" si="277"/>
        <v>-1.3135928655713279E-9</v>
      </c>
      <c r="K1944" s="4">
        <f t="shared" si="278"/>
        <v>-2.3276604857989384E-9</v>
      </c>
      <c r="L1944" s="4">
        <f t="shared" si="279"/>
        <v>-7.1894900183598669E-10</v>
      </c>
      <c r="M1944" s="4">
        <f t="shared" si="280"/>
        <v>-8.2498393918720504E-10</v>
      </c>
      <c r="N1944" s="5">
        <f t="shared" si="281"/>
        <v>1.6417252902436818E-6</v>
      </c>
      <c r="O1944" s="5">
        <f t="shared" si="282"/>
        <v>1.1917812071891194E-7</v>
      </c>
      <c r="P1944" s="5">
        <f t="shared" si="283"/>
        <v>3.9096589037409019E-8</v>
      </c>
      <c r="Q1944" s="1">
        <f t="shared" si="284"/>
        <v>1.8000000000000027E-6</v>
      </c>
    </row>
    <row r="1945" spans="1:17" x14ac:dyDescent="0.25">
      <c r="A1945" s="1">
        <v>97.15</v>
      </c>
      <c r="B1945" s="1">
        <v>3.2472999999999998E-3</v>
      </c>
      <c r="C1945" s="1">
        <v>1.4817000000000001E-4</v>
      </c>
      <c r="D1945" s="1">
        <v>3.3323999999999999E-2</v>
      </c>
      <c r="E1945" s="1">
        <v>1.1739999999999999E-3</v>
      </c>
      <c r="F1945" s="1">
        <v>8.9400000000000006E-8</v>
      </c>
      <c r="G1945" s="1">
        <v>6.7054</v>
      </c>
      <c r="H1945" s="1">
        <v>2.0043E-7</v>
      </c>
      <c r="I1945" s="1">
        <f t="shared" si="276"/>
        <v>2.0043E-7</v>
      </c>
      <c r="J1945" s="4">
        <f t="shared" si="277"/>
        <v>-1.3129773595400917E-9</v>
      </c>
      <c r="K1945" s="4">
        <f t="shared" si="278"/>
        <v>-2.3239733540193116E-9</v>
      </c>
      <c r="L1945" s="4">
        <f t="shared" si="279"/>
        <v>-7.1707820460223731E-10</v>
      </c>
      <c r="M1945" s="4">
        <f t="shared" si="280"/>
        <v>-8.2279358078081552E-10</v>
      </c>
      <c r="N1945" s="5">
        <f t="shared" si="281"/>
        <v>1.6420192080335587E-6</v>
      </c>
      <c r="O1945" s="5">
        <f t="shared" si="282"/>
        <v>1.1898991830521354E-7</v>
      </c>
      <c r="P1945" s="5">
        <f t="shared" si="283"/>
        <v>3.8990873661230438E-8</v>
      </c>
      <c r="Q1945" s="1">
        <f t="shared" si="284"/>
        <v>1.8000000000000027E-6</v>
      </c>
    </row>
    <row r="1946" spans="1:17" x14ac:dyDescent="0.25">
      <c r="A1946" s="1">
        <v>97.2</v>
      </c>
      <c r="B1946" s="1">
        <v>3.2447999999999999E-3</v>
      </c>
      <c r="C1946" s="1">
        <v>1.4812000000000001E-4</v>
      </c>
      <c r="D1946" s="1">
        <v>3.3325E-2</v>
      </c>
      <c r="E1946" s="1">
        <v>1.1711E-3</v>
      </c>
      <c r="F1946" s="1">
        <v>8.9371E-8</v>
      </c>
      <c r="G1946" s="1">
        <v>6.7054</v>
      </c>
      <c r="H1946" s="1">
        <v>2.0043999999999999E-7</v>
      </c>
      <c r="I1946" s="1">
        <f t="shared" si="276"/>
        <v>2.0043999999999999E-7</v>
      </c>
      <c r="J1946" s="4">
        <f t="shared" si="277"/>
        <v>-1.3123608637518347E-9</v>
      </c>
      <c r="K1946" s="4">
        <f t="shared" si="278"/>
        <v>-2.3203034069515326E-9</v>
      </c>
      <c r="L1946" s="4">
        <f t="shared" si="279"/>
        <v>-7.1520731144131028E-10</v>
      </c>
      <c r="M1946" s="4">
        <f t="shared" si="280"/>
        <v>-8.2056878483159705E-10</v>
      </c>
      <c r="N1946" s="5">
        <f t="shared" si="281"/>
        <v>1.6423119432653169E-6</v>
      </c>
      <c r="O1946" s="5">
        <f t="shared" si="282"/>
        <v>1.1880254454684545E-7</v>
      </c>
      <c r="P1946" s="5">
        <f t="shared" si="283"/>
        <v>3.8885512187840149E-8</v>
      </c>
      <c r="Q1946" s="1">
        <f t="shared" si="284"/>
        <v>1.8000000000000025E-6</v>
      </c>
    </row>
    <row r="1947" spans="1:17" x14ac:dyDescent="0.25">
      <c r="A1947" s="1">
        <v>97.25</v>
      </c>
      <c r="B1947" s="1">
        <v>3.2423E-3</v>
      </c>
      <c r="C1947" s="1">
        <v>1.4805999999999999E-4</v>
      </c>
      <c r="D1947" s="1">
        <v>3.3326000000000001E-2</v>
      </c>
      <c r="E1947" s="1">
        <v>1.1682999999999999E-3</v>
      </c>
      <c r="F1947" s="1">
        <v>8.9341999999999994E-8</v>
      </c>
      <c r="G1947" s="1">
        <v>6.7054</v>
      </c>
      <c r="H1947" s="1">
        <v>2.0043999999999999E-7</v>
      </c>
      <c r="I1947" s="1">
        <f t="shared" si="276"/>
        <v>2.0043999999999999E-7</v>
      </c>
      <c r="J1947" s="4">
        <f t="shared" si="277"/>
        <v>-1.3117433948171364E-9</v>
      </c>
      <c r="K1947" s="4">
        <f t="shared" si="278"/>
        <v>-2.3166496186633545E-9</v>
      </c>
      <c r="L1947" s="4">
        <f t="shared" si="279"/>
        <v>-7.1333633529130783E-10</v>
      </c>
      <c r="M1947" s="4">
        <f t="shared" si="280"/>
        <v>-8.183922666076748E-10</v>
      </c>
      <c r="N1947" s="5">
        <f t="shared" si="281"/>
        <v>1.6426035131538719E-6</v>
      </c>
      <c r="O1947" s="5">
        <f t="shared" si="282"/>
        <v>1.1861603058960691E-7</v>
      </c>
      <c r="P1947" s="5">
        <f t="shared" si="283"/>
        <v>3.8780456256523783E-8</v>
      </c>
      <c r="Q1947" s="1">
        <f t="shared" si="284"/>
        <v>1.8000000000000025E-6</v>
      </c>
    </row>
    <row r="1948" spans="1:17" x14ac:dyDescent="0.25">
      <c r="A1948" s="1">
        <v>97.3</v>
      </c>
      <c r="B1948" s="1">
        <v>3.2398000000000001E-3</v>
      </c>
      <c r="C1948" s="1">
        <v>1.4800999999999999E-4</v>
      </c>
      <c r="D1948" s="1">
        <v>3.3327000000000002E-2</v>
      </c>
      <c r="E1948" s="1">
        <v>1.1654E-3</v>
      </c>
      <c r="F1948" s="1">
        <v>8.9313E-8</v>
      </c>
      <c r="G1948" s="1">
        <v>6.7054</v>
      </c>
      <c r="H1948" s="1">
        <v>2.0045E-7</v>
      </c>
      <c r="I1948" s="1">
        <f t="shared" si="276"/>
        <v>2.0045E-7</v>
      </c>
      <c r="J1948" s="4">
        <f t="shared" si="277"/>
        <v>-1.3111249684635138E-9</v>
      </c>
      <c r="K1948" s="4">
        <f t="shared" si="278"/>
        <v>-2.3130125964972033E-9</v>
      </c>
      <c r="L1948" s="4">
        <f t="shared" si="279"/>
        <v>-7.1152619123391939E-10</v>
      </c>
      <c r="M1948" s="4">
        <f t="shared" si="280"/>
        <v>-8.1618123846600442E-10</v>
      </c>
      <c r="N1948" s="5">
        <f t="shared" si="281"/>
        <v>1.6428938745906716E-6</v>
      </c>
      <c r="O1948" s="5">
        <f t="shared" si="282"/>
        <v>1.1843032420003922E-7</v>
      </c>
      <c r="P1948" s="5">
        <f t="shared" si="283"/>
        <v>3.8675801209291698E-8</v>
      </c>
      <c r="Q1948" s="1">
        <f t="shared" si="284"/>
        <v>1.8000000000000025E-6</v>
      </c>
    </row>
    <row r="1949" spans="1:17" x14ac:dyDescent="0.25">
      <c r="A1949" s="1">
        <v>97.35</v>
      </c>
      <c r="B1949" s="1">
        <v>3.2374000000000001E-3</v>
      </c>
      <c r="C1949" s="1">
        <v>1.4796000000000001E-4</v>
      </c>
      <c r="D1949" s="1">
        <v>3.3328999999999998E-2</v>
      </c>
      <c r="E1949" s="1">
        <v>1.1626E-3</v>
      </c>
      <c r="F1949" s="1">
        <v>8.9284999999999995E-8</v>
      </c>
      <c r="G1949" s="1">
        <v>6.7053000000000003</v>
      </c>
      <c r="H1949" s="1">
        <v>2.0045E-7</v>
      </c>
      <c r="I1949" s="1">
        <f t="shared" si="276"/>
        <v>2.0045E-7</v>
      </c>
      <c r="J1949" s="4">
        <f t="shared" si="277"/>
        <v>-1.310505552263091E-9</v>
      </c>
      <c r="K1949" s="4">
        <f t="shared" si="278"/>
        <v>-2.3093913219006337E-9</v>
      </c>
      <c r="L1949" s="4">
        <f t="shared" si="279"/>
        <v>-7.0965505111470175E-10</v>
      </c>
      <c r="M1949" s="4">
        <f t="shared" si="280"/>
        <v>-8.1401925700221832E-10</v>
      </c>
      <c r="N1949" s="5">
        <f t="shared" si="281"/>
        <v>1.6431831053091946E-6</v>
      </c>
      <c r="O1949" s="5">
        <f t="shared" si="282"/>
        <v>1.1824545768740391E-7</v>
      </c>
      <c r="P1949" s="5">
        <f t="shared" si="283"/>
        <v>3.8571437003404184E-8</v>
      </c>
      <c r="Q1949" s="1">
        <f t="shared" si="284"/>
        <v>1.8000000000000027E-6</v>
      </c>
    </row>
    <row r="1950" spans="1:17" x14ac:dyDescent="0.25">
      <c r="A1950" s="1">
        <v>97.4</v>
      </c>
      <c r="B1950" s="1">
        <v>3.2349000000000002E-3</v>
      </c>
      <c r="C1950" s="1">
        <v>1.4791000000000001E-4</v>
      </c>
      <c r="D1950" s="1">
        <v>3.3329999999999999E-2</v>
      </c>
      <c r="E1950" s="1">
        <v>1.1597000000000001E-3</v>
      </c>
      <c r="F1950" s="1">
        <v>8.9256000000000002E-8</v>
      </c>
      <c r="G1950" s="1">
        <v>6.7053000000000003</v>
      </c>
      <c r="H1950" s="1">
        <v>2.0046000000000001E-7</v>
      </c>
      <c r="I1950" s="1">
        <f t="shared" si="276"/>
        <v>2.0046000000000001E-7</v>
      </c>
      <c r="J1950" s="4">
        <f t="shared" si="277"/>
        <v>-1.3099145523637173E-9</v>
      </c>
      <c r="K1950" s="4">
        <f t="shared" si="278"/>
        <v>-2.3057864249049005E-9</v>
      </c>
      <c r="L1950" s="4">
        <f t="shared" si="279"/>
        <v>-7.0785267772850293E-10</v>
      </c>
      <c r="M1950" s="4">
        <f t="shared" si="280"/>
        <v>-8.1182267747008344E-10</v>
      </c>
      <c r="N1950" s="5">
        <f t="shared" si="281"/>
        <v>1.6434711245040071E-6</v>
      </c>
      <c r="O1950" s="5">
        <f t="shared" si="282"/>
        <v>1.1806140849233279E-7</v>
      </c>
      <c r="P1950" s="5">
        <f t="shared" si="283"/>
        <v>3.8467467003662606E-8</v>
      </c>
      <c r="Q1950" s="1">
        <f t="shared" si="284"/>
        <v>1.8000000000000025E-6</v>
      </c>
    </row>
    <row r="1951" spans="1:17" x14ac:dyDescent="0.25">
      <c r="A1951" s="1">
        <v>97.45</v>
      </c>
      <c r="B1951" s="1">
        <v>3.2323999999999999E-3</v>
      </c>
      <c r="C1951" s="1">
        <v>1.4786000000000001E-4</v>
      </c>
      <c r="D1951" s="1">
        <v>3.3331E-2</v>
      </c>
      <c r="E1951" s="1">
        <v>1.1569E-3</v>
      </c>
      <c r="F1951" s="1">
        <v>8.9227999999999997E-8</v>
      </c>
      <c r="G1951" s="1">
        <v>6.7053000000000003</v>
      </c>
      <c r="H1951" s="1">
        <v>2.0046000000000001E-7</v>
      </c>
      <c r="I1951" s="1">
        <f t="shared" si="276"/>
        <v>2.0046000000000001E-7</v>
      </c>
      <c r="J1951" s="4">
        <f t="shared" si="277"/>
        <v>-1.3092932175920512E-9</v>
      </c>
      <c r="K1951" s="4">
        <f t="shared" si="278"/>
        <v>-2.302197465600359E-9</v>
      </c>
      <c r="L1951" s="4">
        <f t="shared" si="279"/>
        <v>-7.0598138830243706E-10</v>
      </c>
      <c r="M1951" s="4">
        <f t="shared" si="280"/>
        <v>-8.0967478573314566E-10</v>
      </c>
      <c r="N1951" s="5">
        <f t="shared" si="281"/>
        <v>1.6437580473637132E-6</v>
      </c>
      <c r="O1951" s="5">
        <f t="shared" si="282"/>
        <v>1.1787817903005765E-7</v>
      </c>
      <c r="P1951" s="5">
        <f t="shared" si="283"/>
        <v>3.8363773606231899E-8</v>
      </c>
      <c r="Q1951" s="1">
        <f t="shared" si="284"/>
        <v>1.8000000000000029E-6</v>
      </c>
    </row>
    <row r="1952" spans="1:17" x14ac:dyDescent="0.25">
      <c r="A1952" s="1">
        <v>97.5</v>
      </c>
      <c r="B1952" s="1">
        <v>3.2299999999999998E-3</v>
      </c>
      <c r="C1952" s="1">
        <v>1.4781000000000001E-4</v>
      </c>
      <c r="D1952" s="1">
        <v>3.3332000000000001E-2</v>
      </c>
      <c r="E1952" s="1">
        <v>1.1540999999999999E-3</v>
      </c>
      <c r="F1952" s="1">
        <v>8.9200000000000005E-8</v>
      </c>
      <c r="G1952" s="1">
        <v>6.7053000000000003</v>
      </c>
      <c r="H1952" s="1">
        <v>2.0046999999999999E-7</v>
      </c>
      <c r="I1952" s="1">
        <f t="shared" si="276"/>
        <v>2.0046999999999999E-7</v>
      </c>
      <c r="J1952" s="4">
        <f t="shared" si="277"/>
        <v>-1.3087003218879771E-9</v>
      </c>
      <c r="K1952" s="4">
        <f t="shared" si="278"/>
        <v>-2.2986244910859934E-9</v>
      </c>
      <c r="L1952" s="4">
        <f t="shared" si="279"/>
        <v>-7.0417883623163504E-10</v>
      </c>
      <c r="M1952" s="4">
        <f t="shared" si="280"/>
        <v>-8.0749221599600498E-10</v>
      </c>
      <c r="N1952" s="5">
        <f t="shared" si="281"/>
        <v>1.6440437926966798E-6</v>
      </c>
      <c r="O1952" s="5">
        <f t="shared" si="282"/>
        <v>1.1769574707685563E-7</v>
      </c>
      <c r="P1952" s="5">
        <f t="shared" si="283"/>
        <v>3.8260460226467534E-8</v>
      </c>
      <c r="Q1952" s="1">
        <f t="shared" si="284"/>
        <v>1.8000000000000029E-6</v>
      </c>
    </row>
    <row r="1953" spans="1:17" x14ac:dyDescent="0.25">
      <c r="A1953" s="1">
        <v>97.55</v>
      </c>
      <c r="B1953" s="1">
        <v>3.2274999999999999E-3</v>
      </c>
      <c r="C1953" s="1">
        <v>1.4776000000000001E-4</v>
      </c>
      <c r="D1953" s="1">
        <v>3.3334000000000003E-2</v>
      </c>
      <c r="E1953" s="1">
        <v>1.1513000000000001E-3</v>
      </c>
      <c r="F1953" s="1">
        <v>8.9171999999999999E-8</v>
      </c>
      <c r="G1953" s="1">
        <v>6.7053000000000003</v>
      </c>
      <c r="H1953" s="1">
        <v>2.0046999999999999E-7</v>
      </c>
      <c r="I1953" s="1">
        <f t="shared" si="276"/>
        <v>2.0046999999999999E-7</v>
      </c>
      <c r="J1953" s="4">
        <f t="shared" si="277"/>
        <v>-1.3081064602721367E-9</v>
      </c>
      <c r="K1953" s="4">
        <f t="shared" si="278"/>
        <v>-2.2950670679985546E-9</v>
      </c>
      <c r="L1953" s="4">
        <f t="shared" si="279"/>
        <v>-7.0237617859532547E-10</v>
      </c>
      <c r="M1953" s="4">
        <f t="shared" si="280"/>
        <v>-8.053578184679486E-10</v>
      </c>
      <c r="N1953" s="5">
        <f t="shared" si="281"/>
        <v>1.6443283771258109E-6</v>
      </c>
      <c r="O1953" s="5">
        <f t="shared" si="282"/>
        <v>1.1751414428759716E-7</v>
      </c>
      <c r="P1953" s="5">
        <f t="shared" si="283"/>
        <v>3.8157478586594909E-8</v>
      </c>
      <c r="Q1953" s="1">
        <f t="shared" si="284"/>
        <v>1.8000000000000029E-6</v>
      </c>
    </row>
    <row r="1954" spans="1:17" x14ac:dyDescent="0.25">
      <c r="A1954" s="1">
        <v>97.6</v>
      </c>
      <c r="B1954" s="1">
        <v>3.2250999999999998E-3</v>
      </c>
      <c r="C1954" s="1">
        <v>1.4771000000000001E-4</v>
      </c>
      <c r="D1954" s="1">
        <v>3.3334999999999997E-2</v>
      </c>
      <c r="E1954" s="1">
        <v>1.1485E-3</v>
      </c>
      <c r="F1954" s="1">
        <v>8.9143999999999994E-8</v>
      </c>
      <c r="G1954" s="1">
        <v>6.7053000000000003</v>
      </c>
      <c r="H1954" s="1">
        <v>2.0048000000000001E-7</v>
      </c>
      <c r="I1954" s="1">
        <f t="shared" si="276"/>
        <v>2.0048000000000001E-7</v>
      </c>
      <c r="J1954" s="4">
        <f t="shared" si="277"/>
        <v>-1.3075116478617597E-9</v>
      </c>
      <c r="K1954" s="4">
        <f t="shared" si="278"/>
        <v>-2.2915258136080142E-9</v>
      </c>
      <c r="L1954" s="4">
        <f t="shared" si="279"/>
        <v>-7.0057342717001564E-10</v>
      </c>
      <c r="M1954" s="4">
        <f t="shared" si="280"/>
        <v>-8.031901218866959E-10</v>
      </c>
      <c r="N1954" s="5">
        <f t="shared" si="281"/>
        <v>1.644611817864387E-6</v>
      </c>
      <c r="O1954" s="5">
        <f t="shared" si="282"/>
        <v>1.173333202437376E-7</v>
      </c>
      <c r="P1954" s="5">
        <f t="shared" si="283"/>
        <v>3.8054861891878231E-8</v>
      </c>
      <c r="Q1954" s="1">
        <f t="shared" si="284"/>
        <v>1.8000000000000029E-6</v>
      </c>
    </row>
    <row r="1955" spans="1:17" x14ac:dyDescent="0.25">
      <c r="A1955" s="1">
        <v>97.65</v>
      </c>
      <c r="B1955" s="1">
        <v>3.2226999999999998E-3</v>
      </c>
      <c r="C1955" s="1">
        <v>1.4766000000000001E-4</v>
      </c>
      <c r="D1955" s="1">
        <v>3.3335999999999998E-2</v>
      </c>
      <c r="E1955" s="1">
        <v>1.1456999999999999E-3</v>
      </c>
      <c r="F1955" s="1">
        <v>8.9117000000000003E-8</v>
      </c>
      <c r="G1955" s="1">
        <v>6.7053000000000003</v>
      </c>
      <c r="H1955" s="1">
        <v>2.0048000000000001E-7</v>
      </c>
      <c r="I1955" s="1">
        <f t="shared" si="276"/>
        <v>2.0048000000000001E-7</v>
      </c>
      <c r="J1955" s="4">
        <f t="shared" si="277"/>
        <v>-1.3069159002092935E-9</v>
      </c>
      <c r="K1955" s="4">
        <f t="shared" si="278"/>
        <v>-2.2879997447534034E-9</v>
      </c>
      <c r="L1955" s="4">
        <f t="shared" si="279"/>
        <v>-6.9877059390088513E-10</v>
      </c>
      <c r="M1955" s="4">
        <f t="shared" si="280"/>
        <v>-8.0107006476897568E-10</v>
      </c>
      <c r="N1955" s="5">
        <f t="shared" si="281"/>
        <v>1.6448941311150304E-6</v>
      </c>
      <c r="O1955" s="5">
        <f t="shared" si="282"/>
        <v>1.1715330646396247E-7</v>
      </c>
      <c r="P1955" s="5">
        <f t="shared" si="283"/>
        <v>3.7952562421010145E-8</v>
      </c>
      <c r="Q1955" s="1">
        <f t="shared" si="284"/>
        <v>1.8000000000000029E-6</v>
      </c>
    </row>
    <row r="1956" spans="1:17" x14ac:dyDescent="0.25">
      <c r="A1956" s="1">
        <v>97.7</v>
      </c>
      <c r="B1956" s="1">
        <v>3.2201999999999999E-3</v>
      </c>
      <c r="C1956" s="1">
        <v>1.4761E-4</v>
      </c>
      <c r="D1956" s="1">
        <v>3.3336999999999999E-2</v>
      </c>
      <c r="E1956" s="1">
        <v>1.1429000000000001E-3</v>
      </c>
      <c r="F1956" s="1">
        <v>8.9088999999999998E-8</v>
      </c>
      <c r="G1956" s="1">
        <v>6.7053000000000003</v>
      </c>
      <c r="H1956" s="1">
        <v>2.0048999999999999E-7</v>
      </c>
      <c r="I1956" s="1">
        <f t="shared" si="276"/>
        <v>2.0048999999999999E-7</v>
      </c>
      <c r="J1956" s="4">
        <f t="shared" si="277"/>
        <v>-1.3063485494691776E-9</v>
      </c>
      <c r="K1956" s="4">
        <f t="shared" si="278"/>
        <v>-2.2844894760471384E-9</v>
      </c>
      <c r="L1956" s="4">
        <f t="shared" si="279"/>
        <v>-6.9697551112317206E-10</v>
      </c>
      <c r="M1956" s="4">
        <f t="shared" si="280"/>
        <v>-7.9891661998718656E-10</v>
      </c>
      <c r="N1956" s="5">
        <f t="shared" si="281"/>
        <v>1.645175296530485E-6</v>
      </c>
      <c r="O1956" s="5">
        <f t="shared" si="282"/>
        <v>1.169740821573717E-7</v>
      </c>
      <c r="P1956" s="5">
        <f t="shared" si="283"/>
        <v>3.7850621312146128E-8</v>
      </c>
      <c r="Q1956" s="1">
        <f t="shared" si="284"/>
        <v>1.8000000000000027E-6</v>
      </c>
    </row>
    <row r="1957" spans="1:17" x14ac:dyDescent="0.25">
      <c r="A1957" s="1">
        <v>97.75</v>
      </c>
      <c r="B1957" s="1">
        <v>3.2177999999999998E-3</v>
      </c>
      <c r="C1957" s="1">
        <v>1.4756E-4</v>
      </c>
      <c r="D1957" s="1">
        <v>3.3339000000000001E-2</v>
      </c>
      <c r="E1957" s="1">
        <v>1.1401E-3</v>
      </c>
      <c r="F1957" s="1">
        <v>8.9061999999999994E-8</v>
      </c>
      <c r="G1957" s="1">
        <v>6.7053000000000003</v>
      </c>
      <c r="H1957" s="1">
        <v>2.0048999999999999E-7</v>
      </c>
      <c r="I1957" s="1">
        <f t="shared" si="276"/>
        <v>2.0048999999999999E-7</v>
      </c>
      <c r="J1957" s="4">
        <f t="shared" si="277"/>
        <v>-1.3057509422298389E-9</v>
      </c>
      <c r="K1957" s="4">
        <f t="shared" si="278"/>
        <v>-2.2809946020686185E-9</v>
      </c>
      <c r="L1957" s="4">
        <f t="shared" si="279"/>
        <v>-6.9517251515665283E-10</v>
      </c>
      <c r="M1957" s="4">
        <f t="shared" si="280"/>
        <v>-7.968104620215333E-10</v>
      </c>
      <c r="N1957" s="5">
        <f t="shared" si="281"/>
        <v>1.6454553676751669E-6</v>
      </c>
      <c r="O1957" s="5">
        <f t="shared" si="282"/>
        <v>1.1679564895955445E-7</v>
      </c>
      <c r="P1957" s="5">
        <f t="shared" si="283"/>
        <v>3.7748983365281245E-8</v>
      </c>
      <c r="Q1957" s="1">
        <f t="shared" si="284"/>
        <v>1.8000000000000027E-6</v>
      </c>
    </row>
    <row r="1958" spans="1:17" x14ac:dyDescent="0.25">
      <c r="A1958" s="1">
        <v>97.8</v>
      </c>
      <c r="B1958" s="1">
        <v>3.2154000000000002E-3</v>
      </c>
      <c r="C1958" s="1">
        <v>1.4751E-4</v>
      </c>
      <c r="D1958" s="1">
        <v>3.3340000000000002E-2</v>
      </c>
      <c r="E1958" s="1">
        <v>1.1372999999999999E-3</v>
      </c>
      <c r="F1958" s="1">
        <v>8.9035000000000003E-8</v>
      </c>
      <c r="G1958" s="1">
        <v>6.7051999999999996</v>
      </c>
      <c r="H1958" s="1">
        <v>2.005E-7</v>
      </c>
      <c r="I1958" s="1">
        <f t="shared" si="276"/>
        <v>2.005E-7</v>
      </c>
      <c r="J1958" s="4">
        <f t="shared" si="277"/>
        <v>-1.3051817537922349E-9</v>
      </c>
      <c r="K1958" s="4">
        <f t="shared" si="278"/>
        <v>-2.2775151547111823E-9</v>
      </c>
      <c r="L1958" s="4">
        <f t="shared" si="279"/>
        <v>-6.9337725714882758E-10</v>
      </c>
      <c r="M1958" s="4">
        <f t="shared" si="280"/>
        <v>-7.9467083586500469E-10</v>
      </c>
      <c r="N1958" s="5">
        <f t="shared" si="281"/>
        <v>1.6457343238189371E-6</v>
      </c>
      <c r="O1958" s="5">
        <f t="shared" si="282"/>
        <v>1.1661798639450051E-7</v>
      </c>
      <c r="P1958" s="5">
        <f t="shared" si="283"/>
        <v>3.7647689786565069E-8</v>
      </c>
      <c r="Q1958" s="1">
        <f t="shared" si="284"/>
        <v>1.8000000000000029E-6</v>
      </c>
    </row>
    <row r="1959" spans="1:17" x14ac:dyDescent="0.25">
      <c r="A1959" s="1">
        <v>97.85</v>
      </c>
      <c r="B1959" s="1">
        <v>3.2130000000000001E-3</v>
      </c>
      <c r="C1959" s="1">
        <v>1.4746E-4</v>
      </c>
      <c r="D1959" s="1">
        <v>3.3341000000000003E-2</v>
      </c>
      <c r="E1959" s="1">
        <v>1.1345000000000001E-3</v>
      </c>
      <c r="F1959" s="1">
        <v>8.9007999999999999E-8</v>
      </c>
      <c r="G1959" s="1">
        <v>6.7051999999999996</v>
      </c>
      <c r="H1959" s="1">
        <v>2.005E-7</v>
      </c>
      <c r="I1959" s="1">
        <f t="shared" si="276"/>
        <v>2.005E-7</v>
      </c>
      <c r="J1959" s="4">
        <f t="shared" si="277"/>
        <v>-1.3046116519830998E-9</v>
      </c>
      <c r="K1959" s="4">
        <f t="shared" si="278"/>
        <v>-2.2740507346926305E-9</v>
      </c>
      <c r="L1959" s="4">
        <f t="shared" si="279"/>
        <v>-6.9158191182923282E-10</v>
      </c>
      <c r="M1959" s="4">
        <f t="shared" si="280"/>
        <v>-7.9257798923161601E-10</v>
      </c>
      <c r="N1959" s="5">
        <f t="shared" si="281"/>
        <v>1.6460121809898176E-6</v>
      </c>
      <c r="O1959" s="5">
        <f t="shared" si="282"/>
        <v>1.164411253010226E-7</v>
      </c>
      <c r="P1959" s="5">
        <f t="shared" si="283"/>
        <v>3.7546693709162688E-8</v>
      </c>
      <c r="Q1959" s="1">
        <f t="shared" si="284"/>
        <v>1.8000000000000029E-6</v>
      </c>
    </row>
    <row r="1960" spans="1:17" x14ac:dyDescent="0.25">
      <c r="A1960" s="1">
        <v>97.9</v>
      </c>
      <c r="B1960" s="1">
        <v>3.2106000000000001E-3</v>
      </c>
      <c r="C1960" s="1">
        <v>1.4741E-4</v>
      </c>
      <c r="D1960" s="1">
        <v>3.3341999999999997E-2</v>
      </c>
      <c r="E1960" s="1">
        <v>1.1317E-3</v>
      </c>
      <c r="F1960" s="1">
        <v>8.8980999999999995E-8</v>
      </c>
      <c r="G1960" s="1">
        <v>6.7051999999999996</v>
      </c>
      <c r="H1960" s="1">
        <v>2.0050999999999999E-7</v>
      </c>
      <c r="I1960" s="1">
        <f t="shared" si="276"/>
        <v>2.0050999999999999E-7</v>
      </c>
      <c r="J1960" s="4">
        <f t="shared" si="277"/>
        <v>-1.3040406512313818E-9</v>
      </c>
      <c r="K1960" s="4">
        <f t="shared" si="278"/>
        <v>-2.270601943370457E-9</v>
      </c>
      <c r="L1960" s="4">
        <f t="shared" si="279"/>
        <v>-6.8978649032798314E-10</v>
      </c>
      <c r="M1960" s="4">
        <f t="shared" si="280"/>
        <v>-7.9045176931232714E-10</v>
      </c>
      <c r="N1960" s="5">
        <f t="shared" si="281"/>
        <v>1.6462889557916286E-6</v>
      </c>
      <c r="O1960" s="5">
        <f t="shared" si="282"/>
        <v>1.1626501577819585E-7</v>
      </c>
      <c r="P1960" s="5">
        <f t="shared" si="283"/>
        <v>3.7446028430178347E-8</v>
      </c>
      <c r="Q1960" s="1">
        <f t="shared" si="284"/>
        <v>1.8000000000000029E-6</v>
      </c>
    </row>
    <row r="1961" spans="1:17" x14ac:dyDescent="0.25">
      <c r="A1961" s="1">
        <v>97.95</v>
      </c>
      <c r="B1961" s="1">
        <v>3.2082E-3</v>
      </c>
      <c r="C1961" s="1">
        <v>1.4736999999999999E-4</v>
      </c>
      <c r="D1961" s="1">
        <v>3.3342999999999998E-2</v>
      </c>
      <c r="E1961" s="1">
        <v>1.129E-3</v>
      </c>
      <c r="F1961" s="1">
        <v>8.8954000000000004E-8</v>
      </c>
      <c r="G1961" s="1">
        <v>6.7051999999999996</v>
      </c>
      <c r="H1961" s="1">
        <v>2.0050999999999999E-7</v>
      </c>
      <c r="I1961" s="1">
        <f t="shared" si="276"/>
        <v>2.0050999999999999E-7</v>
      </c>
      <c r="J1961" s="4">
        <f t="shared" si="277"/>
        <v>-1.3034687663886572E-9</v>
      </c>
      <c r="K1961" s="4">
        <f t="shared" si="278"/>
        <v>-2.2671678076746904E-9</v>
      </c>
      <c r="L1961" s="4">
        <f t="shared" si="279"/>
        <v>-6.8799100393640005E-10</v>
      </c>
      <c r="M1961" s="4">
        <f t="shared" si="280"/>
        <v>-7.8837183185613645E-10</v>
      </c>
      <c r="N1961" s="5">
        <f t="shared" si="281"/>
        <v>1.6465646638289783E-6</v>
      </c>
      <c r="O1961" s="5">
        <f t="shared" si="282"/>
        <v>1.1608968856876596E-7</v>
      </c>
      <c r="P1961" s="5">
        <f t="shared" si="283"/>
        <v>3.7345647602258609E-8</v>
      </c>
      <c r="Q1961" s="1">
        <f t="shared" si="284"/>
        <v>1.8000000000000029E-6</v>
      </c>
    </row>
    <row r="1962" spans="1:17" x14ac:dyDescent="0.25">
      <c r="A1962" s="1">
        <v>98</v>
      </c>
      <c r="B1962" s="1">
        <v>3.2058E-3</v>
      </c>
      <c r="C1962" s="1">
        <v>1.4731999999999999E-4</v>
      </c>
      <c r="D1962" s="1">
        <v>3.3345E-2</v>
      </c>
      <c r="E1962" s="1">
        <v>1.1261999999999999E-3</v>
      </c>
      <c r="F1962" s="1">
        <v>8.8926999999999999E-8</v>
      </c>
      <c r="G1962" s="1">
        <v>6.7051999999999996</v>
      </c>
      <c r="H1962" s="1">
        <v>2.0052E-7</v>
      </c>
      <c r="I1962" s="1">
        <f t="shared" si="276"/>
        <v>2.0052E-7</v>
      </c>
      <c r="J1962" s="4">
        <f t="shared" si="277"/>
        <v>-1.3028960114851996E-9</v>
      </c>
      <c r="K1962" s="4">
        <f t="shared" si="278"/>
        <v>-2.2637489270908076E-9</v>
      </c>
      <c r="L1962" s="4">
        <f t="shared" si="279"/>
        <v>-6.8625624788229625E-10</v>
      </c>
      <c r="M1962" s="4">
        <f t="shared" si="280"/>
        <v>-7.8625845907648696E-10</v>
      </c>
      <c r="N1962" s="5">
        <f t="shared" si="281"/>
        <v>1.6468392604967018E-6</v>
      </c>
      <c r="O1962" s="5">
        <f t="shared" si="282"/>
        <v>1.1591509411223684E-7</v>
      </c>
      <c r="P1962" s="5">
        <f t="shared" si="283"/>
        <v>3.7245645391064422E-8</v>
      </c>
      <c r="Q1962" s="1">
        <f t="shared" si="284"/>
        <v>1.8000000000000031E-6</v>
      </c>
    </row>
    <row r="1963" spans="1:17" x14ac:dyDescent="0.25">
      <c r="A1963" s="1">
        <v>98.05</v>
      </c>
      <c r="B1963" s="1">
        <v>3.2033999999999999E-3</v>
      </c>
      <c r="C1963" s="1">
        <v>1.4726999999999999E-4</v>
      </c>
      <c r="D1963" s="1">
        <v>3.3346000000000001E-2</v>
      </c>
      <c r="E1963" s="1">
        <v>1.1234999999999999E-3</v>
      </c>
      <c r="F1963" s="1">
        <v>8.8899999999999995E-8</v>
      </c>
      <c r="G1963" s="1">
        <v>6.7051999999999996</v>
      </c>
      <c r="H1963" s="1">
        <v>2.0052E-7</v>
      </c>
      <c r="I1963" s="1">
        <f t="shared" si="276"/>
        <v>2.0052E-7</v>
      </c>
      <c r="J1963" s="4">
        <f t="shared" si="277"/>
        <v>-1.3023223529049161E-9</v>
      </c>
      <c r="K1963" s="4">
        <f t="shared" si="278"/>
        <v>-2.2603443351884901E-9</v>
      </c>
      <c r="L1963" s="4">
        <f t="shared" si="279"/>
        <v>-6.8446063067935418E-10</v>
      </c>
      <c r="M1963" s="4">
        <f t="shared" si="280"/>
        <v>-7.8419216545066039E-10</v>
      </c>
      <c r="N1963" s="5">
        <f t="shared" si="281"/>
        <v>1.6471128218483059E-6</v>
      </c>
      <c r="O1963" s="5">
        <f t="shared" si="282"/>
        <v>1.1574126429540394E-7</v>
      </c>
      <c r="P1963" s="5">
        <f t="shared" si="283"/>
        <v>3.7145913856293118E-8</v>
      </c>
      <c r="Q1963" s="1">
        <f t="shared" si="284"/>
        <v>1.8000000000000031E-6</v>
      </c>
    </row>
    <row r="1964" spans="1:17" x14ac:dyDescent="0.25">
      <c r="A1964" s="1">
        <v>98.1</v>
      </c>
      <c r="B1964" s="1">
        <v>3.2009999999999999E-3</v>
      </c>
      <c r="C1964" s="1">
        <v>1.4721999999999999E-4</v>
      </c>
      <c r="D1964" s="1">
        <v>3.3347000000000002E-2</v>
      </c>
      <c r="E1964" s="1">
        <v>1.1207000000000001E-3</v>
      </c>
      <c r="F1964" s="1">
        <v>8.8874000000000006E-8</v>
      </c>
      <c r="G1964" s="1">
        <v>6.7051999999999996</v>
      </c>
      <c r="H1964" s="1">
        <v>2.0053000000000001E-7</v>
      </c>
      <c r="I1964" s="1">
        <f t="shared" si="276"/>
        <v>2.0053000000000001E-7</v>
      </c>
      <c r="J1964" s="4">
        <f t="shared" si="277"/>
        <v>-1.3017478524759008E-9</v>
      </c>
      <c r="K1964" s="4">
        <f t="shared" si="278"/>
        <v>-2.2569546537602485E-9</v>
      </c>
      <c r="L1964" s="4">
        <f t="shared" si="279"/>
        <v>-6.8272574869124855E-10</v>
      </c>
      <c r="M1964" s="4">
        <f t="shared" si="280"/>
        <v>-7.8209235787866461E-10</v>
      </c>
      <c r="N1964" s="5">
        <f t="shared" si="281"/>
        <v>1.6473853029008989E-6</v>
      </c>
      <c r="O1964" s="5">
        <f t="shared" si="282"/>
        <v>1.1556814985199826E-7</v>
      </c>
      <c r="P1964" s="5">
        <f t="shared" si="283"/>
        <v>3.7046547247105701E-8</v>
      </c>
      <c r="Q1964" s="1">
        <f t="shared" si="284"/>
        <v>1.8000000000000029E-6</v>
      </c>
    </row>
    <row r="1965" spans="1:17" x14ac:dyDescent="0.25">
      <c r="A1965" s="1">
        <v>98.15</v>
      </c>
      <c r="B1965" s="1">
        <v>3.1985999999999998E-3</v>
      </c>
      <c r="C1965" s="1">
        <v>1.4718000000000001E-4</v>
      </c>
      <c r="D1965" s="1">
        <v>3.3348000000000003E-2</v>
      </c>
      <c r="E1965" s="1">
        <v>1.1180000000000001E-3</v>
      </c>
      <c r="F1965" s="1">
        <v>8.8848000000000003E-8</v>
      </c>
      <c r="G1965" s="1">
        <v>6.7051999999999996</v>
      </c>
      <c r="H1965" s="1">
        <v>2.0053000000000001E-7</v>
      </c>
      <c r="I1965" s="1">
        <f t="shared" si="276"/>
        <v>2.0053000000000001E-7</v>
      </c>
      <c r="J1965" s="4">
        <f t="shared" si="277"/>
        <v>-1.3012017580596587E-9</v>
      </c>
      <c r="K1965" s="4">
        <f t="shared" si="278"/>
        <v>-2.2535789221144785E-9</v>
      </c>
      <c r="L1965" s="4">
        <f t="shared" si="279"/>
        <v>-6.8093770535459831E-10</v>
      </c>
      <c r="M1965" s="4">
        <f t="shared" si="280"/>
        <v>-7.8003913254369865E-10</v>
      </c>
      <c r="N1965" s="5">
        <f t="shared" si="281"/>
        <v>1.6476567423595991E-6</v>
      </c>
      <c r="O1965" s="5">
        <f t="shared" si="282"/>
        <v>1.1539581182048713E-7</v>
      </c>
      <c r="P1965" s="5">
        <f t="shared" si="283"/>
        <v>3.6947445819916603E-8</v>
      </c>
      <c r="Q1965" s="1">
        <f t="shared" si="284"/>
        <v>1.8000000000000027E-6</v>
      </c>
    </row>
    <row r="1966" spans="1:17" x14ac:dyDescent="0.25">
      <c r="A1966" s="1">
        <v>98.2</v>
      </c>
      <c r="B1966" s="1">
        <v>3.1963E-3</v>
      </c>
      <c r="C1966" s="1">
        <v>1.4713000000000001E-4</v>
      </c>
      <c r="D1966" s="1">
        <v>3.3349999999999998E-2</v>
      </c>
      <c r="E1966" s="1">
        <v>1.1153000000000001E-3</v>
      </c>
      <c r="F1966" s="1">
        <v>8.8820999999999998E-8</v>
      </c>
      <c r="G1966" s="1">
        <v>6.7051999999999996</v>
      </c>
      <c r="H1966" s="1">
        <v>2.0053999999999999E-7</v>
      </c>
      <c r="I1966" s="1">
        <f t="shared" si="276"/>
        <v>2.0053999999999999E-7</v>
      </c>
      <c r="J1966" s="4">
        <f t="shared" si="277"/>
        <v>-1.3006548122869738E-9</v>
      </c>
      <c r="K1966" s="4">
        <f t="shared" si="278"/>
        <v>-2.2502183304993713E-9</v>
      </c>
      <c r="L1966" s="4">
        <f t="shared" si="279"/>
        <v>-6.7921035167565656E-10</v>
      </c>
      <c r="M1966" s="4">
        <f t="shared" si="280"/>
        <v>-7.779524875780828E-10</v>
      </c>
      <c r="N1966" s="5">
        <f t="shared" si="281"/>
        <v>1.6479270955261358E-6</v>
      </c>
      <c r="O1966" s="5">
        <f t="shared" si="282"/>
        <v>1.1522420078985282E-7</v>
      </c>
      <c r="P1966" s="5">
        <f t="shared" si="283"/>
        <v>3.6848703684014173E-8</v>
      </c>
      <c r="Q1966" s="1">
        <f t="shared" si="284"/>
        <v>1.8000000000000029E-6</v>
      </c>
    </row>
    <row r="1967" spans="1:17" x14ac:dyDescent="0.25">
      <c r="A1967" s="1">
        <v>98.25</v>
      </c>
      <c r="B1967" s="1">
        <v>3.1939E-3</v>
      </c>
      <c r="C1967" s="1">
        <v>1.4708000000000001E-4</v>
      </c>
      <c r="D1967" s="1">
        <v>3.3350999999999999E-2</v>
      </c>
      <c r="E1967" s="1">
        <v>1.1125E-3</v>
      </c>
      <c r="F1967" s="1">
        <v>8.8794999999999995E-8</v>
      </c>
      <c r="G1967" s="1">
        <v>6.7050999999999998</v>
      </c>
      <c r="H1967" s="1">
        <v>2.0053999999999999E-7</v>
      </c>
      <c r="I1967" s="1">
        <f t="shared" si="276"/>
        <v>2.0053999999999999E-7</v>
      </c>
      <c r="J1967" s="4">
        <f t="shared" si="277"/>
        <v>-1.3000777071776197E-9</v>
      </c>
      <c r="K1967" s="4">
        <f t="shared" si="278"/>
        <v>-2.2468719154020024E-9</v>
      </c>
      <c r="L1967" s="4">
        <f t="shared" si="279"/>
        <v>-6.7747527806296685E-10</v>
      </c>
      <c r="M1967" s="4">
        <f t="shared" si="280"/>
        <v>-7.7591209886313714E-10</v>
      </c>
      <c r="N1967" s="5">
        <f t="shared" si="281"/>
        <v>1.6481964144562974E-6</v>
      </c>
      <c r="O1967" s="5">
        <f t="shared" si="282"/>
        <v>1.1505331868049157E-7</v>
      </c>
      <c r="P1967" s="5">
        <f t="shared" si="283"/>
        <v>3.6750266863214003E-8</v>
      </c>
      <c r="Q1967" s="1">
        <f t="shared" si="284"/>
        <v>1.8000000000000029E-6</v>
      </c>
    </row>
    <row r="1968" spans="1:17" x14ac:dyDescent="0.25">
      <c r="A1968" s="1">
        <v>98.3</v>
      </c>
      <c r="B1968" s="1">
        <v>3.1914999999999999E-3</v>
      </c>
      <c r="C1968" s="1">
        <v>1.4703000000000001E-4</v>
      </c>
      <c r="D1968" s="1">
        <v>3.3352E-2</v>
      </c>
      <c r="E1968" s="1">
        <v>1.1098E-3</v>
      </c>
      <c r="F1968" s="1">
        <v>8.8769000000000006E-8</v>
      </c>
      <c r="G1968" s="1">
        <v>6.7050999999999998</v>
      </c>
      <c r="H1968" s="1">
        <v>2.0053999999999999E-7</v>
      </c>
      <c r="I1968" s="1">
        <f t="shared" si="276"/>
        <v>2.0053999999999999E-7</v>
      </c>
      <c r="J1968" s="4">
        <f t="shared" si="277"/>
        <v>-1.2995290377198396E-9</v>
      </c>
      <c r="K1968" s="4">
        <f t="shared" si="278"/>
        <v>-2.2435397142694584E-9</v>
      </c>
      <c r="L1968" s="4">
        <f t="shared" si="279"/>
        <v>-6.7568704612002772E-10</v>
      </c>
      <c r="M1968" s="4">
        <f t="shared" si="280"/>
        <v>-7.7383934425859426E-10</v>
      </c>
      <c r="N1968" s="5">
        <f t="shared" si="281"/>
        <v>1.648464738086727E-6</v>
      </c>
      <c r="O1968" s="5">
        <f t="shared" si="282"/>
        <v>1.1488314734820054E-7</v>
      </c>
      <c r="P1968" s="5">
        <f t="shared" si="283"/>
        <v>3.6652114565075432E-8</v>
      </c>
      <c r="Q1968" s="1">
        <f t="shared" si="284"/>
        <v>1.8000000000000031E-6</v>
      </c>
    </row>
    <row r="1969" spans="1:17" x14ac:dyDescent="0.25">
      <c r="A1969" s="1">
        <v>98.35</v>
      </c>
      <c r="B1969" s="1">
        <v>3.1892000000000001E-3</v>
      </c>
      <c r="C1969" s="1">
        <v>1.4699E-4</v>
      </c>
      <c r="D1969" s="1">
        <v>3.3353000000000001E-2</v>
      </c>
      <c r="E1969" s="1">
        <v>1.1071E-3</v>
      </c>
      <c r="F1969" s="1">
        <v>8.8744000000000004E-8</v>
      </c>
      <c r="G1969" s="1">
        <v>6.7050999999999998</v>
      </c>
      <c r="H1969" s="1">
        <v>2.0055000000000001E-7</v>
      </c>
      <c r="I1969" s="1">
        <f t="shared" si="276"/>
        <v>2.0055000000000001E-7</v>
      </c>
      <c r="J1969" s="4">
        <f t="shared" si="277"/>
        <v>-1.2989795581010465E-9</v>
      </c>
      <c r="K1969" s="4">
        <f t="shared" si="278"/>
        <v>-2.2402213732897834E-9</v>
      </c>
      <c r="L1969" s="4">
        <f t="shared" si="279"/>
        <v>-6.7395951079309747E-10</v>
      </c>
      <c r="M1969" s="4">
        <f t="shared" si="280"/>
        <v>-7.7177258076237993E-10</v>
      </c>
      <c r="N1969" s="5">
        <f t="shared" si="281"/>
        <v>1.6487320203911226E-6</v>
      </c>
      <c r="O1969" s="5">
        <f t="shared" si="282"/>
        <v>1.1471367811377418E-7</v>
      </c>
      <c r="P1969" s="5">
        <f t="shared" si="283"/>
        <v>3.6554301495106147E-8</v>
      </c>
      <c r="Q1969" s="1">
        <f t="shared" si="284"/>
        <v>1.8000000000000029E-6</v>
      </c>
    </row>
    <row r="1970" spans="1:17" x14ac:dyDescent="0.25">
      <c r="A1970" s="1">
        <v>98.4</v>
      </c>
      <c r="B1970" s="1">
        <v>3.1868E-3</v>
      </c>
      <c r="C1970" s="1">
        <v>1.4694E-4</v>
      </c>
      <c r="D1970" s="1">
        <v>3.3354000000000002E-2</v>
      </c>
      <c r="E1970" s="1">
        <v>1.1044E-3</v>
      </c>
      <c r="F1970" s="1">
        <v>8.8718000000000001E-8</v>
      </c>
      <c r="G1970" s="1">
        <v>6.7050999999999998</v>
      </c>
      <c r="H1970" s="1">
        <v>2.0055000000000001E-7</v>
      </c>
      <c r="I1970" s="1">
        <f t="shared" si="276"/>
        <v>2.0055000000000001E-7</v>
      </c>
      <c r="J1970" s="4">
        <f t="shared" si="277"/>
        <v>-1.298458496411754E-9</v>
      </c>
      <c r="K1970" s="4">
        <f t="shared" si="278"/>
        <v>-2.2369167232191053E-9</v>
      </c>
      <c r="L1970" s="4">
        <f t="shared" si="279"/>
        <v>-6.7223948838416456E-10</v>
      </c>
      <c r="M1970" s="4">
        <f t="shared" si="280"/>
        <v>-7.6975134230874652E-10</v>
      </c>
      <c r="N1970" s="5">
        <f t="shared" si="281"/>
        <v>1.6489982391295457E-6</v>
      </c>
      <c r="O1970" s="5">
        <f t="shared" si="282"/>
        <v>1.1454497122927558E-7</v>
      </c>
      <c r="P1970" s="5">
        <f t="shared" si="283"/>
        <v>3.6456789641181563E-8</v>
      </c>
      <c r="Q1970" s="1">
        <f t="shared" si="284"/>
        <v>1.8000000000000029E-6</v>
      </c>
    </row>
    <row r="1971" spans="1:17" x14ac:dyDescent="0.25">
      <c r="A1971" s="1">
        <v>98.45</v>
      </c>
      <c r="B1971" s="1">
        <v>3.1844999999999998E-3</v>
      </c>
      <c r="C1971" s="1">
        <v>1.4689999999999999E-4</v>
      </c>
      <c r="D1971" s="1">
        <v>3.3355999999999997E-2</v>
      </c>
      <c r="E1971" s="1">
        <v>1.1016999999999999E-3</v>
      </c>
      <c r="F1971" s="1">
        <v>8.8691999999999998E-8</v>
      </c>
      <c r="G1971" s="1">
        <v>6.7050999999999998</v>
      </c>
      <c r="H1971" s="1">
        <v>2.0055999999999999E-7</v>
      </c>
      <c r="I1971" s="1">
        <f t="shared" si="276"/>
        <v>2.0055999999999999E-7</v>
      </c>
      <c r="J1971" s="4">
        <f t="shared" si="277"/>
        <v>-1.2979073071469016E-9</v>
      </c>
      <c r="K1971" s="4">
        <f t="shared" si="278"/>
        <v>-2.2336269389707469E-9</v>
      </c>
      <c r="L1971" s="4">
        <f t="shared" si="279"/>
        <v>-6.7051180646025696E-10</v>
      </c>
      <c r="M1971" s="4">
        <f t="shared" si="280"/>
        <v>-7.6769796206654755E-10</v>
      </c>
      <c r="N1971" s="5">
        <f t="shared" si="281"/>
        <v>1.6492634469549094E-6</v>
      </c>
      <c r="O1971" s="5">
        <f t="shared" si="282"/>
        <v>1.1437694955951827E-7</v>
      </c>
      <c r="P1971" s="5">
        <f t="shared" si="283"/>
        <v>3.6359603485575267E-8</v>
      </c>
      <c r="Q1971" s="1">
        <f t="shared" si="284"/>
        <v>1.8000000000000029E-6</v>
      </c>
    </row>
    <row r="1972" spans="1:17" x14ac:dyDescent="0.25">
      <c r="A1972" s="1">
        <v>98.5</v>
      </c>
      <c r="B1972" s="1">
        <v>3.1822E-3</v>
      </c>
      <c r="C1972" s="1">
        <v>1.4684999999999999E-4</v>
      </c>
      <c r="D1972" s="1">
        <v>3.3356999999999998E-2</v>
      </c>
      <c r="E1972" s="1">
        <v>1.0989999999999999E-3</v>
      </c>
      <c r="F1972" s="1">
        <v>8.8666999999999996E-8</v>
      </c>
      <c r="G1972" s="1">
        <v>6.7050999999999998</v>
      </c>
      <c r="H1972" s="1">
        <v>2.0055999999999999E-7</v>
      </c>
      <c r="I1972" s="1">
        <f t="shared" si="276"/>
        <v>2.0055999999999999E-7</v>
      </c>
      <c r="J1972" s="4">
        <f t="shared" si="277"/>
        <v>-1.2973552999840874E-9</v>
      </c>
      <c r="K1972" s="4">
        <f t="shared" si="278"/>
        <v>-2.2303505164104796E-9</v>
      </c>
      <c r="L1972" s="4">
        <f t="shared" si="279"/>
        <v>-6.6878408267586106E-10</v>
      </c>
      <c r="M1972" s="4">
        <f t="shared" si="280"/>
        <v>-7.6568961788198898E-10</v>
      </c>
      <c r="N1972" s="5">
        <f t="shared" si="281"/>
        <v>1.64952765808866E-6</v>
      </c>
      <c r="O1972" s="5">
        <f t="shared" si="282"/>
        <v>1.1420964396097386E-7</v>
      </c>
      <c r="P1972" s="5">
        <f t="shared" si="283"/>
        <v>3.6262697950369145E-8</v>
      </c>
      <c r="Q1972" s="1">
        <f t="shared" si="284"/>
        <v>1.8000000000000031E-6</v>
      </c>
    </row>
    <row r="1973" spans="1:17" x14ac:dyDescent="0.25">
      <c r="A1973" s="1">
        <v>98.55</v>
      </c>
      <c r="B1973" s="1">
        <v>3.1798E-3</v>
      </c>
      <c r="C1973" s="1">
        <v>1.4679999999999999E-4</v>
      </c>
      <c r="D1973" s="1">
        <v>3.3357999999999999E-2</v>
      </c>
      <c r="E1973" s="1">
        <v>1.0964E-3</v>
      </c>
      <c r="F1973" s="1">
        <v>8.8641999999999994E-8</v>
      </c>
      <c r="G1973" s="1">
        <v>6.7050999999999998</v>
      </c>
      <c r="H1973" s="1">
        <v>2.0057E-7</v>
      </c>
      <c r="I1973" s="1">
        <f t="shared" si="276"/>
        <v>2.0057E-7</v>
      </c>
      <c r="J1973" s="4">
        <f t="shared" si="277"/>
        <v>-1.2968317391786467E-9</v>
      </c>
      <c r="K1973" s="4">
        <f t="shared" si="278"/>
        <v>-2.2270880572388641E-9</v>
      </c>
      <c r="L1973" s="4">
        <f t="shared" si="279"/>
        <v>-6.6706384986894022E-10</v>
      </c>
      <c r="M1973" s="4">
        <f t="shared" si="280"/>
        <v>-7.6364890359719042E-10</v>
      </c>
      <c r="N1973" s="5">
        <f t="shared" si="281"/>
        <v>1.6497908505568512E-6</v>
      </c>
      <c r="O1973" s="5">
        <f t="shared" si="282"/>
        <v>1.1404303654651084E-7</v>
      </c>
      <c r="P1973" s="5">
        <f t="shared" si="283"/>
        <v>3.6166112896640891E-8</v>
      </c>
      <c r="Q1973" s="1">
        <f t="shared" si="284"/>
        <v>1.8000000000000031E-6</v>
      </c>
    </row>
    <row r="1974" spans="1:17" x14ac:dyDescent="0.25">
      <c r="A1974" s="1">
        <v>98.6</v>
      </c>
      <c r="B1974" s="1">
        <v>3.1775000000000002E-3</v>
      </c>
      <c r="C1974" s="1">
        <v>1.4676000000000001E-4</v>
      </c>
      <c r="D1974" s="1">
        <v>3.3359E-2</v>
      </c>
      <c r="E1974" s="1">
        <v>1.0937E-3</v>
      </c>
      <c r="F1974" s="1">
        <v>8.8616000000000004E-8</v>
      </c>
      <c r="G1974" s="1">
        <v>6.7050999999999998</v>
      </c>
      <c r="H1974" s="1">
        <v>2.0057E-7</v>
      </c>
      <c r="I1974" s="1">
        <f t="shared" si="276"/>
        <v>2.0057E-7</v>
      </c>
      <c r="J1974" s="4">
        <f t="shared" si="277"/>
        <v>-1.2963073498893766E-9</v>
      </c>
      <c r="K1974" s="4">
        <f t="shared" si="278"/>
        <v>-2.2238392126568351E-9</v>
      </c>
      <c r="L1974" s="4">
        <f t="shared" si="279"/>
        <v>-6.6540423506212141E-10</v>
      </c>
      <c r="M1974" s="4">
        <f t="shared" si="280"/>
        <v>-7.6165291268627947E-10</v>
      </c>
      <c r="N1974" s="5">
        <f t="shared" si="281"/>
        <v>1.6500529781845566E-6</v>
      </c>
      <c r="O1974" s="5">
        <f t="shared" si="282"/>
        <v>1.1387715759642967E-7</v>
      </c>
      <c r="P1974" s="5">
        <f t="shared" si="283"/>
        <v>3.6069864219016734E-8</v>
      </c>
      <c r="Q1974" s="1">
        <f t="shared" si="284"/>
        <v>1.8000000000000031E-6</v>
      </c>
    </row>
    <row r="1975" spans="1:17" x14ac:dyDescent="0.25">
      <c r="A1975" s="1">
        <v>98.65</v>
      </c>
      <c r="B1975" s="1">
        <v>3.1752E-3</v>
      </c>
      <c r="C1975" s="1">
        <v>1.4671000000000001E-4</v>
      </c>
      <c r="D1975" s="1">
        <v>3.3360000000000001E-2</v>
      </c>
      <c r="E1975" s="1">
        <v>1.091E-3</v>
      </c>
      <c r="F1975" s="1">
        <v>8.8591000000000002E-8</v>
      </c>
      <c r="G1975" s="1">
        <v>6.7050999999999998</v>
      </c>
      <c r="H1975" s="1">
        <v>2.0057999999999999E-7</v>
      </c>
      <c r="I1975" s="1">
        <f t="shared" si="276"/>
        <v>2.0057999999999999E-7</v>
      </c>
      <c r="J1975" s="4">
        <f t="shared" si="277"/>
        <v>-1.2957528529249901E-9</v>
      </c>
      <c r="K1975" s="4">
        <f t="shared" si="278"/>
        <v>-2.2206045731308834E-9</v>
      </c>
      <c r="L1975" s="4">
        <f t="shared" si="279"/>
        <v>-6.6367634685190651E-10</v>
      </c>
      <c r="M1975" s="4">
        <f t="shared" si="280"/>
        <v>-7.5962592997303232E-10</v>
      </c>
      <c r="N1975" s="5">
        <f t="shared" si="281"/>
        <v>1.6503141535579104E-6</v>
      </c>
      <c r="O1975" s="5">
        <f t="shared" si="282"/>
        <v>1.1371193180619681E-7</v>
      </c>
      <c r="P1975" s="5">
        <f t="shared" si="283"/>
        <v>3.5973914635895606E-8</v>
      </c>
      <c r="Q1975" s="1">
        <f t="shared" si="284"/>
        <v>1.8000000000000029E-6</v>
      </c>
    </row>
    <row r="1976" spans="1:17" x14ac:dyDescent="0.25">
      <c r="A1976" s="1">
        <v>98.7</v>
      </c>
      <c r="B1976" s="1">
        <v>3.1729000000000002E-3</v>
      </c>
      <c r="C1976" s="1">
        <v>1.4667E-4</v>
      </c>
      <c r="D1976" s="1">
        <v>3.3361000000000002E-2</v>
      </c>
      <c r="E1976" s="1">
        <v>1.0882999999999999E-3</v>
      </c>
      <c r="F1976" s="1">
        <v>8.8566E-8</v>
      </c>
      <c r="G1976" s="1">
        <v>6.7050000000000001</v>
      </c>
      <c r="H1976" s="1">
        <v>2.0057999999999999E-7</v>
      </c>
      <c r="I1976" s="1">
        <f t="shared" si="276"/>
        <v>2.0057999999999999E-7</v>
      </c>
      <c r="J1976" s="4">
        <f t="shared" si="277"/>
        <v>-1.2952268305526071E-9</v>
      </c>
      <c r="K1976" s="4">
        <f t="shared" si="278"/>
        <v>-2.2173826702207118E-9</v>
      </c>
      <c r="L1976" s="4">
        <f t="shared" si="279"/>
        <v>-6.6195592772984967E-10</v>
      </c>
      <c r="M1976" s="4">
        <f t="shared" si="280"/>
        <v>-7.5764301875509059E-10</v>
      </c>
      <c r="N1976" s="5">
        <f t="shared" si="281"/>
        <v>1.6505743534698487E-6</v>
      </c>
      <c r="O1976" s="5">
        <f t="shared" si="282"/>
        <v>1.1354741898528378E-7</v>
      </c>
      <c r="P1976" s="5">
        <f t="shared" si="283"/>
        <v>3.5878227544870363E-8</v>
      </c>
      <c r="Q1976" s="1">
        <f t="shared" si="284"/>
        <v>1.8000000000000029E-6</v>
      </c>
    </row>
    <row r="1977" spans="1:17" x14ac:dyDescent="0.25">
      <c r="A1977" s="1">
        <v>98.75</v>
      </c>
      <c r="B1977" s="1">
        <v>3.1706E-3</v>
      </c>
      <c r="C1977" s="1">
        <v>1.4662E-4</v>
      </c>
      <c r="D1977" s="1">
        <v>3.3362999999999997E-2</v>
      </c>
      <c r="E1977" s="1">
        <v>1.0857E-3</v>
      </c>
      <c r="F1977" s="1">
        <v>8.8540999999999999E-8</v>
      </c>
      <c r="G1977" s="1">
        <v>6.7050000000000001</v>
      </c>
      <c r="H1977" s="1">
        <v>2.0059E-7</v>
      </c>
      <c r="I1977" s="1">
        <f t="shared" si="276"/>
        <v>2.0059E-7</v>
      </c>
      <c r="J1977" s="4">
        <f t="shared" si="277"/>
        <v>-1.2947000179462604E-9</v>
      </c>
      <c r="K1977" s="4">
        <f t="shared" si="278"/>
        <v>-2.214174670212908E-9</v>
      </c>
      <c r="L1977" s="4">
        <f t="shared" si="279"/>
        <v>-6.6023546536518519E-10</v>
      </c>
      <c r="M1977" s="4">
        <f t="shared" si="280"/>
        <v>-7.5562776249971712E-10</v>
      </c>
      <c r="N1977" s="5">
        <f t="shared" si="281"/>
        <v>1.6508335926567502E-6</v>
      </c>
      <c r="O1977" s="5">
        <f t="shared" si="282"/>
        <v>1.1338357209551685E-7</v>
      </c>
      <c r="P1977" s="5">
        <f t="shared" si="283"/>
        <v>3.5782835247735836E-8</v>
      </c>
      <c r="Q1977" s="1">
        <f t="shared" si="284"/>
        <v>1.8000000000000029E-6</v>
      </c>
    </row>
    <row r="1978" spans="1:17" x14ac:dyDescent="0.25">
      <c r="A1978" s="1">
        <v>98.8</v>
      </c>
      <c r="B1978" s="1">
        <v>3.1683000000000002E-3</v>
      </c>
      <c r="C1978" s="1">
        <v>1.4658E-4</v>
      </c>
      <c r="D1978" s="1">
        <v>3.3363999999999998E-2</v>
      </c>
      <c r="E1978" s="1">
        <v>1.083E-3</v>
      </c>
      <c r="F1978" s="1">
        <v>8.8516999999999998E-8</v>
      </c>
      <c r="G1978" s="1">
        <v>6.7050000000000001</v>
      </c>
      <c r="H1978" s="1">
        <v>2.0059E-7</v>
      </c>
      <c r="I1978" s="1">
        <f t="shared" si="276"/>
        <v>2.0059E-7</v>
      </c>
      <c r="J1978" s="4">
        <f t="shared" si="277"/>
        <v>-1.2941724280518275E-9</v>
      </c>
      <c r="K1978" s="4">
        <f t="shared" si="278"/>
        <v>-2.2109796558624532E-9</v>
      </c>
      <c r="L1978" s="4">
        <f t="shared" si="279"/>
        <v>-6.5857562838841403E-10</v>
      </c>
      <c r="M1978" s="4">
        <f t="shared" si="280"/>
        <v>-7.5365628684600693E-10</v>
      </c>
      <c r="N1978" s="5">
        <f t="shared" si="281"/>
        <v>1.6510918242561726E-6</v>
      </c>
      <c r="O1978" s="5">
        <f t="shared" si="282"/>
        <v>1.1322042115455223E-7</v>
      </c>
      <c r="P1978" s="5">
        <f t="shared" si="283"/>
        <v>3.5687754589278243E-8</v>
      </c>
      <c r="Q1978" s="1">
        <f t="shared" si="284"/>
        <v>1.8000000000000031E-6</v>
      </c>
    </row>
    <row r="1979" spans="1:17" x14ac:dyDescent="0.25">
      <c r="A1979" s="1">
        <v>98.85</v>
      </c>
      <c r="B1979" s="1">
        <v>3.166E-3</v>
      </c>
      <c r="C1979" s="1">
        <v>1.4652999999999999E-4</v>
      </c>
      <c r="D1979" s="1">
        <v>3.3364999999999999E-2</v>
      </c>
      <c r="E1979" s="1">
        <v>1.0804E-3</v>
      </c>
      <c r="F1979" s="1">
        <v>8.8491999999999996E-8</v>
      </c>
      <c r="G1979" s="1">
        <v>6.7050000000000001</v>
      </c>
      <c r="H1979" s="1">
        <v>2.0060000000000001E-7</v>
      </c>
      <c r="I1979" s="1">
        <f t="shared" si="276"/>
        <v>2.0060000000000001E-7</v>
      </c>
      <c r="J1979" s="4">
        <f t="shared" si="277"/>
        <v>-1.2936732552994397E-9</v>
      </c>
      <c r="K1979" s="4">
        <f t="shared" si="278"/>
        <v>-2.2077982125136433E-9</v>
      </c>
      <c r="L1979" s="4">
        <f t="shared" si="279"/>
        <v>-6.5686249672724638E-10</v>
      </c>
      <c r="M1979" s="4">
        <f t="shared" si="280"/>
        <v>-7.5165370277160629E-10</v>
      </c>
      <c r="N1979" s="5">
        <f t="shared" si="281"/>
        <v>1.6513490867166595E-6</v>
      </c>
      <c r="O1979" s="5">
        <f t="shared" si="282"/>
        <v>1.1305794990010964E-7</v>
      </c>
      <c r="P1979" s="5">
        <f t="shared" si="283"/>
        <v>3.5592963383233881E-8</v>
      </c>
      <c r="Q1979" s="1">
        <f t="shared" si="284"/>
        <v>1.8000000000000029E-6</v>
      </c>
    </row>
    <row r="1980" spans="1:17" x14ac:dyDescent="0.25">
      <c r="A1980" s="1">
        <v>98.9</v>
      </c>
      <c r="B1980" s="1">
        <v>3.1637000000000002E-3</v>
      </c>
      <c r="C1980" s="1">
        <v>1.4648999999999999E-4</v>
      </c>
      <c r="D1980" s="1">
        <v>3.3366E-2</v>
      </c>
      <c r="E1980" s="1">
        <v>1.0778000000000001E-3</v>
      </c>
      <c r="F1980" s="1">
        <v>8.8467999999999995E-8</v>
      </c>
      <c r="G1980" s="1">
        <v>6.7050000000000001</v>
      </c>
      <c r="H1980" s="1">
        <v>2.0060000000000001E-7</v>
      </c>
      <c r="I1980" s="1">
        <f t="shared" si="276"/>
        <v>2.0060000000000001E-7</v>
      </c>
      <c r="J1980" s="4">
        <f t="shared" si="277"/>
        <v>-1.2931440679819046E-9</v>
      </c>
      <c r="K1980" s="4">
        <f t="shared" si="278"/>
        <v>-2.2046300230526395E-9</v>
      </c>
      <c r="L1980" s="4">
        <f t="shared" si="279"/>
        <v>-6.5520254168147932E-10</v>
      </c>
      <c r="M1980" s="4">
        <f t="shared" si="280"/>
        <v>-7.4969458774122576E-10</v>
      </c>
      <c r="N1980" s="5">
        <f t="shared" si="281"/>
        <v>1.6516053701300488E-6</v>
      </c>
      <c r="O1980" s="5">
        <f t="shared" si="282"/>
        <v>1.1289615853278012E-7</v>
      </c>
      <c r="P1980" s="5">
        <f t="shared" si="283"/>
        <v>3.5498471337174136E-8</v>
      </c>
      <c r="Q1980" s="1">
        <f t="shared" si="284"/>
        <v>1.8000000000000031E-6</v>
      </c>
    </row>
    <row r="1981" spans="1:17" x14ac:dyDescent="0.25">
      <c r="A1981" s="1">
        <v>98.95</v>
      </c>
      <c r="B1981" s="1">
        <v>3.1614E-3</v>
      </c>
      <c r="C1981" s="1">
        <v>1.4645000000000001E-4</v>
      </c>
      <c r="D1981" s="1">
        <v>3.3367000000000001E-2</v>
      </c>
      <c r="E1981" s="1">
        <v>1.0751000000000001E-3</v>
      </c>
      <c r="F1981" s="1">
        <v>8.8443000000000007E-8</v>
      </c>
      <c r="G1981" s="1">
        <v>6.7050000000000001</v>
      </c>
      <c r="H1981" s="1">
        <v>2.0060999999999999E-7</v>
      </c>
      <c r="I1981" s="1">
        <f t="shared" si="276"/>
        <v>2.0060999999999999E-7</v>
      </c>
      <c r="J1981" s="4">
        <f t="shared" si="277"/>
        <v>-1.292643315862782E-9</v>
      </c>
      <c r="K1981" s="4">
        <f t="shared" si="278"/>
        <v>-2.2014750913890873E-9</v>
      </c>
      <c r="L1981" s="4">
        <f t="shared" si="279"/>
        <v>-6.5354992858696508E-10</v>
      </c>
      <c r="M1981" s="4">
        <f t="shared" si="280"/>
        <v>-7.4770430177485635E-10</v>
      </c>
      <c r="N1981" s="5">
        <f t="shared" si="281"/>
        <v>1.651860651976988E-6</v>
      </c>
      <c r="O1981" s="5">
        <f t="shared" si="282"/>
        <v>1.1273503105902868E-7</v>
      </c>
      <c r="P1981" s="5">
        <f t="shared" si="283"/>
        <v>3.5404316963986246E-8</v>
      </c>
      <c r="Q1981" s="1">
        <f t="shared" si="284"/>
        <v>1.8000000000000031E-6</v>
      </c>
    </row>
    <row r="1982" spans="1:17" x14ac:dyDescent="0.25">
      <c r="A1982" s="1">
        <v>99</v>
      </c>
      <c r="B1982" s="1">
        <v>3.1591000000000002E-3</v>
      </c>
      <c r="C1982" s="1">
        <v>1.4640000000000001E-4</v>
      </c>
      <c r="D1982" s="1">
        <v>3.3369000000000003E-2</v>
      </c>
      <c r="E1982" s="1">
        <v>1.0725000000000001E-3</v>
      </c>
      <c r="F1982" s="1">
        <v>8.8419000000000006E-8</v>
      </c>
      <c r="G1982" s="1">
        <v>6.7050000000000001</v>
      </c>
      <c r="H1982" s="1">
        <v>2.0060999999999999E-7</v>
      </c>
      <c r="I1982" s="1">
        <f t="shared" si="276"/>
        <v>2.0060999999999999E-7</v>
      </c>
      <c r="J1982" s="4">
        <f t="shared" si="277"/>
        <v>-1.2921125336223493E-9</v>
      </c>
      <c r="K1982" s="4">
        <f t="shared" si="278"/>
        <v>-2.1983331056509344E-9</v>
      </c>
      <c r="L1982" s="4">
        <f t="shared" si="279"/>
        <v>-6.5182923095373965E-10</v>
      </c>
      <c r="M1982" s="4">
        <f t="shared" si="280"/>
        <v>-7.4575830274521216E-10</v>
      </c>
      <c r="N1982" s="5">
        <f t="shared" si="281"/>
        <v>1.6521150433180628E-6</v>
      </c>
      <c r="O1982" s="5">
        <f t="shared" si="282"/>
        <v>1.1257456878974531E-7</v>
      </c>
      <c r="P1982" s="5">
        <f t="shared" si="283"/>
        <v>3.531038789219477E-8</v>
      </c>
      <c r="Q1982" s="1">
        <f t="shared" si="284"/>
        <v>1.8000000000000029E-6</v>
      </c>
    </row>
    <row r="1983" spans="1:17" x14ac:dyDescent="0.25">
      <c r="A1983" s="1">
        <v>99.05</v>
      </c>
      <c r="B1983" s="1">
        <v>3.1568E-3</v>
      </c>
      <c r="C1983" s="1">
        <v>1.4636E-4</v>
      </c>
      <c r="D1983" s="1">
        <v>3.3369999999999997E-2</v>
      </c>
      <c r="E1983" s="1">
        <v>1.0698999999999999E-3</v>
      </c>
      <c r="F1983" s="1">
        <v>8.8395000000000005E-8</v>
      </c>
      <c r="G1983" s="1">
        <v>6.7050000000000001</v>
      </c>
      <c r="H1983" s="1">
        <v>2.0060999999999999E-7</v>
      </c>
      <c r="I1983" s="1">
        <f t="shared" si="276"/>
        <v>2.0060999999999999E-7</v>
      </c>
      <c r="J1983" s="4">
        <f t="shared" si="277"/>
        <v>-1.2916102514177914E-9</v>
      </c>
      <c r="K1983" s="4">
        <f t="shared" si="278"/>
        <v>-2.1952040913999091E-9</v>
      </c>
      <c r="L1983" s="4">
        <f t="shared" si="279"/>
        <v>-6.5017652063234849E-10</v>
      </c>
      <c r="M1983" s="4">
        <f t="shared" si="280"/>
        <v>-7.4377977608054295E-10</v>
      </c>
      <c r="N1983" s="5">
        <f t="shared" si="281"/>
        <v>1.6523684606374126E-6</v>
      </c>
      <c r="O1983" s="5">
        <f t="shared" si="282"/>
        <v>1.1241475472584373E-7</v>
      </c>
      <c r="P1983" s="5">
        <f t="shared" si="283"/>
        <v>3.5216784636746577E-8</v>
      </c>
      <c r="Q1983" s="1">
        <f t="shared" si="284"/>
        <v>1.8000000000000029E-6</v>
      </c>
    </row>
    <row r="1984" spans="1:17" x14ac:dyDescent="0.25">
      <c r="A1984" s="1">
        <v>99.1</v>
      </c>
      <c r="B1984" s="1">
        <v>3.1546E-3</v>
      </c>
      <c r="C1984" s="1">
        <v>1.4631999999999999E-4</v>
      </c>
      <c r="D1984" s="1">
        <v>3.3370999999999998E-2</v>
      </c>
      <c r="E1984" s="1">
        <v>1.0673E-3</v>
      </c>
      <c r="F1984" s="1">
        <v>8.8371000000000004E-8</v>
      </c>
      <c r="G1984" s="1">
        <v>6.7050000000000001</v>
      </c>
      <c r="H1984" s="1">
        <v>2.0062000000000001E-7</v>
      </c>
      <c r="I1984" s="1">
        <f t="shared" si="276"/>
        <v>2.0062000000000001E-7</v>
      </c>
      <c r="J1984" s="4">
        <f t="shared" si="277"/>
        <v>-1.2911071825347975E-9</v>
      </c>
      <c r="K1984" s="4">
        <f t="shared" si="278"/>
        <v>-2.1920877171538285E-9</v>
      </c>
      <c r="L1984" s="4">
        <f t="shared" si="279"/>
        <v>-6.4852374394083553E-10</v>
      </c>
      <c r="M1984" s="4">
        <f t="shared" si="280"/>
        <v>-7.4180811242761959E-10</v>
      </c>
      <c r="N1984" s="5">
        <f t="shared" si="281"/>
        <v>1.6526209174280907E-6</v>
      </c>
      <c r="O1984" s="5">
        <f t="shared" si="282"/>
        <v>1.1225558230365231E-7</v>
      </c>
      <c r="P1984" s="5">
        <f t="shared" si="283"/>
        <v>3.5123500268259791E-8</v>
      </c>
      <c r="Q1984" s="1">
        <f t="shared" si="284"/>
        <v>1.8000000000000029E-6</v>
      </c>
    </row>
    <row r="1985" spans="1:17" x14ac:dyDescent="0.25">
      <c r="A1985" s="1">
        <v>99.15</v>
      </c>
      <c r="B1985" s="1">
        <v>3.1522999999999998E-3</v>
      </c>
      <c r="C1985" s="1">
        <v>1.4626999999999999E-4</v>
      </c>
      <c r="D1985" s="1">
        <v>3.3371999999999999E-2</v>
      </c>
      <c r="E1985" s="1">
        <v>1.0647E-3</v>
      </c>
      <c r="F1985" s="1">
        <v>8.8347000000000004E-8</v>
      </c>
      <c r="G1985" s="1">
        <v>6.7049000000000003</v>
      </c>
      <c r="H1985" s="1">
        <v>2.0062000000000001E-7</v>
      </c>
      <c r="I1985" s="1">
        <f t="shared" si="276"/>
        <v>2.0062000000000001E-7</v>
      </c>
      <c r="J1985" s="4">
        <f t="shared" si="277"/>
        <v>-1.2906033388386149E-9</v>
      </c>
      <c r="K1985" s="4">
        <f t="shared" si="278"/>
        <v>-2.188983854921718E-9</v>
      </c>
      <c r="L1985" s="4">
        <f t="shared" si="279"/>
        <v>-6.4687090965375334E-10</v>
      </c>
      <c r="M1985" s="4">
        <f t="shared" si="280"/>
        <v>-7.3988004550108764E-10</v>
      </c>
      <c r="N1985" s="5">
        <f t="shared" si="281"/>
        <v>1.6528724270345201E-6</v>
      </c>
      <c r="O1985" s="5">
        <f t="shared" si="282"/>
        <v>1.1209708183307029E-7</v>
      </c>
      <c r="P1985" s="5">
        <f t="shared" si="283"/>
        <v>3.5030491132412456E-8</v>
      </c>
      <c r="Q1985" s="1">
        <f t="shared" si="284"/>
        <v>1.8000000000000029E-6</v>
      </c>
    </row>
    <row r="1986" spans="1:17" x14ac:dyDescent="0.25">
      <c r="A1986" s="1">
        <v>99.2</v>
      </c>
      <c r="B1986" s="1">
        <v>3.15E-3</v>
      </c>
      <c r="C1986" s="1">
        <v>1.4622999999999999E-4</v>
      </c>
      <c r="D1986" s="1">
        <v>3.3373E-2</v>
      </c>
      <c r="E1986" s="1">
        <v>1.0621000000000001E-3</v>
      </c>
      <c r="F1986" s="1">
        <v>8.8323000000000003E-8</v>
      </c>
      <c r="G1986" s="1">
        <v>6.7049000000000003</v>
      </c>
      <c r="H1986" s="1">
        <v>2.0062999999999999E-7</v>
      </c>
      <c r="I1986" s="1">
        <f t="shared" si="276"/>
        <v>2.0062999999999999E-7</v>
      </c>
      <c r="J1986" s="4">
        <f t="shared" si="277"/>
        <v>-1.2900987320534511E-9</v>
      </c>
      <c r="K1986" s="4">
        <f t="shared" si="278"/>
        <v>-2.1858930957447463E-9</v>
      </c>
      <c r="L1986" s="4">
        <f t="shared" si="279"/>
        <v>-6.45218026426685E-10</v>
      </c>
      <c r="M1986" s="4">
        <f t="shared" si="280"/>
        <v>-7.3792079875333978E-10</v>
      </c>
      <c r="N1986" s="5">
        <f t="shared" si="281"/>
        <v>1.6531230033717846E-6</v>
      </c>
      <c r="O1986" s="5">
        <f t="shared" si="282"/>
        <v>1.1193920826813234E-7</v>
      </c>
      <c r="P1986" s="5">
        <f t="shared" si="283"/>
        <v>3.4937788360085806E-8</v>
      </c>
      <c r="Q1986" s="1">
        <f t="shared" si="284"/>
        <v>1.8000000000000027E-6</v>
      </c>
    </row>
    <row r="1987" spans="1:17" x14ac:dyDescent="0.25">
      <c r="A1987" s="1">
        <v>99.25</v>
      </c>
      <c r="B1987" s="1">
        <v>3.1478000000000001E-3</v>
      </c>
      <c r="C1987" s="1">
        <v>1.4619000000000001E-4</v>
      </c>
      <c r="D1987" s="1">
        <v>3.3374000000000001E-2</v>
      </c>
      <c r="E1987" s="1">
        <v>1.0594999999999999E-3</v>
      </c>
      <c r="F1987" s="1">
        <v>8.8299000000000002E-8</v>
      </c>
      <c r="G1987" s="1">
        <v>6.7049000000000003</v>
      </c>
      <c r="H1987" s="1">
        <v>2.0062999999999999E-7</v>
      </c>
      <c r="I1987" s="1">
        <f t="shared" ref="I1987:I2002" si="285">H1987</f>
        <v>2.0062999999999999E-7</v>
      </c>
      <c r="J1987" s="4">
        <f t="shared" ref="J1987:J2002" si="286">(-$T$4*F1986^2*N1986)*(A1987-A1986)</f>
        <v>-1.2895933743275865E-9</v>
      </c>
      <c r="K1987" s="4">
        <f t="shared" ref="K1987:K2002" si="287">-O1986*$T$7*(A1987-A1986)</f>
        <v>-2.1828145612284566E-9</v>
      </c>
      <c r="L1987" s="4">
        <f t="shared" si="279"/>
        <v>-6.4356510307896225E-10</v>
      </c>
      <c r="M1987" s="4">
        <f t="shared" si="280"/>
        <v>-7.3600469026177976E-10</v>
      </c>
      <c r="N1987" s="5">
        <f t="shared" si="281"/>
        <v>1.6533726594556065E-6</v>
      </c>
      <c r="O1987" s="5">
        <f t="shared" si="282"/>
        <v>1.1178199177149325E-7</v>
      </c>
      <c r="P1987" s="5">
        <f t="shared" si="283"/>
        <v>3.4845348772902983E-8</v>
      </c>
      <c r="Q1987" s="1">
        <f t="shared" si="284"/>
        <v>1.8000000000000027E-6</v>
      </c>
    </row>
    <row r="1988" spans="1:17" x14ac:dyDescent="0.25">
      <c r="A1988" s="1">
        <v>99.3</v>
      </c>
      <c r="B1988" s="1">
        <v>3.1454999999999999E-3</v>
      </c>
      <c r="C1988" s="1">
        <v>1.4614000000000001E-4</v>
      </c>
      <c r="D1988" s="1">
        <v>3.3375000000000002E-2</v>
      </c>
      <c r="E1988" s="1">
        <v>1.0568999999999999E-3</v>
      </c>
      <c r="F1988" s="1">
        <v>8.8276000000000002E-8</v>
      </c>
      <c r="G1988" s="1">
        <v>6.7049000000000003</v>
      </c>
      <c r="H1988" s="1">
        <v>2.0064E-7</v>
      </c>
      <c r="I1988" s="1">
        <f t="shared" si="285"/>
        <v>2.0064E-7</v>
      </c>
      <c r="J1988" s="4">
        <f t="shared" si="286"/>
        <v>-1.2890872770823804E-9</v>
      </c>
      <c r="K1988" s="4">
        <f t="shared" si="287"/>
        <v>-2.1797488395439942E-9</v>
      </c>
      <c r="L1988" s="4">
        <f t="shared" si="279"/>
        <v>-6.4191214801814791E-10</v>
      </c>
      <c r="M1988" s="4">
        <f t="shared" si="280"/>
        <v>-7.3405734405224831E-10</v>
      </c>
      <c r="N1988" s="5">
        <f t="shared" si="281"/>
        <v>1.6536214088700499E-6</v>
      </c>
      <c r="O1988" s="5">
        <f t="shared" si="282"/>
        <v>1.1162538755308387E-7</v>
      </c>
      <c r="P1988" s="5">
        <f t="shared" si="283"/>
        <v>3.4753203576868879E-8</v>
      </c>
      <c r="Q1988" s="1">
        <f t="shared" si="284"/>
        <v>1.8000000000000027E-6</v>
      </c>
    </row>
    <row r="1989" spans="1:17" x14ac:dyDescent="0.25">
      <c r="A1989" s="1">
        <v>99.35</v>
      </c>
      <c r="B1989" s="1">
        <v>3.1432999999999999E-3</v>
      </c>
      <c r="C1989" s="1">
        <v>1.461E-4</v>
      </c>
      <c r="D1989" s="1">
        <v>3.3376999999999997E-2</v>
      </c>
      <c r="E1989" s="1">
        <v>1.0543E-3</v>
      </c>
      <c r="F1989" s="1">
        <v>8.8252000000000002E-8</v>
      </c>
      <c r="G1989" s="1">
        <v>6.7049000000000003</v>
      </c>
      <c r="H1989" s="1">
        <v>2.0064E-7</v>
      </c>
      <c r="I1989" s="1">
        <f t="shared" si="285"/>
        <v>2.0064E-7</v>
      </c>
      <c r="J1989" s="4">
        <f t="shared" si="286"/>
        <v>-1.2886096470110648E-9</v>
      </c>
      <c r="K1989" s="4">
        <f t="shared" si="287"/>
        <v>-2.1766950572850117E-9</v>
      </c>
      <c r="L1989" s="4">
        <f t="shared" si="279"/>
        <v>-6.4026642282079795E-10</v>
      </c>
      <c r="M1989" s="4">
        <f t="shared" si="280"/>
        <v>-7.3215269039457052E-10</v>
      </c>
      <c r="N1989" s="5">
        <f t="shared" si="281"/>
        <v>1.6538692278575029E-6</v>
      </c>
      <c r="O1989" s="5">
        <f t="shared" si="282"/>
        <v>1.1146945483320451E-7</v>
      </c>
      <c r="P1989" s="5">
        <f t="shared" si="283"/>
        <v>3.4661317309295107E-8</v>
      </c>
      <c r="Q1989" s="1">
        <f t="shared" si="284"/>
        <v>1.8000000000000027E-6</v>
      </c>
    </row>
    <row r="1990" spans="1:17" x14ac:dyDescent="0.25">
      <c r="A1990" s="1">
        <v>99.4</v>
      </c>
      <c r="B1990" s="1">
        <v>3.1411E-3</v>
      </c>
      <c r="C1990" s="1">
        <v>1.4605999999999999E-4</v>
      </c>
      <c r="D1990" s="1">
        <v>3.3377999999999998E-2</v>
      </c>
      <c r="E1990" s="1">
        <v>1.0518000000000001E-3</v>
      </c>
      <c r="F1990" s="1">
        <v>8.8229000000000002E-8</v>
      </c>
      <c r="G1990" s="1">
        <v>6.7049000000000003</v>
      </c>
      <c r="H1990" s="1">
        <v>2.0064999999999999E-7</v>
      </c>
      <c r="I1990" s="1">
        <f t="shared" si="285"/>
        <v>2.0064999999999999E-7</v>
      </c>
      <c r="J1990" s="4">
        <f t="shared" si="286"/>
        <v>-1.2881020735836815E-9</v>
      </c>
      <c r="K1990" s="4">
        <f t="shared" si="287"/>
        <v>-2.173654369247982E-9</v>
      </c>
      <c r="L1990" s="4">
        <f t="shared" si="279"/>
        <v>-6.3861339880614509E-10</v>
      </c>
      <c r="M1990" s="4">
        <f t="shared" si="280"/>
        <v>-7.3021690401854788E-10</v>
      </c>
      <c r="N1990" s="5">
        <f t="shared" si="281"/>
        <v>1.6541161667543611E-6</v>
      </c>
      <c r="O1990" s="5">
        <f t="shared" si="282"/>
        <v>1.1131411944155875E-7</v>
      </c>
      <c r="P1990" s="5">
        <f t="shared" si="283"/>
        <v>3.4569713804082701E-8</v>
      </c>
      <c r="Q1990" s="1">
        <f t="shared" si="284"/>
        <v>1.8000000000000025E-6</v>
      </c>
    </row>
    <row r="1991" spans="1:17" x14ac:dyDescent="0.25">
      <c r="A1991" s="1">
        <v>99.45</v>
      </c>
      <c r="B1991" s="1">
        <v>3.1388000000000002E-3</v>
      </c>
      <c r="C1991" s="1">
        <v>1.4601999999999999E-4</v>
      </c>
      <c r="D1991" s="1">
        <v>3.3378999999999999E-2</v>
      </c>
      <c r="E1991" s="1">
        <v>1.0491999999999999E-3</v>
      </c>
      <c r="F1991" s="1">
        <v>8.8205000000000001E-8</v>
      </c>
      <c r="G1991" s="1">
        <v>6.7049000000000003</v>
      </c>
      <c r="H1991" s="1">
        <v>2.0064999999999999E-7</v>
      </c>
      <c r="I1991" s="1">
        <f t="shared" si="285"/>
        <v>2.0064999999999999E-7</v>
      </c>
      <c r="J1991" s="4">
        <f t="shared" si="286"/>
        <v>-1.287622983683581E-9</v>
      </c>
      <c r="K1991" s="4">
        <f t="shared" si="287"/>
        <v>-2.1706253291102722E-9</v>
      </c>
      <c r="L1991" s="4">
        <f t="shared" si="279"/>
        <v>-6.3702815345173593E-10</v>
      </c>
      <c r="M1991" s="4">
        <f t="shared" si="280"/>
        <v>-7.2832337285282397E-10</v>
      </c>
      <c r="N1991" s="5">
        <f t="shared" si="281"/>
        <v>1.654362140946336E-6</v>
      </c>
      <c r="O1991" s="5">
        <f t="shared" si="282"/>
        <v>1.1115944046898488E-7</v>
      </c>
      <c r="P1991" s="5">
        <f t="shared" si="283"/>
        <v>3.4478418584681612E-8</v>
      </c>
      <c r="Q1991" s="1">
        <f t="shared" si="284"/>
        <v>1.8000000000000025E-6</v>
      </c>
    </row>
    <row r="1992" spans="1:17" x14ac:dyDescent="0.25">
      <c r="A1992" s="1">
        <v>99.5</v>
      </c>
      <c r="B1992" s="1">
        <v>3.1365999999999998E-3</v>
      </c>
      <c r="C1992" s="1">
        <v>1.4598000000000001E-4</v>
      </c>
      <c r="D1992" s="1">
        <v>3.338E-2</v>
      </c>
      <c r="E1992" s="1">
        <v>1.0466E-3</v>
      </c>
      <c r="F1992" s="1">
        <v>8.8182000000000002E-8</v>
      </c>
      <c r="G1992" s="1">
        <v>6.7049000000000003</v>
      </c>
      <c r="H1992" s="1">
        <v>2.0066E-7</v>
      </c>
      <c r="I1992" s="1">
        <f t="shared" si="285"/>
        <v>2.0066E-7</v>
      </c>
      <c r="J1992" s="4">
        <f t="shared" si="286"/>
        <v>-1.2871139330102011E-9</v>
      </c>
      <c r="K1992" s="4">
        <f t="shared" si="287"/>
        <v>-2.167609089145082E-9</v>
      </c>
      <c r="L1992" s="4">
        <f t="shared" si="279"/>
        <v>-6.3537506318625448E-10</v>
      </c>
      <c r="M1992" s="4">
        <f t="shared" si="280"/>
        <v>-7.2639994234667711E-10</v>
      </c>
      <c r="N1992" s="5">
        <f t="shared" si="281"/>
        <v>1.6546072610392845E-6</v>
      </c>
      <c r="O1992" s="5">
        <f t="shared" si="282"/>
        <v>1.1100534525519667E-7</v>
      </c>
      <c r="P1992" s="5">
        <f t="shared" si="283"/>
        <v>3.4387393705521189E-8</v>
      </c>
      <c r="Q1992" s="1">
        <f t="shared" si="284"/>
        <v>1.8000000000000025E-6</v>
      </c>
    </row>
    <row r="1993" spans="1:17" x14ac:dyDescent="0.25">
      <c r="A1993" s="1">
        <v>99.55</v>
      </c>
      <c r="B1993" s="1">
        <v>3.1343999999999999E-3</v>
      </c>
      <c r="C1993" s="1">
        <v>1.4593000000000001E-4</v>
      </c>
      <c r="D1993" s="1">
        <v>3.3381000000000001E-2</v>
      </c>
      <c r="E1993" s="1">
        <v>1.0441000000000001E-3</v>
      </c>
      <c r="F1993" s="1">
        <v>8.8159000000000002E-8</v>
      </c>
      <c r="G1993" s="1">
        <v>6.7049000000000003</v>
      </c>
      <c r="H1993" s="1">
        <v>2.0066E-7</v>
      </c>
      <c r="I1993" s="1">
        <f t="shared" si="285"/>
        <v>2.0066E-7</v>
      </c>
      <c r="J1993" s="4">
        <f t="shared" si="286"/>
        <v>-1.2866333816484013E-9</v>
      </c>
      <c r="K1993" s="4">
        <f t="shared" si="287"/>
        <v>-2.1646042324762121E-9</v>
      </c>
      <c r="L1993" s="4">
        <f t="shared" si="279"/>
        <v>-6.3372916961713838E-10</v>
      </c>
      <c r="M1993" s="4">
        <f t="shared" si="280"/>
        <v>-7.2451831419969638E-10</v>
      </c>
      <c r="N1993" s="5">
        <f t="shared" si="281"/>
        <v>1.654851502720495E-6</v>
      </c>
      <c r="O1993" s="5">
        <f t="shared" si="282"/>
        <v>1.1085189271856855E-7</v>
      </c>
      <c r="P1993" s="5">
        <f t="shared" si="283"/>
        <v>3.4296604560938628E-8</v>
      </c>
      <c r="Q1993" s="1">
        <f t="shared" si="284"/>
        <v>1.8000000000000022E-6</v>
      </c>
    </row>
    <row r="1994" spans="1:17" x14ac:dyDescent="0.25">
      <c r="A1994" s="1">
        <v>99.6</v>
      </c>
      <c r="B1994" s="1">
        <v>3.1321999999999999E-3</v>
      </c>
      <c r="C1994" s="1">
        <v>1.4589E-4</v>
      </c>
      <c r="D1994" s="1">
        <v>3.3382000000000002E-2</v>
      </c>
      <c r="E1994" s="1">
        <v>1.0415000000000001E-3</v>
      </c>
      <c r="F1994" s="1">
        <v>8.8136000000000003E-8</v>
      </c>
      <c r="G1994" s="1">
        <v>6.7049000000000003</v>
      </c>
      <c r="H1994" s="1">
        <v>2.0066E-7</v>
      </c>
      <c r="I1994" s="1">
        <f t="shared" si="285"/>
        <v>2.0066E-7</v>
      </c>
      <c r="J1994" s="4">
        <f t="shared" si="286"/>
        <v>-1.2861521237819753E-9</v>
      </c>
      <c r="K1994" s="4">
        <f t="shared" si="287"/>
        <v>-2.161611908011964E-9</v>
      </c>
      <c r="L1994" s="4">
        <f t="shared" si="279"/>
        <v>-6.3214379072234899E-10</v>
      </c>
      <c r="M1994" s="4">
        <f t="shared" si="280"/>
        <v>-7.2260545047574316E-10</v>
      </c>
      <c r="N1994" s="5">
        <f t="shared" si="281"/>
        <v>1.6550948187140027E-6</v>
      </c>
      <c r="O1994" s="5">
        <f t="shared" si="282"/>
        <v>1.106990383848143E-7</v>
      </c>
      <c r="P1994" s="5">
        <f t="shared" si="283"/>
        <v>3.4206142901185234E-8</v>
      </c>
      <c r="Q1994" s="1">
        <f t="shared" si="284"/>
        <v>1.8000000000000022E-6</v>
      </c>
    </row>
    <row r="1995" spans="1:17" x14ac:dyDescent="0.25">
      <c r="A1995" s="1">
        <v>99.65</v>
      </c>
      <c r="B1995" s="1">
        <v>3.13E-3</v>
      </c>
      <c r="C1995" s="1">
        <v>1.4584999999999999E-4</v>
      </c>
      <c r="D1995" s="1">
        <v>3.3383000000000003E-2</v>
      </c>
      <c r="E1995" s="1">
        <v>1.039E-3</v>
      </c>
      <c r="F1995" s="1">
        <v>8.8113000000000003E-8</v>
      </c>
      <c r="G1995" s="1">
        <v>6.7047999999999996</v>
      </c>
      <c r="H1995" s="1">
        <v>2.0067000000000001E-7</v>
      </c>
      <c r="I1995" s="1">
        <f t="shared" si="285"/>
        <v>2.0067000000000001E-7</v>
      </c>
      <c r="J1995" s="4">
        <f t="shared" si="286"/>
        <v>-1.2856701238338666E-9</v>
      </c>
      <c r="K1995" s="4">
        <f t="shared" si="287"/>
        <v>-2.1586312485043698E-9</v>
      </c>
      <c r="L1995" s="4">
        <f t="shared" ref="L1995:L2002" si="288">-$T$5*F1994*E1994*(A1995-A1994)*N1994</f>
        <v>-6.3049781598754584E-10</v>
      </c>
      <c r="M1995" s="4">
        <f t="shared" ref="M1995:M2002" si="289">-P1994*$T$8*I1994*(A1995-A1994)</f>
        <v>-7.2069948662810588E-10</v>
      </c>
      <c r="N1995" s="5">
        <f t="shared" ref="N1995:N2002" si="290">N1994+J1995-K1995+L1995</f>
        <v>1.6553372820226856E-6</v>
      </c>
      <c r="O1995" s="5">
        <f t="shared" ref="O1995:O2002" si="291">-J1995+O1994+K1995-M1995</f>
        <v>1.1054677674677192E-7</v>
      </c>
      <c r="P1995" s="5">
        <f t="shared" ref="P1995:P2002" si="292">P1994-L1995+M1995</f>
        <v>3.411594123054467E-8</v>
      </c>
      <c r="Q1995" s="1">
        <f t="shared" ref="Q1995:Q2002" si="293">N1995+O1995+P1995</f>
        <v>1.8000000000000022E-6</v>
      </c>
    </row>
    <row r="1996" spans="1:17" x14ac:dyDescent="0.25">
      <c r="A1996" s="1">
        <v>99.7</v>
      </c>
      <c r="B1996" s="1">
        <v>3.1278E-3</v>
      </c>
      <c r="C1996" s="1">
        <v>1.4580999999999999E-4</v>
      </c>
      <c r="D1996" s="1">
        <v>3.3383999999999997E-2</v>
      </c>
      <c r="E1996" s="1">
        <v>1.0365000000000001E-3</v>
      </c>
      <c r="F1996" s="1">
        <v>8.8090000000000003E-8</v>
      </c>
      <c r="G1996" s="1">
        <v>6.7047999999999996</v>
      </c>
      <c r="H1996" s="1">
        <v>2.0067000000000001E-7</v>
      </c>
      <c r="I1996" s="1">
        <f t="shared" si="285"/>
        <v>2.0067000000000001E-7</v>
      </c>
      <c r="J1996" s="4">
        <f t="shared" si="286"/>
        <v>-1.2851874396849568E-9</v>
      </c>
      <c r="K1996" s="4">
        <f t="shared" si="287"/>
        <v>-2.1556621465619299E-9</v>
      </c>
      <c r="L1996" s="4">
        <f t="shared" si="288"/>
        <v>-6.2891235819976415E-10</v>
      </c>
      <c r="M1996" s="4">
        <f t="shared" si="289"/>
        <v>-7.1883482230696615E-10</v>
      </c>
      <c r="N1996" s="5">
        <f t="shared" si="290"/>
        <v>1.655578844371363E-6</v>
      </c>
      <c r="O1996" s="5">
        <f t="shared" si="291"/>
        <v>1.1039513686220192E-7</v>
      </c>
      <c r="P1996" s="5">
        <f t="shared" si="292"/>
        <v>3.4026018766437467E-8</v>
      </c>
      <c r="Q1996" s="1">
        <f t="shared" si="293"/>
        <v>1.8000000000000025E-6</v>
      </c>
    </row>
    <row r="1997" spans="1:17" x14ac:dyDescent="0.25">
      <c r="A1997" s="1">
        <v>99.75</v>
      </c>
      <c r="B1997" s="1">
        <v>3.1256000000000001E-3</v>
      </c>
      <c r="C1997" s="1">
        <v>1.4577000000000001E-4</v>
      </c>
      <c r="D1997" s="1">
        <v>3.3385999999999999E-2</v>
      </c>
      <c r="E1997" s="1">
        <v>1.0338999999999999E-3</v>
      </c>
      <c r="F1997" s="1">
        <v>8.8068000000000005E-8</v>
      </c>
      <c r="G1997" s="1">
        <v>6.7047999999999996</v>
      </c>
      <c r="H1997" s="1">
        <v>2.0067999999999999E-7</v>
      </c>
      <c r="I1997" s="1">
        <f t="shared" si="285"/>
        <v>2.0067999999999999E-7</v>
      </c>
      <c r="J1997" s="4">
        <f t="shared" si="286"/>
        <v>-1.2847040349894586E-9</v>
      </c>
      <c r="K1997" s="4">
        <f t="shared" si="287"/>
        <v>-2.1527051688128154E-9</v>
      </c>
      <c r="L1997" s="4">
        <f t="shared" si="288"/>
        <v>-6.2732685763495085E-10</v>
      </c>
      <c r="M1997" s="4">
        <f t="shared" si="289"/>
        <v>-7.1694012451536496E-10</v>
      </c>
      <c r="N1997" s="5">
        <f t="shared" si="290"/>
        <v>1.6558195186475514E-6</v>
      </c>
      <c r="O1997" s="5">
        <f t="shared" si="291"/>
        <v>1.1024407585289394E-7</v>
      </c>
      <c r="P1997" s="5">
        <f t="shared" si="292"/>
        <v>3.393640549955705E-8</v>
      </c>
      <c r="Q1997" s="1">
        <f t="shared" si="293"/>
        <v>1.8000000000000022E-6</v>
      </c>
    </row>
    <row r="1998" spans="1:17" x14ac:dyDescent="0.25">
      <c r="A1998" s="1">
        <v>99.8</v>
      </c>
      <c r="B1998" s="1">
        <v>3.1234000000000001E-3</v>
      </c>
      <c r="C1998" s="1">
        <v>1.4573E-4</v>
      </c>
      <c r="D1998" s="1">
        <v>3.3387E-2</v>
      </c>
      <c r="E1998" s="1">
        <v>1.0314E-3</v>
      </c>
      <c r="F1998" s="1">
        <v>8.8045000000000005E-8</v>
      </c>
      <c r="G1998" s="1">
        <v>6.7047999999999996</v>
      </c>
      <c r="H1998" s="1">
        <v>2.0067999999999999E-7</v>
      </c>
      <c r="I1998" s="1">
        <f t="shared" si="285"/>
        <v>2.0067999999999999E-7</v>
      </c>
      <c r="J1998" s="4">
        <f t="shared" si="286"/>
        <v>-1.2842490856914537E-9</v>
      </c>
      <c r="K1998" s="4">
        <f t="shared" si="287"/>
        <v>-2.1497594791313094E-9</v>
      </c>
      <c r="L1998" s="4">
        <f t="shared" si="288"/>
        <v>-6.256879102784251E-10</v>
      </c>
      <c r="M1998" s="4">
        <f t="shared" si="289"/>
        <v>-7.150875748433258E-10</v>
      </c>
      <c r="N1998" s="5">
        <f t="shared" si="290"/>
        <v>1.6560593411307128E-6</v>
      </c>
      <c r="O1998" s="5">
        <f t="shared" si="291"/>
        <v>1.1009365303429741E-7</v>
      </c>
      <c r="P1998" s="5">
        <f t="shared" si="292"/>
        <v>3.3847005834992152E-8</v>
      </c>
      <c r="Q1998" s="1">
        <f t="shared" si="293"/>
        <v>1.8000000000000022E-6</v>
      </c>
    </row>
    <row r="1999" spans="1:17" x14ac:dyDescent="0.25">
      <c r="A1999" s="1">
        <v>99.85</v>
      </c>
      <c r="B1999" s="1">
        <v>3.1212000000000002E-3</v>
      </c>
      <c r="C1999" s="1">
        <v>1.4569E-4</v>
      </c>
      <c r="D1999" s="1">
        <v>3.3388000000000001E-2</v>
      </c>
      <c r="E1999" s="1">
        <v>1.0288999999999999E-3</v>
      </c>
      <c r="F1999" s="1">
        <v>8.8022999999999994E-8</v>
      </c>
      <c r="G1999" s="1">
        <v>6.7047999999999996</v>
      </c>
      <c r="H1999" s="1">
        <v>2.0069000000000001E-7</v>
      </c>
      <c r="I1999" s="1">
        <f t="shared" si="285"/>
        <v>2.0069000000000001E-7</v>
      </c>
      <c r="J1999" s="4">
        <f t="shared" si="286"/>
        <v>-1.2837642881217431E-9</v>
      </c>
      <c r="K1999" s="4">
        <f t="shared" si="287"/>
        <v>-2.1468262341686777E-9</v>
      </c>
      <c r="L1999" s="4">
        <f t="shared" si="288"/>
        <v>-6.2410234767339185E-10</v>
      </c>
      <c r="M1999" s="4">
        <f t="shared" si="289"/>
        <v>-7.13203798751413E-10</v>
      </c>
      <c r="N1999" s="5">
        <f t="shared" si="290"/>
        <v>1.6562983007290863E-6</v>
      </c>
      <c r="O1999" s="5">
        <f t="shared" si="291"/>
        <v>1.0994379488700189E-7</v>
      </c>
      <c r="P1999" s="5">
        <f t="shared" si="292"/>
        <v>3.3757904383914136E-8</v>
      </c>
      <c r="Q1999" s="1">
        <f t="shared" si="293"/>
        <v>1.8000000000000022E-6</v>
      </c>
    </row>
    <row r="2000" spans="1:17" x14ac:dyDescent="0.25">
      <c r="A2000" s="1">
        <v>99.9</v>
      </c>
      <c r="B2000" s="1">
        <v>3.1189999999999998E-3</v>
      </c>
      <c r="C2000" s="1">
        <v>1.4564999999999999E-4</v>
      </c>
      <c r="D2000" s="1">
        <v>3.3389000000000002E-2</v>
      </c>
      <c r="E2000" s="1">
        <v>1.0264E-3</v>
      </c>
      <c r="F2000" s="1">
        <v>8.7999999999999994E-8</v>
      </c>
      <c r="G2000" s="1">
        <v>6.7047999999999996</v>
      </c>
      <c r="H2000" s="1">
        <v>2.0069000000000001E-7</v>
      </c>
      <c r="I2000" s="1">
        <f t="shared" si="285"/>
        <v>2.0069000000000001E-7</v>
      </c>
      <c r="J2000" s="4">
        <f t="shared" si="286"/>
        <v>-1.2833079612552112E-9</v>
      </c>
      <c r="K2000" s="4">
        <f t="shared" si="287"/>
        <v>-2.1439040002970245E-9</v>
      </c>
      <c r="L2000" s="4">
        <f t="shared" si="288"/>
        <v>-6.2252383803577142E-10</v>
      </c>
      <c r="M2000" s="4">
        <f t="shared" si="289"/>
        <v>-7.113617522349731E-10</v>
      </c>
      <c r="N2000" s="5">
        <f t="shared" si="290"/>
        <v>1.6565363729300925E-6</v>
      </c>
      <c r="O2000" s="5">
        <f t="shared" si="291"/>
        <v>1.0979456060019506E-7</v>
      </c>
      <c r="P2000" s="5">
        <f t="shared" si="292"/>
        <v>3.3669066469714937E-8</v>
      </c>
      <c r="Q2000" s="1">
        <f t="shared" si="293"/>
        <v>1.8000000000000025E-6</v>
      </c>
    </row>
    <row r="2001" spans="1:17" x14ac:dyDescent="0.25">
      <c r="A2001" s="1">
        <v>99.95</v>
      </c>
      <c r="B2001" s="1">
        <v>3.1167999999999999E-3</v>
      </c>
      <c r="C2001" s="1">
        <v>1.4561000000000001E-4</v>
      </c>
      <c r="D2001" s="1">
        <v>3.3390000000000003E-2</v>
      </c>
      <c r="E2001" s="1">
        <v>1.0238999999999999E-3</v>
      </c>
      <c r="F2001" s="1">
        <v>8.7977999999999995E-8</v>
      </c>
      <c r="G2001" s="1">
        <v>6.7047999999999996</v>
      </c>
      <c r="H2001" s="1">
        <v>2.0069999999999999E-7</v>
      </c>
      <c r="I2001" s="1">
        <f t="shared" si="285"/>
        <v>2.0069999999999999E-7</v>
      </c>
      <c r="J2001" s="4">
        <f t="shared" si="286"/>
        <v>-1.2828217671969907E-9</v>
      </c>
      <c r="K2001" s="4">
        <f t="shared" si="287"/>
        <v>-2.1409939317036823E-9</v>
      </c>
      <c r="L2001" s="4">
        <f t="shared" si="288"/>
        <v>-6.209382143956379E-10</v>
      </c>
      <c r="M2001" s="4">
        <f t="shared" si="289"/>
        <v>-7.0948971972970425E-10</v>
      </c>
      <c r="N2001" s="5">
        <f t="shared" si="290"/>
        <v>1.6567736068802035E-6</v>
      </c>
      <c r="O2001" s="5">
        <f t="shared" si="291"/>
        <v>1.0964587815541807E-7</v>
      </c>
      <c r="P2001" s="5">
        <f t="shared" si="292"/>
        <v>3.3580514964380871E-8</v>
      </c>
      <c r="Q2001" s="1">
        <f t="shared" si="293"/>
        <v>1.8000000000000025E-6</v>
      </c>
    </row>
    <row r="2002" spans="1:17" x14ac:dyDescent="0.25">
      <c r="A2002" s="1">
        <v>100</v>
      </c>
      <c r="B2002" s="1">
        <v>3.1147000000000002E-3</v>
      </c>
      <c r="C2002" s="1">
        <v>1.4557E-4</v>
      </c>
      <c r="D2002" s="1">
        <v>3.3390999999999997E-2</v>
      </c>
      <c r="E2002" s="1">
        <v>1.0214E-3</v>
      </c>
      <c r="F2002" s="1">
        <v>8.7955999999999997E-8</v>
      </c>
      <c r="G2002" s="1">
        <v>6.7047999999999996</v>
      </c>
      <c r="H2002" s="1">
        <v>2.0069999999999999E-7</v>
      </c>
      <c r="I2002" s="1">
        <f t="shared" si="285"/>
        <v>2.0069999999999999E-7</v>
      </c>
      <c r="J2002" s="4">
        <f t="shared" si="286"/>
        <v>-1.2823640586152151E-9</v>
      </c>
      <c r="K2002" s="4">
        <f t="shared" si="287"/>
        <v>-2.1380946240305313E-9</v>
      </c>
      <c r="L2002" s="4">
        <f t="shared" si="288"/>
        <v>-6.1935962654378279E-10</v>
      </c>
      <c r="M2002" s="4">
        <f t="shared" si="289"/>
        <v>-7.0765898210184E-10</v>
      </c>
      <c r="N2002" s="5">
        <f t="shared" si="290"/>
        <v>1.6570099778190752E-6</v>
      </c>
      <c r="O2002" s="5">
        <f t="shared" si="291"/>
        <v>1.094978065721046E-7</v>
      </c>
      <c r="P2002" s="5">
        <f t="shared" si="292"/>
        <v>3.3492215608822817E-8</v>
      </c>
      <c r="Q2002" s="1">
        <f t="shared" si="293"/>
        <v>1.8000000000000025E-6</v>
      </c>
    </row>
  </sheetData>
  <mergeCells count="1">
    <mergeCell ref="S15:U2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selection activeCell="A51" sqref="A51:J66"/>
    </sheetView>
  </sheetViews>
  <sheetFormatPr defaultColWidth="9.140625" defaultRowHeight="15" x14ac:dyDescent="0.25"/>
  <sheetData>
    <row r="1" spans="1:16" ht="19.5" x14ac:dyDescent="0.3">
      <c r="A1" s="33" t="s">
        <v>49</v>
      </c>
      <c r="B1" s="7"/>
      <c r="C1" s="7"/>
      <c r="D1" s="7"/>
      <c r="E1" s="7"/>
    </row>
    <row r="2" spans="1:16" x14ac:dyDescent="0.25">
      <c r="K2" s="34" t="s">
        <v>0</v>
      </c>
      <c r="L2" s="35" t="s">
        <v>13</v>
      </c>
      <c r="M2" s="35" t="s">
        <v>14</v>
      </c>
      <c r="N2" s="35" t="s">
        <v>4</v>
      </c>
      <c r="O2" s="35" t="s">
        <v>16</v>
      </c>
      <c r="P2" s="37" t="s">
        <v>15</v>
      </c>
    </row>
    <row r="3" spans="1:16" x14ac:dyDescent="0.25">
      <c r="A3" t="s">
        <v>7</v>
      </c>
      <c r="B3" t="s">
        <v>35</v>
      </c>
      <c r="C3" t="s">
        <v>33</v>
      </c>
      <c r="D3" t="s">
        <v>34</v>
      </c>
      <c r="K3" s="38">
        <v>0</v>
      </c>
      <c r="L3" s="39">
        <v>6.7799999999999999E-2</v>
      </c>
      <c r="M3" s="39">
        <v>4.6999999999999999E-4</v>
      </c>
      <c r="N3" s="40">
        <v>1.7999999999999999E-6</v>
      </c>
      <c r="O3" s="39">
        <v>0</v>
      </c>
      <c r="P3" s="41">
        <v>0</v>
      </c>
    </row>
    <row r="4" spans="1:16" x14ac:dyDescent="0.25">
      <c r="C4" s="1"/>
      <c r="D4" s="1"/>
      <c r="K4" s="38">
        <v>2.2000000000000002</v>
      </c>
      <c r="L4" s="39">
        <v>7.0400000000000004E-2</v>
      </c>
      <c r="M4" s="39">
        <v>6.9999999999999999E-4</v>
      </c>
      <c r="N4" s="40">
        <v>1.7999999999999999E-6</v>
      </c>
      <c r="O4" s="39">
        <v>1.4E-8</v>
      </c>
      <c r="P4" s="41">
        <v>2.9999999999999997E-8</v>
      </c>
    </row>
    <row r="5" spans="1:16" x14ac:dyDescent="0.25">
      <c r="A5" s="34">
        <f t="shared" ref="A5:A11" si="0">K4</f>
        <v>2.2000000000000002</v>
      </c>
      <c r="B5" s="35" t="s">
        <v>36</v>
      </c>
      <c r="C5" s="36">
        <f t="shared" ref="C5:C11" si="1">N4</f>
        <v>1.7999999999999999E-6</v>
      </c>
      <c r="D5" s="36">
        <f t="shared" ref="D5:D11" si="2">IF(C5&lt;0.0000001,(1.96/(0.00000005)),(1.96/(0.1*C5)))</f>
        <v>10888888.888888888</v>
      </c>
      <c r="E5" s="35" t="s">
        <v>48</v>
      </c>
      <c r="F5" s="35" t="s">
        <v>97</v>
      </c>
      <c r="G5" s="35">
        <f t="shared" ref="G5:G11" si="3">L4</f>
        <v>7.0400000000000004E-2</v>
      </c>
      <c r="H5" s="36">
        <f>IF(G5&lt;0.0000001,(1.96/(0.00000005)),(1.96/(0.1*G5)))</f>
        <v>278.40909090909088</v>
      </c>
      <c r="I5" s="37" t="s">
        <v>48</v>
      </c>
      <c r="K5" s="38">
        <v>5</v>
      </c>
      <c r="L5" s="39">
        <v>7.2300000000000003E-2</v>
      </c>
      <c r="M5" s="39">
        <v>1.6299999999999999E-3</v>
      </c>
      <c r="N5" s="39">
        <v>4.1999999999999995E-7</v>
      </c>
      <c r="O5" s="39">
        <v>1.2299999999999999E-6</v>
      </c>
      <c r="P5" s="41">
        <v>1.4799999999999998E-7</v>
      </c>
    </row>
    <row r="6" spans="1:16" x14ac:dyDescent="0.25">
      <c r="A6" s="38">
        <f t="shared" si="0"/>
        <v>5</v>
      </c>
      <c r="B6" s="39" t="s">
        <v>37</v>
      </c>
      <c r="C6" s="40">
        <f t="shared" si="1"/>
        <v>4.1999999999999995E-7</v>
      </c>
      <c r="D6" s="40">
        <f t="shared" si="2"/>
        <v>46666666.666666664</v>
      </c>
      <c r="E6" s="39" t="s">
        <v>48</v>
      </c>
      <c r="F6" s="39" t="s">
        <v>98</v>
      </c>
      <c r="G6" s="39">
        <f t="shared" si="3"/>
        <v>7.2300000000000003E-2</v>
      </c>
      <c r="H6" s="40">
        <f t="shared" ref="H6:H18" si="4">IF(G6&lt;0.0000001,(1.96/(0.00000005)),(1.96/(0.1*G6)))</f>
        <v>271.0926694329184</v>
      </c>
      <c r="I6" s="41" t="s">
        <v>48</v>
      </c>
      <c r="K6" s="38">
        <v>10</v>
      </c>
      <c r="L6" s="39">
        <v>6.8250000000000005E-2</v>
      </c>
      <c r="M6" s="39">
        <v>2.5499999999999997E-3</v>
      </c>
      <c r="N6" s="39">
        <v>1.2E-8</v>
      </c>
      <c r="O6" s="39">
        <v>1.3999999999999999E-6</v>
      </c>
      <c r="P6" s="41">
        <v>6.1999999999999999E-7</v>
      </c>
    </row>
    <row r="7" spans="1:16" x14ac:dyDescent="0.25">
      <c r="A7" s="38">
        <f t="shared" si="0"/>
        <v>10</v>
      </c>
      <c r="B7" s="39" t="s">
        <v>38</v>
      </c>
      <c r="C7" s="40">
        <f t="shared" si="1"/>
        <v>1.2E-8</v>
      </c>
      <c r="D7" s="40">
        <f t="shared" si="2"/>
        <v>39200000</v>
      </c>
      <c r="E7" s="39" t="s">
        <v>48</v>
      </c>
      <c r="F7" s="39" t="s">
        <v>99</v>
      </c>
      <c r="G7" s="39">
        <f t="shared" si="3"/>
        <v>6.8250000000000005E-2</v>
      </c>
      <c r="H7" s="40">
        <f t="shared" si="4"/>
        <v>287.17948717948713</v>
      </c>
      <c r="I7" s="41" t="s">
        <v>48</v>
      </c>
      <c r="K7" s="38">
        <v>14.5</v>
      </c>
      <c r="L7" s="39">
        <v>5.9549999999999999E-2</v>
      </c>
      <c r="M7" s="39">
        <v>3.2500000000000003E-3</v>
      </c>
      <c r="N7" s="39">
        <v>4.0000000000000001E-8</v>
      </c>
      <c r="O7" s="39">
        <v>1.08E-6</v>
      </c>
      <c r="P7" s="41">
        <v>6.9999999999999997E-7</v>
      </c>
    </row>
    <row r="8" spans="1:16" x14ac:dyDescent="0.25">
      <c r="A8" s="38">
        <f t="shared" si="0"/>
        <v>14.5</v>
      </c>
      <c r="B8" s="39" t="s">
        <v>39</v>
      </c>
      <c r="C8" s="40">
        <f t="shared" si="1"/>
        <v>4.0000000000000001E-8</v>
      </c>
      <c r="D8" s="40">
        <f t="shared" si="2"/>
        <v>39200000</v>
      </c>
      <c r="E8" s="39" t="s">
        <v>48</v>
      </c>
      <c r="F8" s="39" t="s">
        <v>100</v>
      </c>
      <c r="G8" s="39">
        <f t="shared" si="3"/>
        <v>5.9549999999999999E-2</v>
      </c>
      <c r="H8" s="40">
        <f t="shared" si="4"/>
        <v>329.13518052057094</v>
      </c>
      <c r="I8" s="41" t="s">
        <v>48</v>
      </c>
      <c r="K8" s="38">
        <v>25</v>
      </c>
      <c r="L8" s="39">
        <v>3.2780000000000004E-2</v>
      </c>
      <c r="M8" s="39">
        <v>5.5599999999999998E-3</v>
      </c>
      <c r="N8" s="39">
        <v>2.2999999999999998E-8</v>
      </c>
      <c r="O8" s="39">
        <v>6.5899999999999996E-7</v>
      </c>
      <c r="P8" s="41">
        <v>1.02E-6</v>
      </c>
    </row>
    <row r="9" spans="1:16" x14ac:dyDescent="0.25">
      <c r="A9" s="38">
        <f t="shared" si="0"/>
        <v>25</v>
      </c>
      <c r="B9" s="39" t="s">
        <v>40</v>
      </c>
      <c r="C9" s="40">
        <f t="shared" si="1"/>
        <v>2.2999999999999998E-8</v>
      </c>
      <c r="D9" s="40">
        <f t="shared" si="2"/>
        <v>39200000</v>
      </c>
      <c r="E9" s="39" t="s">
        <v>48</v>
      </c>
      <c r="F9" s="39" t="s">
        <v>101</v>
      </c>
      <c r="G9" s="39">
        <f t="shared" si="3"/>
        <v>3.2780000000000004E-2</v>
      </c>
      <c r="H9" s="40">
        <f t="shared" si="4"/>
        <v>597.92556436851726</v>
      </c>
      <c r="I9" s="41" t="s">
        <v>48</v>
      </c>
      <c r="K9" s="38">
        <v>41</v>
      </c>
      <c r="L9" s="39">
        <v>1.3970000000000002E-2</v>
      </c>
      <c r="M9" s="39">
        <v>8.4399999999999996E-3</v>
      </c>
      <c r="N9" s="39">
        <v>7.4999999999999993E-9</v>
      </c>
      <c r="O9" s="39">
        <v>4.7999999999999996E-7</v>
      </c>
      <c r="P9" s="41">
        <v>1.02E-6</v>
      </c>
    </row>
    <row r="10" spans="1:16" x14ac:dyDescent="0.25">
      <c r="A10" s="38">
        <f t="shared" si="0"/>
        <v>41</v>
      </c>
      <c r="B10" s="39" t="s">
        <v>41</v>
      </c>
      <c r="C10" s="40">
        <f t="shared" si="1"/>
        <v>7.4999999999999993E-9</v>
      </c>
      <c r="D10" s="40">
        <f t="shared" si="2"/>
        <v>39200000</v>
      </c>
      <c r="E10" s="39" t="s">
        <v>48</v>
      </c>
      <c r="F10" s="39" t="s">
        <v>102</v>
      </c>
      <c r="G10" s="39">
        <f t="shared" si="3"/>
        <v>1.3970000000000002E-2</v>
      </c>
      <c r="H10" s="40">
        <f t="shared" si="4"/>
        <v>1403.0064423765209</v>
      </c>
      <c r="I10" s="41" t="s">
        <v>48</v>
      </c>
      <c r="K10" s="42">
        <v>88</v>
      </c>
      <c r="L10" s="43">
        <v>8.2100000000000003E-3</v>
      </c>
      <c r="M10" s="43">
        <v>4.75E-4</v>
      </c>
      <c r="N10" s="43">
        <v>2.1354999999999997E-6</v>
      </c>
      <c r="O10" s="43">
        <v>0</v>
      </c>
      <c r="P10" s="45">
        <v>1.4E-8</v>
      </c>
    </row>
    <row r="11" spans="1:16" x14ac:dyDescent="0.25">
      <c r="A11" s="38">
        <f t="shared" si="0"/>
        <v>88</v>
      </c>
      <c r="B11" s="39" t="s">
        <v>42</v>
      </c>
      <c r="C11" s="40">
        <f t="shared" si="1"/>
        <v>2.1354999999999997E-6</v>
      </c>
      <c r="D11" s="40">
        <f t="shared" si="2"/>
        <v>9178178.4125497546</v>
      </c>
      <c r="E11" s="39" t="s">
        <v>48</v>
      </c>
      <c r="F11" s="39" t="s">
        <v>103</v>
      </c>
      <c r="G11" s="39">
        <f t="shared" si="3"/>
        <v>8.2100000000000003E-3</v>
      </c>
      <c r="H11" s="40">
        <f t="shared" si="4"/>
        <v>2387.3325213154685</v>
      </c>
      <c r="I11" s="41" t="s">
        <v>48</v>
      </c>
    </row>
    <row r="12" spans="1:16" x14ac:dyDescent="0.25">
      <c r="A12" s="38">
        <v>2.2000000000000002</v>
      </c>
      <c r="B12" s="39" t="s">
        <v>43</v>
      </c>
      <c r="C12" s="39">
        <f t="shared" ref="C12:C18" si="5">P4</f>
        <v>2.9999999999999997E-8</v>
      </c>
      <c r="D12" s="40">
        <f t="shared" ref="D12:D25" si="6">IF(C12&lt;0.0000001,(1.96/(0.00000005)),(1.96/(0.1*C12)))</f>
        <v>39200000</v>
      </c>
      <c r="E12" s="39" t="s">
        <v>48</v>
      </c>
      <c r="F12" s="39" t="s">
        <v>105</v>
      </c>
      <c r="G12" s="39">
        <f t="shared" ref="G12:G18" si="7">M4</f>
        <v>6.9999999999999999E-4</v>
      </c>
      <c r="H12" s="40">
        <f t="shared" si="4"/>
        <v>27999.999999999996</v>
      </c>
      <c r="I12" s="41" t="s">
        <v>48</v>
      </c>
    </row>
    <row r="13" spans="1:16" x14ac:dyDescent="0.25">
      <c r="A13" s="38">
        <v>5</v>
      </c>
      <c r="B13" s="39" t="s">
        <v>44</v>
      </c>
      <c r="C13" s="39">
        <f t="shared" si="5"/>
        <v>1.4799999999999998E-7</v>
      </c>
      <c r="D13" s="40">
        <f t="shared" si="6"/>
        <v>132432432.43243244</v>
      </c>
      <c r="E13" s="39" t="s">
        <v>48</v>
      </c>
      <c r="F13" s="39" t="s">
        <v>106</v>
      </c>
      <c r="G13" s="39">
        <f t="shared" si="7"/>
        <v>1.6299999999999999E-3</v>
      </c>
      <c r="H13" s="40">
        <f t="shared" si="4"/>
        <v>12024.539877300613</v>
      </c>
      <c r="I13" s="41" t="s">
        <v>48</v>
      </c>
    </row>
    <row r="14" spans="1:16" x14ac:dyDescent="0.25">
      <c r="A14" s="38">
        <v>10</v>
      </c>
      <c r="B14" s="39" t="s">
        <v>14</v>
      </c>
      <c r="C14" s="39">
        <f t="shared" si="5"/>
        <v>6.1999999999999999E-7</v>
      </c>
      <c r="D14" s="40">
        <f t="shared" si="6"/>
        <v>31612903.225806452</v>
      </c>
      <c r="E14" s="39" t="s">
        <v>48</v>
      </c>
      <c r="F14" s="39" t="s">
        <v>107</v>
      </c>
      <c r="G14" s="39">
        <f t="shared" si="7"/>
        <v>2.5499999999999997E-3</v>
      </c>
      <c r="H14" s="40">
        <f t="shared" si="4"/>
        <v>7686.2745098039222</v>
      </c>
      <c r="I14" s="41" t="s">
        <v>48</v>
      </c>
    </row>
    <row r="15" spans="1:16" x14ac:dyDescent="0.25">
      <c r="A15" s="38">
        <v>14.5</v>
      </c>
      <c r="B15" s="39" t="s">
        <v>45</v>
      </c>
      <c r="C15" s="39">
        <f t="shared" si="5"/>
        <v>6.9999999999999997E-7</v>
      </c>
      <c r="D15" s="40">
        <f t="shared" si="6"/>
        <v>27999999.999999996</v>
      </c>
      <c r="E15" s="39" t="s">
        <v>48</v>
      </c>
      <c r="F15" s="39" t="s">
        <v>108</v>
      </c>
      <c r="G15" s="39">
        <f t="shared" si="7"/>
        <v>3.2500000000000003E-3</v>
      </c>
      <c r="H15" s="40">
        <f t="shared" si="4"/>
        <v>6030.7692307692296</v>
      </c>
      <c r="I15" s="41" t="s">
        <v>48</v>
      </c>
    </row>
    <row r="16" spans="1:16" x14ac:dyDescent="0.25">
      <c r="A16" s="38">
        <v>25</v>
      </c>
      <c r="B16" s="39" t="s">
        <v>13</v>
      </c>
      <c r="C16" s="39">
        <f t="shared" si="5"/>
        <v>1.02E-6</v>
      </c>
      <c r="D16" s="40">
        <f t="shared" si="6"/>
        <v>19215686.274509802</v>
      </c>
      <c r="E16" s="39" t="s">
        <v>48</v>
      </c>
      <c r="F16" s="39" t="s">
        <v>109</v>
      </c>
      <c r="G16" s="39">
        <f t="shared" si="7"/>
        <v>5.5599999999999998E-3</v>
      </c>
      <c r="H16" s="40">
        <f t="shared" si="4"/>
        <v>3525.1798561151081</v>
      </c>
      <c r="I16" s="41" t="s">
        <v>48</v>
      </c>
    </row>
    <row r="17" spans="1:10" x14ac:dyDescent="0.25">
      <c r="A17" s="38">
        <v>41</v>
      </c>
      <c r="B17" s="39" t="s">
        <v>46</v>
      </c>
      <c r="C17" s="39">
        <f t="shared" si="5"/>
        <v>1.02E-6</v>
      </c>
      <c r="D17" s="40">
        <f t="shared" si="6"/>
        <v>19215686.274509802</v>
      </c>
      <c r="E17" s="39" t="s">
        <v>48</v>
      </c>
      <c r="F17" s="39" t="s">
        <v>110</v>
      </c>
      <c r="G17" s="39">
        <f t="shared" si="7"/>
        <v>8.4399999999999996E-3</v>
      </c>
      <c r="H17" s="40">
        <f t="shared" si="4"/>
        <v>2322.2748815165874</v>
      </c>
      <c r="I17" s="41" t="s">
        <v>48</v>
      </c>
    </row>
    <row r="18" spans="1:10" x14ac:dyDescent="0.25">
      <c r="A18" s="38">
        <v>88</v>
      </c>
      <c r="B18" s="39" t="s">
        <v>47</v>
      </c>
      <c r="C18" s="39">
        <f t="shared" si="5"/>
        <v>1.4E-8</v>
      </c>
      <c r="D18" s="40">
        <f t="shared" si="6"/>
        <v>39200000</v>
      </c>
      <c r="E18" s="39" t="s">
        <v>48</v>
      </c>
      <c r="F18" s="39" t="s">
        <v>104</v>
      </c>
      <c r="G18" s="39">
        <f t="shared" si="7"/>
        <v>4.75E-4</v>
      </c>
      <c r="H18" s="40">
        <f t="shared" si="4"/>
        <v>41263.15789473684</v>
      </c>
      <c r="I18" s="41" t="s">
        <v>48</v>
      </c>
    </row>
    <row r="19" spans="1:10" x14ac:dyDescent="0.25">
      <c r="A19" s="38">
        <v>2.2000000000000002</v>
      </c>
      <c r="B19" s="39" t="s">
        <v>58</v>
      </c>
      <c r="C19" s="39">
        <f t="shared" ref="C19:C25" si="8">O4</f>
        <v>1.4E-8</v>
      </c>
      <c r="D19" s="40">
        <f t="shared" si="6"/>
        <v>39200000</v>
      </c>
      <c r="E19" s="39" t="s">
        <v>48</v>
      </c>
      <c r="F19" s="39"/>
      <c r="G19" s="39"/>
      <c r="H19" s="40"/>
      <c r="I19" s="41"/>
    </row>
    <row r="20" spans="1:10" x14ac:dyDescent="0.25">
      <c r="A20" s="38">
        <v>5</v>
      </c>
      <c r="B20" s="39" t="s">
        <v>59</v>
      </c>
      <c r="C20" s="39">
        <f t="shared" si="8"/>
        <v>1.2299999999999999E-6</v>
      </c>
      <c r="D20" s="40">
        <f t="shared" si="6"/>
        <v>15934959.349593496</v>
      </c>
      <c r="E20" s="39" t="s">
        <v>48</v>
      </c>
      <c r="F20" s="39"/>
      <c r="G20" s="39"/>
      <c r="H20" s="40"/>
      <c r="I20" s="41"/>
    </row>
    <row r="21" spans="1:10" x14ac:dyDescent="0.25">
      <c r="A21" s="38">
        <v>10</v>
      </c>
      <c r="B21" s="39" t="s">
        <v>60</v>
      </c>
      <c r="C21" s="39">
        <f t="shared" si="8"/>
        <v>1.3999999999999999E-6</v>
      </c>
      <c r="D21" s="40">
        <f t="shared" si="6"/>
        <v>13999999.999999998</v>
      </c>
      <c r="E21" s="39" t="s">
        <v>48</v>
      </c>
      <c r="F21" s="39"/>
      <c r="G21" s="39"/>
      <c r="H21" s="40"/>
      <c r="I21" s="41"/>
    </row>
    <row r="22" spans="1:10" x14ac:dyDescent="0.25">
      <c r="A22" s="38">
        <v>14.5</v>
      </c>
      <c r="B22" s="39" t="s">
        <v>61</v>
      </c>
      <c r="C22" s="39">
        <f t="shared" si="8"/>
        <v>1.08E-6</v>
      </c>
      <c r="D22" s="40">
        <f t="shared" si="6"/>
        <v>18148148.148148146</v>
      </c>
      <c r="E22" s="39" t="s">
        <v>48</v>
      </c>
      <c r="F22" s="39"/>
      <c r="G22" s="39"/>
      <c r="H22" s="40"/>
      <c r="I22" s="41"/>
    </row>
    <row r="23" spans="1:10" x14ac:dyDescent="0.25">
      <c r="A23" s="38">
        <v>25</v>
      </c>
      <c r="B23" s="39" t="s">
        <v>62</v>
      </c>
      <c r="C23" s="39">
        <f t="shared" si="8"/>
        <v>6.5899999999999996E-7</v>
      </c>
      <c r="D23" s="40">
        <f t="shared" si="6"/>
        <v>29742033.383915022</v>
      </c>
      <c r="E23" s="39" t="s">
        <v>48</v>
      </c>
      <c r="F23" s="39"/>
      <c r="G23" s="39"/>
      <c r="H23" s="40"/>
      <c r="I23" s="41"/>
    </row>
    <row r="24" spans="1:10" x14ac:dyDescent="0.25">
      <c r="A24" s="38">
        <v>41</v>
      </c>
      <c r="B24" s="39" t="s">
        <v>63</v>
      </c>
      <c r="C24" s="39">
        <f t="shared" si="8"/>
        <v>4.7999999999999996E-7</v>
      </c>
      <c r="D24" s="40">
        <f t="shared" si="6"/>
        <v>40833333.333333336</v>
      </c>
      <c r="E24" s="39" t="s">
        <v>48</v>
      </c>
      <c r="F24" s="39"/>
      <c r="G24" s="39"/>
      <c r="H24" s="40"/>
      <c r="I24" s="41"/>
    </row>
    <row r="25" spans="1:10" x14ac:dyDescent="0.25">
      <c r="A25" s="42">
        <v>88</v>
      </c>
      <c r="B25" s="43" t="s">
        <v>64</v>
      </c>
      <c r="C25" s="43">
        <f t="shared" si="8"/>
        <v>0</v>
      </c>
      <c r="D25" s="44">
        <f t="shared" si="6"/>
        <v>39200000</v>
      </c>
      <c r="E25" s="43" t="s">
        <v>48</v>
      </c>
      <c r="F25" s="43"/>
      <c r="G25" s="43"/>
      <c r="H25" s="44"/>
      <c r="I25" s="45"/>
    </row>
    <row r="29" spans="1:10" x14ac:dyDescent="0.25">
      <c r="E29" s="1"/>
    </row>
    <row r="30" spans="1:10" x14ac:dyDescent="0.25">
      <c r="A30" s="46" t="s">
        <v>57</v>
      </c>
      <c r="B30" s="47"/>
      <c r="C30" s="47"/>
      <c r="D30" s="47"/>
      <c r="E30" s="47"/>
      <c r="F30" s="47"/>
      <c r="G30" s="47"/>
      <c r="H30" s="47"/>
      <c r="I30" s="47"/>
      <c r="J30" s="48"/>
    </row>
    <row r="31" spans="1:10" x14ac:dyDescent="0.25">
      <c r="A31" s="38" t="s">
        <v>50</v>
      </c>
      <c r="B31" s="39" t="s">
        <v>53</v>
      </c>
      <c r="C31" s="39" t="s">
        <v>55</v>
      </c>
      <c r="D31" s="40">
        <f>MODEL!T4</f>
        <v>2000000000000</v>
      </c>
      <c r="E31" s="40">
        <f>D31*0.8</f>
        <v>1600000000000</v>
      </c>
      <c r="F31" s="40">
        <f>D31*1.2</f>
        <v>2400000000000</v>
      </c>
      <c r="G31" s="39" t="s">
        <v>56</v>
      </c>
      <c r="H31" s="39">
        <v>1</v>
      </c>
      <c r="I31" s="39">
        <v>0</v>
      </c>
      <c r="J31" s="41">
        <v>1</v>
      </c>
    </row>
    <row r="32" spans="1:10" x14ac:dyDescent="0.25">
      <c r="A32" s="38" t="s">
        <v>51</v>
      </c>
      <c r="B32" s="39" t="s">
        <v>53</v>
      </c>
      <c r="C32" s="39" t="s">
        <v>55</v>
      </c>
      <c r="D32" s="40">
        <f>MODEL!T7</f>
        <v>0.39</v>
      </c>
      <c r="E32" s="40">
        <f>D32*0.8</f>
        <v>0.31200000000000006</v>
      </c>
      <c r="F32" s="40">
        <f>D32*1.2</f>
        <v>0.46799999999999997</v>
      </c>
      <c r="G32" s="39" t="s">
        <v>56</v>
      </c>
      <c r="H32" s="39">
        <v>1</v>
      </c>
      <c r="I32" s="39">
        <v>0</v>
      </c>
      <c r="J32" s="41">
        <v>1</v>
      </c>
    </row>
    <row r="33" spans="1:15" x14ac:dyDescent="0.25">
      <c r="A33" s="38" t="s">
        <v>52</v>
      </c>
      <c r="B33" s="39" t="s">
        <v>53</v>
      </c>
      <c r="C33" s="39" t="s">
        <v>55</v>
      </c>
      <c r="D33" s="40">
        <f>MODEL!T5</f>
        <v>83000000</v>
      </c>
      <c r="E33" s="40">
        <f>D33*0.8</f>
        <v>66400000</v>
      </c>
      <c r="F33" s="40">
        <f>D33*1.2</f>
        <v>99600000</v>
      </c>
      <c r="G33" s="39" t="s">
        <v>56</v>
      </c>
      <c r="H33" s="39">
        <v>1</v>
      </c>
      <c r="I33" s="39">
        <v>0</v>
      </c>
      <c r="J33" s="41">
        <v>1</v>
      </c>
    </row>
    <row r="34" spans="1:15" x14ac:dyDescent="0.25">
      <c r="A34" s="42" t="s">
        <v>54</v>
      </c>
      <c r="B34" s="43" t="s">
        <v>53</v>
      </c>
      <c r="C34" s="43" t="s">
        <v>55</v>
      </c>
      <c r="D34" s="44">
        <f>MODEL!T8</f>
        <v>2100000</v>
      </c>
      <c r="E34" s="44">
        <f>D34*0.8</f>
        <v>1680000</v>
      </c>
      <c r="F34" s="44">
        <f>D34*1.2</f>
        <v>2520000</v>
      </c>
      <c r="G34" s="43" t="s">
        <v>56</v>
      </c>
      <c r="H34" s="43">
        <v>1</v>
      </c>
      <c r="I34" s="43">
        <v>0</v>
      </c>
      <c r="J34" s="45">
        <v>1</v>
      </c>
    </row>
    <row r="38" spans="1:15" x14ac:dyDescent="0.25">
      <c r="A38" s="34"/>
      <c r="B38" s="35" t="s">
        <v>65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7"/>
    </row>
    <row r="39" spans="1:15" x14ac:dyDescent="0.25">
      <c r="A39" s="38"/>
      <c r="B39" s="39"/>
      <c r="C39" s="39" t="s">
        <v>66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41"/>
    </row>
    <row r="40" spans="1:15" x14ac:dyDescent="0.25">
      <c r="A40" s="38">
        <v>2.2000000000000002</v>
      </c>
      <c r="B40" s="39">
        <v>46</v>
      </c>
      <c r="C40" s="39">
        <f>B40-1</f>
        <v>45</v>
      </c>
      <c r="D40" s="49">
        <v>45</v>
      </c>
      <c r="E40" s="39"/>
      <c r="F40" s="39" t="s">
        <v>67</v>
      </c>
      <c r="G40" s="39">
        <f>D40</f>
        <v>45</v>
      </c>
      <c r="H40" s="39" t="s">
        <v>68</v>
      </c>
      <c r="I40" s="39" t="s">
        <v>68</v>
      </c>
      <c r="J40" s="39" t="s">
        <v>68</v>
      </c>
      <c r="K40" s="39" t="s">
        <v>69</v>
      </c>
      <c r="L40" s="39" t="s">
        <v>68</v>
      </c>
      <c r="M40" s="39" t="s">
        <v>76</v>
      </c>
      <c r="N40" s="39" t="s">
        <v>68</v>
      </c>
      <c r="O40" s="41" t="s">
        <v>83</v>
      </c>
    </row>
    <row r="41" spans="1:15" x14ac:dyDescent="0.25">
      <c r="A41" s="38">
        <v>5</v>
      </c>
      <c r="B41" s="39">
        <v>102</v>
      </c>
      <c r="C41" s="39">
        <f t="shared" ref="C41:C46" si="9">B41-1</f>
        <v>101</v>
      </c>
      <c r="D41" s="49">
        <f t="shared" ref="D41:D46" si="10">C41-C40</f>
        <v>56</v>
      </c>
      <c r="E41" s="39"/>
      <c r="F41" s="39" t="s">
        <v>67</v>
      </c>
      <c r="G41" s="39">
        <f t="shared" ref="G41:G46" si="11">D41</f>
        <v>56</v>
      </c>
      <c r="H41" s="39" t="s">
        <v>68</v>
      </c>
      <c r="I41" s="39" t="s">
        <v>68</v>
      </c>
      <c r="J41" s="39" t="s">
        <v>68</v>
      </c>
      <c r="K41" s="39" t="s">
        <v>70</v>
      </c>
      <c r="L41" s="39" t="s">
        <v>68</v>
      </c>
      <c r="M41" s="39" t="s">
        <v>77</v>
      </c>
      <c r="N41" s="39" t="s">
        <v>68</v>
      </c>
      <c r="O41" s="41" t="s">
        <v>84</v>
      </c>
    </row>
    <row r="42" spans="1:15" x14ac:dyDescent="0.25">
      <c r="A42" s="38">
        <v>10</v>
      </c>
      <c r="B42" s="39">
        <v>202</v>
      </c>
      <c r="C42" s="39">
        <f t="shared" si="9"/>
        <v>201</v>
      </c>
      <c r="D42" s="49">
        <f t="shared" si="10"/>
        <v>100</v>
      </c>
      <c r="E42" s="39"/>
      <c r="F42" s="39" t="s">
        <v>67</v>
      </c>
      <c r="G42" s="39">
        <f t="shared" si="11"/>
        <v>100</v>
      </c>
      <c r="H42" s="39" t="s">
        <v>68</v>
      </c>
      <c r="I42" s="39" t="s">
        <v>68</v>
      </c>
      <c r="J42" s="39" t="s">
        <v>68</v>
      </c>
      <c r="K42" s="39" t="s">
        <v>71</v>
      </c>
      <c r="L42" s="39" t="s">
        <v>68</v>
      </c>
      <c r="M42" s="39" t="s">
        <v>78</v>
      </c>
      <c r="N42" s="39" t="s">
        <v>68</v>
      </c>
      <c r="O42" s="41" t="s">
        <v>85</v>
      </c>
    </row>
    <row r="43" spans="1:15" x14ac:dyDescent="0.25">
      <c r="A43" s="38">
        <v>14.5</v>
      </c>
      <c r="B43" s="39">
        <v>292</v>
      </c>
      <c r="C43" s="39">
        <f t="shared" si="9"/>
        <v>291</v>
      </c>
      <c r="D43" s="49">
        <f t="shared" si="10"/>
        <v>90</v>
      </c>
      <c r="E43" s="39"/>
      <c r="F43" s="39" t="s">
        <v>67</v>
      </c>
      <c r="G43" s="39">
        <f t="shared" si="11"/>
        <v>90</v>
      </c>
      <c r="H43" s="39" t="s">
        <v>68</v>
      </c>
      <c r="I43" s="39" t="s">
        <v>68</v>
      </c>
      <c r="J43" s="39" t="s">
        <v>68</v>
      </c>
      <c r="K43" s="39" t="s">
        <v>72</v>
      </c>
      <c r="L43" s="39" t="s">
        <v>68</v>
      </c>
      <c r="M43" s="39" t="s">
        <v>79</v>
      </c>
      <c r="N43" s="39" t="s">
        <v>68</v>
      </c>
      <c r="O43" s="41" t="s">
        <v>86</v>
      </c>
    </row>
    <row r="44" spans="1:15" x14ac:dyDescent="0.25">
      <c r="A44" s="38">
        <v>25</v>
      </c>
      <c r="B44" s="39">
        <v>501</v>
      </c>
      <c r="C44" s="39">
        <f t="shared" si="9"/>
        <v>500</v>
      </c>
      <c r="D44" s="49">
        <f t="shared" si="10"/>
        <v>209</v>
      </c>
      <c r="E44" s="39"/>
      <c r="F44" s="39" t="s">
        <v>67</v>
      </c>
      <c r="G44" s="39">
        <f t="shared" si="11"/>
        <v>209</v>
      </c>
      <c r="H44" s="39" t="s">
        <v>68</v>
      </c>
      <c r="I44" s="39" t="s">
        <v>68</v>
      </c>
      <c r="J44" s="39" t="s">
        <v>68</v>
      </c>
      <c r="K44" s="39" t="s">
        <v>73</v>
      </c>
      <c r="L44" s="39" t="s">
        <v>68</v>
      </c>
      <c r="M44" s="39" t="s">
        <v>80</v>
      </c>
      <c r="N44" s="39" t="s">
        <v>68</v>
      </c>
      <c r="O44" s="41" t="s">
        <v>87</v>
      </c>
    </row>
    <row r="45" spans="1:15" x14ac:dyDescent="0.25">
      <c r="A45" s="38">
        <v>41</v>
      </c>
      <c r="B45" s="39">
        <v>822</v>
      </c>
      <c r="C45" s="39">
        <f t="shared" si="9"/>
        <v>821</v>
      </c>
      <c r="D45" s="49">
        <f t="shared" si="10"/>
        <v>321</v>
      </c>
      <c r="E45" s="39"/>
      <c r="F45" s="39" t="s">
        <v>67</v>
      </c>
      <c r="G45" s="39">
        <f t="shared" si="11"/>
        <v>321</v>
      </c>
      <c r="H45" s="39" t="s">
        <v>68</v>
      </c>
      <c r="I45" s="39" t="s">
        <v>68</v>
      </c>
      <c r="J45" s="39" t="s">
        <v>68</v>
      </c>
      <c r="K45" s="39" t="s">
        <v>74</v>
      </c>
      <c r="L45" s="39" t="s">
        <v>68</v>
      </c>
      <c r="M45" s="39" t="s">
        <v>81</v>
      </c>
      <c r="N45" s="39" t="s">
        <v>68</v>
      </c>
      <c r="O45" s="41" t="s">
        <v>88</v>
      </c>
    </row>
    <row r="46" spans="1:15" x14ac:dyDescent="0.25">
      <c r="A46" s="42">
        <v>88</v>
      </c>
      <c r="B46" s="43">
        <v>1762</v>
      </c>
      <c r="C46" s="43">
        <f t="shared" si="9"/>
        <v>1761</v>
      </c>
      <c r="D46" s="50">
        <f t="shared" si="10"/>
        <v>940</v>
      </c>
      <c r="E46" s="43"/>
      <c r="F46" s="43" t="s">
        <v>67</v>
      </c>
      <c r="G46" s="43">
        <f t="shared" si="11"/>
        <v>940</v>
      </c>
      <c r="H46" s="43" t="s">
        <v>68</v>
      </c>
      <c r="I46" s="43" t="s">
        <v>68</v>
      </c>
      <c r="J46" s="43" t="s">
        <v>68</v>
      </c>
      <c r="K46" s="43" t="s">
        <v>75</v>
      </c>
      <c r="L46" s="43" t="s">
        <v>68</v>
      </c>
      <c r="M46" s="43" t="s">
        <v>82</v>
      </c>
      <c r="N46" s="43" t="s">
        <v>68</v>
      </c>
      <c r="O46" s="45" t="s">
        <v>89</v>
      </c>
    </row>
    <row r="51" spans="1:10" x14ac:dyDescent="0.25">
      <c r="A51" s="34" t="s">
        <v>111</v>
      </c>
      <c r="B51" s="35"/>
      <c r="C51" s="35"/>
      <c r="D51" s="35"/>
      <c r="E51" s="35"/>
      <c r="F51" s="35"/>
      <c r="G51" s="35"/>
      <c r="H51" s="35"/>
      <c r="I51" s="35"/>
      <c r="J51" s="37"/>
    </row>
    <row r="52" spans="1:10" x14ac:dyDescent="0.25">
      <c r="A52" s="38" t="s">
        <v>90</v>
      </c>
      <c r="B52" s="39" t="s">
        <v>53</v>
      </c>
      <c r="C52" s="39" t="s">
        <v>55</v>
      </c>
      <c r="D52" s="39">
        <v>2</v>
      </c>
      <c r="E52" s="40">
        <f>D52/10</f>
        <v>0.2</v>
      </c>
      <c r="F52" s="39">
        <f>D52*10</f>
        <v>20</v>
      </c>
      <c r="G52" s="39" t="s">
        <v>56</v>
      </c>
      <c r="H52" s="39">
        <v>1</v>
      </c>
      <c r="I52" s="39">
        <v>0</v>
      </c>
      <c r="J52" s="41">
        <v>1</v>
      </c>
    </row>
    <row r="53" spans="1:10" x14ac:dyDescent="0.25">
      <c r="A53" s="38" t="s">
        <v>91</v>
      </c>
      <c r="B53" s="39" t="s">
        <v>53</v>
      </c>
      <c r="C53" s="39" t="s">
        <v>55</v>
      </c>
      <c r="D53" s="40">
        <v>1E-4</v>
      </c>
      <c r="E53" s="40">
        <f t="shared" ref="E53:E58" si="12">D53/10</f>
        <v>1.0000000000000001E-5</v>
      </c>
      <c r="F53" s="39">
        <f t="shared" ref="F53:F58" si="13">D53*10</f>
        <v>1E-3</v>
      </c>
      <c r="G53" s="39" t="s">
        <v>56</v>
      </c>
      <c r="H53" s="39">
        <v>1</v>
      </c>
      <c r="I53" s="39">
        <v>0</v>
      </c>
      <c r="J53" s="41">
        <v>1</v>
      </c>
    </row>
    <row r="54" spans="1:10" x14ac:dyDescent="0.25">
      <c r="A54" s="38" t="s">
        <v>92</v>
      </c>
      <c r="B54" s="39" t="s">
        <v>53</v>
      </c>
      <c r="C54" s="39" t="s">
        <v>55</v>
      </c>
      <c r="D54" s="40">
        <v>0.1</v>
      </c>
      <c r="E54" s="40">
        <f t="shared" si="12"/>
        <v>0.01</v>
      </c>
      <c r="F54" s="39">
        <f t="shared" si="13"/>
        <v>1</v>
      </c>
      <c r="G54" s="39" t="s">
        <v>56</v>
      </c>
      <c r="H54" s="39">
        <v>1</v>
      </c>
      <c r="I54" s="39">
        <v>0</v>
      </c>
      <c r="J54" s="41">
        <v>1</v>
      </c>
    </row>
    <row r="55" spans="1:10" x14ac:dyDescent="0.25">
      <c r="A55" s="38" t="s">
        <v>94</v>
      </c>
      <c r="B55" s="39" t="s">
        <v>53</v>
      </c>
      <c r="C55" s="39" t="s">
        <v>55</v>
      </c>
      <c r="D55" s="39">
        <v>1.99</v>
      </c>
      <c r="E55" s="40">
        <f t="shared" si="12"/>
        <v>0.19900000000000001</v>
      </c>
      <c r="F55" s="39">
        <f t="shared" si="13"/>
        <v>19.899999999999999</v>
      </c>
      <c r="G55" s="39" t="s">
        <v>56</v>
      </c>
      <c r="H55" s="39">
        <v>1</v>
      </c>
      <c r="I55" s="39">
        <v>0</v>
      </c>
      <c r="J55" s="41">
        <v>1</v>
      </c>
    </row>
    <row r="56" spans="1:10" x14ac:dyDescent="0.25">
      <c r="A56" s="38" t="s">
        <v>95</v>
      </c>
      <c r="B56" s="39" t="s">
        <v>53</v>
      </c>
      <c r="C56" s="39" t="s">
        <v>55</v>
      </c>
      <c r="D56" s="40">
        <v>7.4999999999999993E-5</v>
      </c>
      <c r="E56" s="40">
        <f t="shared" si="12"/>
        <v>7.4999999999999993E-6</v>
      </c>
      <c r="F56" s="39">
        <f t="shared" si="13"/>
        <v>7.4999999999999991E-4</v>
      </c>
      <c r="G56" s="39" t="s">
        <v>56</v>
      </c>
      <c r="H56" s="39">
        <v>1</v>
      </c>
      <c r="I56" s="39">
        <v>0</v>
      </c>
      <c r="J56" s="41">
        <v>1</v>
      </c>
    </row>
    <row r="57" spans="1:10" x14ac:dyDescent="0.25">
      <c r="A57" s="38" t="s">
        <v>93</v>
      </c>
      <c r="B57" s="39" t="s">
        <v>53</v>
      </c>
      <c r="C57" s="39" t="s">
        <v>55</v>
      </c>
      <c r="D57" s="40">
        <v>4.2999999999999997E-2</v>
      </c>
      <c r="E57" s="40">
        <f t="shared" si="12"/>
        <v>4.3E-3</v>
      </c>
      <c r="F57" s="39">
        <f t="shared" si="13"/>
        <v>0.42999999999999994</v>
      </c>
      <c r="G57" s="39" t="s">
        <v>56</v>
      </c>
      <c r="H57" s="39">
        <v>1</v>
      </c>
      <c r="I57" s="39">
        <v>0</v>
      </c>
      <c r="J57" s="41">
        <v>1</v>
      </c>
    </row>
    <row r="58" spans="1:10" x14ac:dyDescent="0.25">
      <c r="A58" s="38" t="s">
        <v>96</v>
      </c>
      <c r="B58" s="39" t="s">
        <v>53</v>
      </c>
      <c r="C58" s="39" t="s">
        <v>55</v>
      </c>
      <c r="D58" s="40">
        <v>0.35</v>
      </c>
      <c r="E58" s="40">
        <f t="shared" si="12"/>
        <v>3.4999999999999996E-2</v>
      </c>
      <c r="F58" s="39">
        <f t="shared" si="13"/>
        <v>3.5</v>
      </c>
      <c r="G58" s="39" t="s">
        <v>56</v>
      </c>
      <c r="H58" s="39">
        <v>1</v>
      </c>
      <c r="I58" s="39">
        <v>0</v>
      </c>
      <c r="J58" s="41">
        <v>1</v>
      </c>
    </row>
    <row r="59" spans="1:10" x14ac:dyDescent="0.25">
      <c r="A59" s="38"/>
      <c r="B59" s="39"/>
      <c r="C59" s="39"/>
      <c r="D59" s="39"/>
      <c r="E59" s="39"/>
      <c r="F59" s="39"/>
      <c r="G59" s="39"/>
      <c r="H59" s="39"/>
      <c r="I59" s="39"/>
      <c r="J59" s="41"/>
    </row>
    <row r="60" spans="1:10" x14ac:dyDescent="0.25">
      <c r="A60" s="38" t="s">
        <v>90</v>
      </c>
      <c r="B60" s="39" t="s">
        <v>53</v>
      </c>
      <c r="C60" s="39" t="s">
        <v>55</v>
      </c>
      <c r="D60" s="39">
        <v>2</v>
      </c>
      <c r="E60" s="40">
        <f>D60*0.5</f>
        <v>1</v>
      </c>
      <c r="F60" s="39">
        <f>D60*1.5</f>
        <v>3</v>
      </c>
      <c r="G60" s="39" t="s">
        <v>56</v>
      </c>
      <c r="H60" s="51">
        <v>1</v>
      </c>
      <c r="I60" s="51">
        <v>0</v>
      </c>
      <c r="J60" s="41">
        <v>1</v>
      </c>
    </row>
    <row r="61" spans="1:10" x14ac:dyDescent="0.25">
      <c r="A61" s="38" t="s">
        <v>91</v>
      </c>
      <c r="B61" s="39" t="s">
        <v>53</v>
      </c>
      <c r="C61" s="39" t="s">
        <v>55</v>
      </c>
      <c r="D61" s="40">
        <v>8.9999999999999998E-4</v>
      </c>
      <c r="E61" s="40">
        <f t="shared" ref="E61:E66" si="14">D61*0.5</f>
        <v>4.4999999999999999E-4</v>
      </c>
      <c r="F61" s="39">
        <f t="shared" ref="F61:F66" si="15">D61*1.5</f>
        <v>1.3500000000000001E-3</v>
      </c>
      <c r="G61" s="39" t="s">
        <v>56</v>
      </c>
      <c r="H61" s="51">
        <v>1</v>
      </c>
      <c r="I61" s="51">
        <v>0</v>
      </c>
      <c r="J61" s="41">
        <v>1</v>
      </c>
    </row>
    <row r="62" spans="1:10" x14ac:dyDescent="0.25">
      <c r="A62" s="38" t="s">
        <v>92</v>
      </c>
      <c r="B62" s="39" t="s">
        <v>53</v>
      </c>
      <c r="C62" s="39" t="s">
        <v>55</v>
      </c>
      <c r="D62" s="40">
        <v>9.8100000000000007E-2</v>
      </c>
      <c r="E62" s="40">
        <f t="shared" si="14"/>
        <v>4.9050000000000003E-2</v>
      </c>
      <c r="F62" s="39">
        <f t="shared" si="15"/>
        <v>0.14715</v>
      </c>
      <c r="G62" s="39" t="s">
        <v>56</v>
      </c>
      <c r="H62" s="51">
        <v>1</v>
      </c>
      <c r="I62" s="51">
        <v>0</v>
      </c>
      <c r="J62" s="41">
        <v>1</v>
      </c>
    </row>
    <row r="63" spans="1:10" x14ac:dyDescent="0.25">
      <c r="A63" s="38" t="s">
        <v>94</v>
      </c>
      <c r="B63" s="39" t="s">
        <v>53</v>
      </c>
      <c r="C63" s="39" t="s">
        <v>55</v>
      </c>
      <c r="D63" s="39">
        <v>1.9890000000000001</v>
      </c>
      <c r="E63" s="40">
        <f t="shared" si="14"/>
        <v>0.99450000000000005</v>
      </c>
      <c r="F63" s="39">
        <f t="shared" si="15"/>
        <v>2.9835000000000003</v>
      </c>
      <c r="G63" s="39" t="s">
        <v>56</v>
      </c>
      <c r="H63" s="51">
        <v>1</v>
      </c>
      <c r="I63" s="51">
        <v>0</v>
      </c>
      <c r="J63" s="41">
        <v>1</v>
      </c>
    </row>
    <row r="64" spans="1:10" x14ac:dyDescent="0.25">
      <c r="A64" s="38" t="s">
        <v>95</v>
      </c>
      <c r="B64" s="39" t="s">
        <v>53</v>
      </c>
      <c r="C64" s="39" t="s">
        <v>55</v>
      </c>
      <c r="D64" s="40">
        <v>9.0000000000000006E-5</v>
      </c>
      <c r="E64" s="40">
        <f t="shared" si="14"/>
        <v>4.5000000000000003E-5</v>
      </c>
      <c r="F64" s="39">
        <f t="shared" si="15"/>
        <v>1.35E-4</v>
      </c>
      <c r="G64" s="39" t="s">
        <v>56</v>
      </c>
      <c r="H64" s="51">
        <v>1</v>
      </c>
      <c r="I64" s="51">
        <v>0</v>
      </c>
      <c r="J64" s="41">
        <v>1</v>
      </c>
    </row>
    <row r="65" spans="1:10" x14ac:dyDescent="0.25">
      <c r="A65" s="38" t="s">
        <v>93</v>
      </c>
      <c r="B65" s="39" t="s">
        <v>53</v>
      </c>
      <c r="C65" s="39" t="s">
        <v>55</v>
      </c>
      <c r="D65" s="40">
        <v>4.5620000000000001E-2</v>
      </c>
      <c r="E65" s="40">
        <f t="shared" si="14"/>
        <v>2.281E-2</v>
      </c>
      <c r="F65" s="39">
        <f t="shared" si="15"/>
        <v>6.8430000000000005E-2</v>
      </c>
      <c r="G65" s="39" t="s">
        <v>56</v>
      </c>
      <c r="H65" s="51">
        <v>1</v>
      </c>
      <c r="I65" s="51">
        <v>0</v>
      </c>
      <c r="J65" s="41">
        <v>1</v>
      </c>
    </row>
    <row r="66" spans="1:10" x14ac:dyDescent="0.25">
      <c r="A66" s="42" t="s">
        <v>96</v>
      </c>
      <c r="B66" s="43" t="s">
        <v>53</v>
      </c>
      <c r="C66" s="43" t="s">
        <v>55</v>
      </c>
      <c r="D66" s="44">
        <v>0.34970000000000001</v>
      </c>
      <c r="E66" s="44">
        <f t="shared" si="14"/>
        <v>0.17485000000000001</v>
      </c>
      <c r="F66" s="43">
        <f t="shared" si="15"/>
        <v>0.52455000000000007</v>
      </c>
      <c r="G66" s="43" t="s">
        <v>56</v>
      </c>
      <c r="H66" s="52">
        <v>1</v>
      </c>
      <c r="I66" s="52">
        <v>0</v>
      </c>
      <c r="J66" s="4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</vt:lpstr>
      <vt:lpstr>MOD_SMXN_Nodler</vt:lpstr>
      <vt:lpstr>MODEL</vt:lpstr>
      <vt:lpstr>PEST</vt:lpstr>
    </vt:vector>
  </TitlesOfParts>
  <Company>ETCG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Rodriguez</dc:creator>
  <cp:lastModifiedBy>Paula Rodriguez</cp:lastModifiedBy>
  <dcterms:created xsi:type="dcterms:W3CDTF">2015-11-04T10:30:03Z</dcterms:created>
  <dcterms:modified xsi:type="dcterms:W3CDTF">2016-09-09T12:04:12Z</dcterms:modified>
</cp:coreProperties>
</file>