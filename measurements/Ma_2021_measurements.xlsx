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 activeTab="3"/>
  </bookViews>
  <sheets>
    <sheet name="oxic" sheetId="3" r:id="rId1"/>
    <sheet name="anoxic" sheetId="4" r:id="rId2"/>
    <sheet name="Nitrogen" sheetId="5" r:id="rId3"/>
    <sheet name="oxygen" sheetId="6" r:id="rId4"/>
  </sheets>
  <definedNames>
    <definedName name="_xlchart.v1.0" hidden="1">anoxic!$F$1</definedName>
    <definedName name="_xlchart.v1.1" hidden="1">anoxic!$F$2:$F$15</definedName>
    <definedName name="_xlchart.v1.2" hidden="1">anoxic!$G$1</definedName>
    <definedName name="_xlchart.v1.3" hidden="1">anoxic!$G$2:$G$15</definedName>
    <definedName name="_xlchart.v1.4" hidden="1">anoxic!$H$1</definedName>
    <definedName name="_xlchart.v1.5" hidden="1">anoxic!$H$2:$H$15</definedName>
    <definedName name="_xlchart.v1.6" hidden="1">anoxic!$I$1</definedName>
    <definedName name="_xlchart.v1.7" hidden="1">anoxic!$I$2:$I$15</definedName>
    <definedName name="_xlchart.v1.8" hidden="1">anoxic!$J$1</definedName>
    <definedName name="_xlchart.v1.9" hidden="1">anoxic!$J$2:$J$15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<sst xmlns="http://schemas.openxmlformats.org/spreadsheetml/2006/main" count="331" uniqueCount="39">
  <si>
    <t>mL</t>
  </si>
  <si>
    <t>SDZ</t>
  </si>
  <si>
    <t>SMX</t>
  </si>
  <si>
    <t>SMZ</t>
  </si>
  <si>
    <t>AmMet</t>
  </si>
  <si>
    <t>DeA-SMX</t>
  </si>
  <si>
    <t>Nit-SMX</t>
  </si>
  <si>
    <t>Riverbed.H</t>
  </si>
  <si>
    <t>average [mol/L]</t>
  </si>
  <si>
    <t>std [mol/L]</t>
  </si>
  <si>
    <t>Riverbank.H</t>
  </si>
  <si>
    <t>Riverbed.S</t>
  </si>
  <si>
    <t>Riverbank.Y</t>
  </si>
  <si>
    <t>Riverbed.Y</t>
  </si>
  <si>
    <t>Riverbank.T</t>
  </si>
  <si>
    <t>Riverbed.T</t>
  </si>
  <si>
    <t>NH4-N</t>
  </si>
  <si>
    <t>day</t>
  </si>
  <si>
    <t>Hehe site</t>
  </si>
  <si>
    <t>Riverbed</t>
  </si>
  <si>
    <t>mg/L</t>
  </si>
  <si>
    <t>mol/L</t>
  </si>
  <si>
    <t>average</t>
  </si>
  <si>
    <t xml:space="preserve">std </t>
  </si>
  <si>
    <t>bank</t>
  </si>
  <si>
    <t>Shahe site</t>
  </si>
  <si>
    <t>bed</t>
  </si>
  <si>
    <t>Yangdi site</t>
  </si>
  <si>
    <t>Tugou site</t>
  </si>
  <si>
    <t>NO2-N</t>
  </si>
  <si>
    <t xml:space="preserve">NO3-N </t>
  </si>
  <si>
    <t>DO changes_sediments+SMs</t>
  </si>
  <si>
    <t>control</t>
  </si>
  <si>
    <t>No.</t>
  </si>
  <si>
    <t>sediment type</t>
  </si>
  <si>
    <t>Bed</t>
  </si>
  <si>
    <t>Bank</t>
  </si>
  <si>
    <t>no sediment</t>
  </si>
  <si>
    <t>time 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</si>
</sst>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1" fontId="0" fillId="0" borderId="0" xfId="0" applyNumberFormat="1"/>
    <xf numFmtId="11" fontId="0" fillId="3" borderId="0" xfId="0" applyNumberFormat="1" applyFill="1"/>
    <xf numFmtId="0" fontId="0" fillId="3" borderId="0" xfId="0" applyFill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4" name="Chart 3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2</xdr:col>
      <xdr:colOff>778933</xdr:colOff>
      <xdr:row>18</xdr:row>
      <xdr:rowOff>139700</xdr:rowOff>
    </xdr:from>
    <xdr:to>
      <xdr:col>8</xdr:col>
      <xdr:colOff>372533</xdr:colOff>
      <xdr:row>32</xdr:row>
      <xdr:rowOff>38100</xdr:rowOff>
    </xdr:to>
    <xdr:sp>
      <xdr:nvSpPr>
        <xdr:cNvPr id="2" name="Rectangles 1"/>
        <xdr:cNvSpPr>
          <a:spLocks noTextEdit="1"/>
        </xdr:cNvSpPr>
      </xdr:nvSpPr>
      <xdr:spPr>
        <a:xfrm>
          <a:off x="2790190" y="4163060"/>
          <a:ext cx="5628640" cy="302768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
Editing this shape or saving this workbook into a different file format will permanently break the chart.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"/>
  <sheetViews>
    <sheetView zoomScale="160" zoomScaleNormal="160" workbookViewId="0">
      <selection activeCell="C2" sqref="C2"/>
    </sheetView>
  </sheetViews>
  <sheetFormatPr defaultColWidth="11" defaultRowHeight="17.6"/>
  <cols>
    <col min="2" max="2" width="16" customWidth="1"/>
    <col min="3" max="3" width="10.8333333333333" style="4"/>
    <col min="9" max="9" width="10.8333333333333" style="4"/>
    <col min="15" max="15" width="10.8333333333333" style="4"/>
    <col min="21" max="21" width="10.8333333333333" style="4"/>
  </cols>
  <sheetData>
    <row r="1" spans="2:26">
      <c r="B1" t="s">
        <v>0</v>
      </c>
      <c r="C1" s="4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4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s="4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s="4" t="s">
        <v>1</v>
      </c>
      <c r="V1" t="s">
        <v>2</v>
      </c>
      <c r="W1" t="s">
        <v>3</v>
      </c>
      <c r="X1" t="s">
        <v>4</v>
      </c>
      <c r="Y1" t="s">
        <v>5</v>
      </c>
      <c r="Z1" t="s">
        <v>6</v>
      </c>
    </row>
    <row r="2" spans="1:26">
      <c r="A2" t="s">
        <v>7</v>
      </c>
      <c r="B2" t="s">
        <v>8</v>
      </c>
      <c r="C2" s="4">
        <v>1.2707394204523e-8</v>
      </c>
      <c r="D2">
        <v>9.98923467587231e-9</v>
      </c>
      <c r="E2">
        <v>1.42722763890165e-8</v>
      </c>
      <c r="F2">
        <v>2.58522663987444e-10</v>
      </c>
      <c r="G2">
        <v>6.57702495871324e-9</v>
      </c>
      <c r="H2">
        <v>2.95978100202876e-11</v>
      </c>
      <c r="I2" s="4">
        <v>5.06940205502098e-8</v>
      </c>
      <c r="J2">
        <v>1.78668255361518e-8</v>
      </c>
      <c r="K2">
        <v>1.53758759618758e-8</v>
      </c>
      <c r="L2">
        <v>1.69181834071849e-10</v>
      </c>
      <c r="M2">
        <v>1.18471845787805e-9</v>
      </c>
      <c r="N2">
        <v>1.10594519662866e-11</v>
      </c>
      <c r="O2" s="4">
        <v>1.4389311887351e-8</v>
      </c>
      <c r="P2">
        <v>1.1380965333835e-8</v>
      </c>
      <c r="Q2">
        <v>1.26641142578928e-8</v>
      </c>
      <c r="R2">
        <v>7.77261713841146e-10</v>
      </c>
      <c r="S2">
        <v>7.81340925146202e-10</v>
      </c>
      <c r="T2">
        <v>7.91257199342268e-12</v>
      </c>
      <c r="U2" s="4">
        <v>1.53258606257392e-8</v>
      </c>
      <c r="V2">
        <v>1.65809806998258e-8</v>
      </c>
      <c r="W2">
        <v>1.17915469714195e-8</v>
      </c>
      <c r="X2">
        <v>3.72228257321968e-9</v>
      </c>
      <c r="Y2">
        <v>2.87674502975565e-10</v>
      </c>
      <c r="Z2">
        <v>2.79133898856194e-11</v>
      </c>
    </row>
    <row r="3" spans="1:26">
      <c r="A3" t="s">
        <v>7</v>
      </c>
      <c r="B3" t="s">
        <v>9</v>
      </c>
      <c r="C3" s="4">
        <v>1.00726257404757e-8</v>
      </c>
      <c r="D3">
        <v>8.01130838489735e-9</v>
      </c>
      <c r="E3">
        <v>1.01706910677462e-8</v>
      </c>
      <c r="F3">
        <v>7.90280236194087e-11</v>
      </c>
      <c r="G3">
        <v>2.69454883999864e-9</v>
      </c>
      <c r="H3">
        <v>3.10565408215194e-11</v>
      </c>
      <c r="I3" s="4">
        <v>3.90584248603711e-9</v>
      </c>
      <c r="J3">
        <v>2.22859135931128e-9</v>
      </c>
      <c r="K3">
        <v>1.89582446129667e-9</v>
      </c>
      <c r="L3">
        <v>8.38990249809096e-11</v>
      </c>
      <c r="M3">
        <v>4.83539073420873e-11</v>
      </c>
      <c r="N3">
        <v>1.79308700608248e-11</v>
      </c>
      <c r="O3" s="4">
        <v>4.89940495371855e-9</v>
      </c>
      <c r="P3">
        <v>4.67780400117554e-9</v>
      </c>
      <c r="Q3">
        <v>3.10807298779456e-9</v>
      </c>
      <c r="R3">
        <v>3.10094834319947e-10</v>
      </c>
      <c r="S3">
        <v>4.02665918938023e-10</v>
      </c>
      <c r="T3">
        <v>2.48866817871966e-12</v>
      </c>
      <c r="U3" s="4">
        <v>3.27141686477622e-9</v>
      </c>
      <c r="V3">
        <v>3.80082767386533e-9</v>
      </c>
      <c r="W3">
        <v>2.44891732827878e-9</v>
      </c>
      <c r="X3">
        <v>1.04247659072044e-9</v>
      </c>
      <c r="Y3">
        <v>2.96026459118816e-11</v>
      </c>
      <c r="Z3">
        <v>4.54947375925341e-12</v>
      </c>
    </row>
    <row r="4" spans="1:26">
      <c r="A4" t="s">
        <v>10</v>
      </c>
      <c r="B4" t="s">
        <v>8</v>
      </c>
      <c r="C4" s="4">
        <v>2.9269931513836e-8</v>
      </c>
      <c r="D4">
        <v>2.60791311296758e-8</v>
      </c>
      <c r="E4">
        <v>2.66554429744494e-8</v>
      </c>
      <c r="F4">
        <v>1.38727228113787e-10</v>
      </c>
      <c r="G4">
        <v>1.98979893300567e-10</v>
      </c>
      <c r="H4">
        <v>7.94868586940002e-12</v>
      </c>
      <c r="I4" s="4">
        <v>2.89240127168541e-8</v>
      </c>
      <c r="J4">
        <v>1.10035649634174e-8</v>
      </c>
      <c r="K4">
        <v>7.98918579270696e-9</v>
      </c>
      <c r="L4">
        <v>3.83960028873321e-10</v>
      </c>
      <c r="M4">
        <v>3.66934404428692e-9</v>
      </c>
      <c r="N4">
        <v>3.4440356415809e-12</v>
      </c>
      <c r="O4" s="4">
        <v>1.64017778211015e-9</v>
      </c>
      <c r="P4">
        <v>1.15678737653111e-9</v>
      </c>
      <c r="Q4">
        <v>2.08215562990088e-9</v>
      </c>
      <c r="R4">
        <v>8.65222895741508e-10</v>
      </c>
      <c r="S4">
        <v>1.40832951789107e-9</v>
      </c>
      <c r="T4">
        <v>9.15960242846609e-12</v>
      </c>
      <c r="U4" s="4">
        <v>3.09859121284771e-9</v>
      </c>
      <c r="V4">
        <v>2.42185223912425e-9</v>
      </c>
      <c r="W4">
        <v>4.72241711026193e-9</v>
      </c>
      <c r="X4" s="2">
        <v>2.88338299383762e-9</v>
      </c>
      <c r="Y4">
        <v>8.84626627082799e-11</v>
      </c>
      <c r="Z4">
        <v>5.10437828846243e-11</v>
      </c>
    </row>
    <row r="5" spans="1:26">
      <c r="A5" t="s">
        <v>10</v>
      </c>
      <c r="B5" t="s">
        <v>9</v>
      </c>
      <c r="C5" s="4">
        <v>4.51630146253272e-10</v>
      </c>
      <c r="D5">
        <v>6.85595137008884e-10</v>
      </c>
      <c r="E5">
        <v>8.30981234775595e-10</v>
      </c>
      <c r="F5">
        <v>3.22624584200096e-11</v>
      </c>
      <c r="G5">
        <v>1.00154768809316e-11</v>
      </c>
      <c r="H5">
        <v>1.55056880766145e-12</v>
      </c>
      <c r="I5" s="4">
        <v>1.68507610434513e-9</v>
      </c>
      <c r="J5">
        <v>1.10200429799586e-9</v>
      </c>
      <c r="K5">
        <v>5.18580515618097e-10</v>
      </c>
      <c r="L5">
        <v>9.53375795788588e-11</v>
      </c>
      <c r="M5">
        <v>7.55312178294712e-10</v>
      </c>
      <c r="N5">
        <v>4.69685660560129e-12</v>
      </c>
      <c r="O5" s="4">
        <v>5.49805146077811e-10</v>
      </c>
      <c r="P5">
        <v>3.57031297126208e-10</v>
      </c>
      <c r="Q5">
        <v>5.03134277819018e-10</v>
      </c>
      <c r="R5">
        <v>3.8105722894139e-10</v>
      </c>
      <c r="S5">
        <v>5.28696724929512e-11</v>
      </c>
      <c r="T5">
        <v>4.64858825079958e-12</v>
      </c>
      <c r="U5" s="4">
        <v>1.57318136488697e-9</v>
      </c>
      <c r="V5">
        <v>1.41859405835093e-9</v>
      </c>
      <c r="W5">
        <v>9.05518600335312e-10</v>
      </c>
      <c r="X5">
        <v>7.78614837076121e-9</v>
      </c>
      <c r="Y5">
        <v>1.03739015608669e-11</v>
      </c>
      <c r="Z5">
        <v>2.10549607626172e-12</v>
      </c>
    </row>
    <row r="6" spans="1:26">
      <c r="A6" t="s">
        <v>11</v>
      </c>
      <c r="B6" t="s">
        <v>8</v>
      </c>
      <c r="C6" s="4">
        <v>2.58881300766462e-8</v>
      </c>
      <c r="D6">
        <v>2.08779727209863e-8</v>
      </c>
      <c r="E6">
        <v>2.24436347737701e-8</v>
      </c>
      <c r="F6">
        <v>1.56777740623667e-10</v>
      </c>
      <c r="G6">
        <v>1.01755410540847e-9</v>
      </c>
      <c r="H6">
        <v>1.25482874132203e-11</v>
      </c>
      <c r="I6" s="4">
        <v>4.74987600162546e-8</v>
      </c>
      <c r="J6">
        <v>1.80617498371306e-8</v>
      </c>
      <c r="K6">
        <v>1.40056247847423e-8</v>
      </c>
      <c r="L6">
        <v>1.73954682845215e-10</v>
      </c>
      <c r="M6">
        <v>3.51472603026666e-9</v>
      </c>
      <c r="N6">
        <v>3.36669397271294e-11</v>
      </c>
      <c r="O6" s="4">
        <v>8.09370892513644e-9</v>
      </c>
      <c r="P6">
        <v>6.23616618007112e-9</v>
      </c>
      <c r="Q6">
        <v>7.75233792033679e-9</v>
      </c>
      <c r="R6">
        <v>3.90037864097051e-10</v>
      </c>
      <c r="S6">
        <v>3.08650963594549e-9</v>
      </c>
      <c r="T6">
        <v>1.18618825876525e-11</v>
      </c>
      <c r="U6" s="4">
        <v>1.94969817788208e-8</v>
      </c>
      <c r="V6">
        <v>2.24753182098716e-8</v>
      </c>
      <c r="W6">
        <v>1.33297206270247e-8</v>
      </c>
      <c r="X6">
        <v>1.63062739482833e-9</v>
      </c>
      <c r="Y6">
        <v>5.52535699694569e-10</v>
      </c>
      <c r="Z6">
        <v>6.04608226789069e-11</v>
      </c>
    </row>
    <row r="7" spans="1:26">
      <c r="A7" t="s">
        <v>11</v>
      </c>
      <c r="B7" t="s">
        <v>9</v>
      </c>
      <c r="C7" s="4">
        <v>1.20072413937126e-9</v>
      </c>
      <c r="D7">
        <v>1.35812455592852e-9</v>
      </c>
      <c r="E7">
        <v>1.21683164922274e-9</v>
      </c>
      <c r="F7">
        <v>9.87685906965175e-11</v>
      </c>
      <c r="G7">
        <v>5.42328908821691e-10</v>
      </c>
      <c r="H7">
        <v>1.05179628152396e-11</v>
      </c>
      <c r="I7" s="4">
        <v>9.67862732027994e-9</v>
      </c>
      <c r="J7">
        <v>3.24778364180173e-9</v>
      </c>
      <c r="K7">
        <v>3.99446794421472e-9</v>
      </c>
      <c r="L7">
        <v>8.63080988678866e-11</v>
      </c>
      <c r="M7">
        <v>2.29330448557932e-9</v>
      </c>
      <c r="N7">
        <v>1.93042798237067e-11</v>
      </c>
      <c r="O7" s="4">
        <v>8.18927799064977e-9</v>
      </c>
      <c r="P7">
        <v>7.47207299984313e-9</v>
      </c>
      <c r="Q7">
        <v>6.34661188167166e-9</v>
      </c>
      <c r="R7">
        <v>1.87752079435454e-10</v>
      </c>
      <c r="S7">
        <v>1.78938563833784e-9</v>
      </c>
      <c r="T7">
        <v>4.66527376528794e-12</v>
      </c>
      <c r="U7" s="4">
        <v>2.88833258253227e-10</v>
      </c>
      <c r="V7">
        <v>1.64374805374459e-10</v>
      </c>
      <c r="W7">
        <v>9.04654355251692e-10</v>
      </c>
      <c r="X7">
        <v>3.21290553610884e-10</v>
      </c>
      <c r="Y7">
        <v>1.94354983449587e-10</v>
      </c>
      <c r="Z7">
        <v>1.54871502032423e-11</v>
      </c>
    </row>
    <row r="8" spans="1:26">
      <c r="A8" t="s">
        <v>12</v>
      </c>
      <c r="B8" t="s">
        <v>8</v>
      </c>
      <c r="C8" s="4">
        <v>3.11946358192273e-8</v>
      </c>
      <c r="D8">
        <v>2.63190386879065e-8</v>
      </c>
      <c r="E8">
        <v>2.69953803976036e-8</v>
      </c>
      <c r="F8">
        <v>4.50501475661518e-11</v>
      </c>
      <c r="G8">
        <v>3.19121096177769e-10</v>
      </c>
      <c r="H8">
        <v>1.56223757498079e-11</v>
      </c>
      <c r="I8" s="4">
        <v>7.22344838049767e-8</v>
      </c>
      <c r="J8">
        <v>2.91652155743663e-8</v>
      </c>
      <c r="K8">
        <v>2.12263111348327e-8</v>
      </c>
      <c r="L8">
        <v>2.69411658312536e-10</v>
      </c>
      <c r="M8">
        <v>2.44125539254821e-10</v>
      </c>
      <c r="N8">
        <v>4.57234020681369e-13</v>
      </c>
      <c r="O8" s="4">
        <v>1.38287879401083e-8</v>
      </c>
      <c r="P8">
        <v>1.19090406930046e-8</v>
      </c>
      <c r="Q8">
        <v>1.14854574395219e-8</v>
      </c>
      <c r="R8">
        <v>9.40612926795428e-10</v>
      </c>
      <c r="S8">
        <v>1.59520690760965e-9</v>
      </c>
      <c r="T8">
        <v>9.61720137063325e-12</v>
      </c>
      <c r="U8" s="4">
        <v>1.03322190893922e-8</v>
      </c>
      <c r="V8">
        <v>1.23071474382636e-8</v>
      </c>
      <c r="W8">
        <v>6.57954616758435e-9</v>
      </c>
      <c r="X8">
        <v>3.64048600199767e-9</v>
      </c>
      <c r="Y8">
        <v>1.12979728228727e-9</v>
      </c>
      <c r="Z8">
        <v>4.44994246864204e-11</v>
      </c>
    </row>
    <row r="9" spans="1:26">
      <c r="A9" t="s">
        <v>12</v>
      </c>
      <c r="B9" t="s">
        <v>9</v>
      </c>
      <c r="C9" s="4">
        <v>1.27383686846133e-9</v>
      </c>
      <c r="D9">
        <v>1.0073055566196e-9</v>
      </c>
      <c r="E9">
        <v>1.54335900909608e-9</v>
      </c>
      <c r="F9">
        <v>3.49642143854864e-11</v>
      </c>
      <c r="G9">
        <v>4.98886087674191e-11</v>
      </c>
      <c r="H9">
        <v>9.65276103780756e-12</v>
      </c>
      <c r="I9" s="4">
        <v>3.86188680593658e-9</v>
      </c>
      <c r="J9">
        <v>2.25194946998574e-10</v>
      </c>
      <c r="K9">
        <v>1.6677301268547e-10</v>
      </c>
      <c r="L9">
        <v>9.74643299745955e-11</v>
      </c>
      <c r="M9">
        <v>8.74683204342905e-11</v>
      </c>
      <c r="N9">
        <v>7.91952554769129e-13</v>
      </c>
      <c r="O9" s="4">
        <v>8.987687259443e-9</v>
      </c>
      <c r="P9">
        <v>9.42670671550776e-9</v>
      </c>
      <c r="Q9">
        <v>5.39384306058501e-9</v>
      </c>
      <c r="R9">
        <v>3.37841541451851e-10</v>
      </c>
      <c r="S9">
        <v>1.42713266151575e-9</v>
      </c>
      <c r="T9">
        <v>2.72304290493899e-12</v>
      </c>
      <c r="U9" s="4">
        <v>3.6961219849975e-9</v>
      </c>
      <c r="V9">
        <v>3.67869633859661e-9</v>
      </c>
      <c r="W9">
        <v>1.71636599971953e-9</v>
      </c>
      <c r="X9">
        <v>4.28387404814513e-10</v>
      </c>
      <c r="Y9">
        <v>8.34447576144245e-10</v>
      </c>
      <c r="Z9">
        <v>2.59659185249981e-11</v>
      </c>
    </row>
    <row r="10" spans="1:26">
      <c r="A10" t="s">
        <v>13</v>
      </c>
      <c r="B10" t="s">
        <v>8</v>
      </c>
      <c r="C10" s="4">
        <v>2.60530097319512e-8</v>
      </c>
      <c r="D10">
        <v>2.09918603255178e-8</v>
      </c>
      <c r="E10">
        <v>2.57613591792521e-8</v>
      </c>
      <c r="F10">
        <v>2.58580211671988e-10</v>
      </c>
      <c r="G10">
        <v>2.51245845679592e-9</v>
      </c>
      <c r="H10">
        <v>1.51130974778175e-11</v>
      </c>
      <c r="I10" s="4">
        <v>1.4600431012917e-8</v>
      </c>
      <c r="J10">
        <v>5.24006248385967e-9</v>
      </c>
      <c r="K10">
        <v>3.71242844222822e-9</v>
      </c>
      <c r="L10">
        <v>3.17140146046196e-10</v>
      </c>
      <c r="M10">
        <v>3.12603352279907e-9</v>
      </c>
      <c r="N10">
        <v>7.49513270327275e-11</v>
      </c>
      <c r="O10" s="4">
        <v>9.94726229610305e-10</v>
      </c>
      <c r="P10">
        <v>5.77979245266866e-10</v>
      </c>
      <c r="Q10">
        <v>1.0521539101136e-9</v>
      </c>
      <c r="R10">
        <v>6.33511659538795e-10</v>
      </c>
      <c r="S10">
        <v>8.44801192268572e-10</v>
      </c>
      <c r="T10">
        <v>1.37750549197745e-11</v>
      </c>
      <c r="U10" s="4">
        <v>2.9555441896711e-9</v>
      </c>
      <c r="V10">
        <v>3.18495843462125e-9</v>
      </c>
      <c r="W10">
        <v>2.11596747538418e-9</v>
      </c>
      <c r="X10">
        <v>4.79732322356607e-9</v>
      </c>
      <c r="Y10">
        <v>3.62378943075797e-10</v>
      </c>
      <c r="Z10">
        <v>5.03922464305459e-11</v>
      </c>
    </row>
    <row r="11" spans="1:26">
      <c r="A11" t="s">
        <v>13</v>
      </c>
      <c r="B11" t="s">
        <v>9</v>
      </c>
      <c r="C11" s="4">
        <v>7.16629231326108e-9</v>
      </c>
      <c r="D11">
        <v>7.39869231171108e-9</v>
      </c>
      <c r="E11">
        <v>7.75596939422214e-9</v>
      </c>
      <c r="F11">
        <v>2.05687595826626e-10</v>
      </c>
      <c r="G11">
        <v>1.10263679640554e-9</v>
      </c>
      <c r="H11">
        <v>1.16154046842121e-11</v>
      </c>
      <c r="I11" s="4">
        <v>9.09135638493743e-10</v>
      </c>
      <c r="J11">
        <v>9.17434438496456e-10</v>
      </c>
      <c r="K11">
        <v>3.84929359039315e-10</v>
      </c>
      <c r="L11">
        <v>1.3608897619246e-10</v>
      </c>
      <c r="M11">
        <v>8.36993731776671e-10</v>
      </c>
      <c r="N11">
        <v>1.11307292642237e-10</v>
      </c>
      <c r="O11" s="4">
        <v>6.12081089624932e-10</v>
      </c>
      <c r="P11">
        <v>3.28279579052853e-10</v>
      </c>
      <c r="Q11">
        <v>5.48582801639662e-10</v>
      </c>
      <c r="R11">
        <v>1.93134775198924e-10</v>
      </c>
      <c r="S11">
        <v>8.8579206371402e-11</v>
      </c>
      <c r="T11">
        <v>1.26427864656661e-11</v>
      </c>
      <c r="U11" s="4">
        <v>3.02349389896015e-10</v>
      </c>
      <c r="V11">
        <v>8.74792324306216e-10</v>
      </c>
      <c r="W11">
        <v>4.3941046352767e-10</v>
      </c>
      <c r="X11">
        <v>7.88817566311729e-10</v>
      </c>
      <c r="Y11">
        <v>2.33585619489814e-10</v>
      </c>
      <c r="Z11">
        <v>8.89972585087064e-12</v>
      </c>
    </row>
    <row r="12" spans="1:26">
      <c r="A12" t="s">
        <v>14</v>
      </c>
      <c r="B12" t="s">
        <v>8</v>
      </c>
      <c r="C12" s="4">
        <v>8.32860577532496e-9</v>
      </c>
      <c r="D12">
        <v>5.0419742655269e-9</v>
      </c>
      <c r="E12">
        <v>1.07994234157712e-8</v>
      </c>
      <c r="F12">
        <v>2.18216537472472e-10</v>
      </c>
      <c r="G12">
        <v>8.98490672488879e-9</v>
      </c>
      <c r="H12">
        <v>8.36994520608401e-12</v>
      </c>
      <c r="I12" s="4">
        <v>8.28486251189198e-8</v>
      </c>
      <c r="J12">
        <v>3.1901375206624e-8</v>
      </c>
      <c r="K12">
        <v>2.56537193500242e-8</v>
      </c>
      <c r="L12">
        <v>1.73954682845215e-10</v>
      </c>
      <c r="M12">
        <v>3.04254766929366e-10</v>
      </c>
      <c r="N12">
        <v>5.10224490947672e-12</v>
      </c>
      <c r="O12" s="4">
        <v>2.81611072681114e-8</v>
      </c>
      <c r="P12">
        <v>2.47315518147454e-8</v>
      </c>
      <c r="Q12">
        <v>2.4173360400376e-8</v>
      </c>
      <c r="R12">
        <v>5.69380864327415e-10</v>
      </c>
      <c r="S12">
        <v>6.95624694221817e-10</v>
      </c>
      <c r="T12">
        <v>1.59061506772853e-11</v>
      </c>
      <c r="U12" s="4">
        <v>2.47279513308927e-8</v>
      </c>
      <c r="V12">
        <v>2.3576120825215e-8</v>
      </c>
      <c r="W12">
        <v>1.98660601974265e-8</v>
      </c>
      <c r="X12">
        <v>3.26655881926849e-9</v>
      </c>
      <c r="Y12">
        <v>2.45410326588229e-9</v>
      </c>
      <c r="Z12">
        <v>5.35960632750781e-11</v>
      </c>
    </row>
    <row r="13" spans="1:26">
      <c r="A13" t="s">
        <v>14</v>
      </c>
      <c r="B13" t="s">
        <v>9</v>
      </c>
      <c r="C13" s="4">
        <v>3.71722208191851e-9</v>
      </c>
      <c r="D13">
        <v>3.41048893613597e-9</v>
      </c>
      <c r="E13">
        <v>3.31367485984897e-9</v>
      </c>
      <c r="F13">
        <v>8.92963364271983e-11</v>
      </c>
      <c r="G13">
        <v>2.48487984796098e-9</v>
      </c>
      <c r="H13">
        <v>1.83806778697153e-12</v>
      </c>
      <c r="I13" s="4">
        <v>2.60838606234298e-9</v>
      </c>
      <c r="J13">
        <v>2.2795535584001e-10</v>
      </c>
      <c r="K13">
        <v>1.56287171163955e-9</v>
      </c>
      <c r="L13">
        <v>2.1871940784527e-11</v>
      </c>
      <c r="M13">
        <v>1.26737265210938e-10</v>
      </c>
      <c r="N13">
        <v>8.83734741587335e-12</v>
      </c>
      <c r="O13" s="4">
        <v>1.32696242264261e-9</v>
      </c>
      <c r="P13">
        <v>7.26322550209922e-10</v>
      </c>
      <c r="Q13">
        <v>8.21660819432345e-10</v>
      </c>
      <c r="R13">
        <v>7.20268298132759e-11</v>
      </c>
      <c r="S13">
        <v>3.83608502937948e-10</v>
      </c>
      <c r="T13">
        <v>5.18593014093087e-12</v>
      </c>
      <c r="U13" s="4">
        <v>1.56180271503122e-9</v>
      </c>
      <c r="V13">
        <v>1.57343586927025e-9</v>
      </c>
      <c r="W13">
        <v>2.20851458112942e-9</v>
      </c>
      <c r="X13">
        <v>1.76443020028284e-10</v>
      </c>
      <c r="Y13">
        <v>2.35649744610069e-10</v>
      </c>
      <c r="Z13">
        <v>2.12223761857478e-11</v>
      </c>
    </row>
    <row r="14" spans="1:26">
      <c r="A14" t="s">
        <v>15</v>
      </c>
      <c r="B14" t="s">
        <v>8</v>
      </c>
      <c r="C14" s="4">
        <v>1.31999230751995e-8</v>
      </c>
      <c r="D14">
        <v>1.27252174697357e-8</v>
      </c>
      <c r="E14">
        <v>1.62810161185784e-8</v>
      </c>
      <c r="F14">
        <v>1.88931767033829e-10</v>
      </c>
      <c r="G14">
        <v>4.16043181672372e-9</v>
      </c>
      <c r="H14">
        <v>8.47105520522434e-12</v>
      </c>
      <c r="I14" s="4">
        <v>2.18173125637469e-8</v>
      </c>
      <c r="J14">
        <v>9.14817439484164e-9</v>
      </c>
      <c r="K14">
        <v>5.99426128482155e-9</v>
      </c>
      <c r="L14">
        <v>2.02591775485412e-10</v>
      </c>
      <c r="M14">
        <v>4.06018402417146e-9</v>
      </c>
      <c r="N14">
        <v>3.04342877469111e-11</v>
      </c>
      <c r="O14" s="4">
        <v>2.20387732704956e-9</v>
      </c>
      <c r="P14">
        <v>1.67836819090289e-9</v>
      </c>
      <c r="Q14">
        <v>2.12812427339579e-9</v>
      </c>
      <c r="R14">
        <v>5.20664211656423e-10</v>
      </c>
      <c r="S14">
        <v>2.70746757585332e-9</v>
      </c>
      <c r="T14">
        <v>1.89921498976938e-11</v>
      </c>
      <c r="U14" s="4">
        <v>4.30473770372321e-9</v>
      </c>
      <c r="V14">
        <v>5.10149525894418e-9</v>
      </c>
      <c r="W14">
        <v>3.04318430516489e-9</v>
      </c>
      <c r="X14">
        <v>3.24318837034792e-9</v>
      </c>
      <c r="Y14">
        <v>1.60971671565846e-9</v>
      </c>
      <c r="Z14">
        <v>3.88354627764379e-11</v>
      </c>
    </row>
    <row r="15" spans="1:26">
      <c r="A15" t="s">
        <v>15</v>
      </c>
      <c r="B15" t="s">
        <v>9</v>
      </c>
      <c r="C15" s="4">
        <v>1.14373726531709e-8</v>
      </c>
      <c r="D15">
        <v>4.51937465619164e-9</v>
      </c>
      <c r="E15">
        <v>3.42257654254936e-9</v>
      </c>
      <c r="F15">
        <v>9.09650574528335e-11</v>
      </c>
      <c r="G15">
        <v>2.44194337869434e-9</v>
      </c>
      <c r="H15">
        <v>3.45598947673439e-12</v>
      </c>
      <c r="I15" s="4">
        <v>9.96389321739443e-9</v>
      </c>
      <c r="J15">
        <v>3.96185176135546e-9</v>
      </c>
      <c r="K15">
        <v>2.90483145093264e-9</v>
      </c>
      <c r="L15">
        <v>5.96128620726584e-11</v>
      </c>
      <c r="M15">
        <v>1.86986652069123e-9</v>
      </c>
      <c r="N15">
        <v>2.32830338685504e-11</v>
      </c>
      <c r="O15" s="4">
        <v>1.27123593296287e-9</v>
      </c>
      <c r="P15">
        <v>8.10381793158354e-10</v>
      </c>
      <c r="Q15">
        <v>1.33799039184532e-9</v>
      </c>
      <c r="R15">
        <v>2.04037788955031e-10</v>
      </c>
      <c r="S15">
        <v>1.24514828932489e-9</v>
      </c>
      <c r="T15">
        <v>9.92551865436244e-12</v>
      </c>
      <c r="U15" s="4">
        <v>8.67341019119803e-10</v>
      </c>
      <c r="V15">
        <v>7.89538971806395e-10</v>
      </c>
      <c r="W15">
        <v>4.98905917728781e-10</v>
      </c>
      <c r="X15">
        <v>2.99515804660702e-10</v>
      </c>
      <c r="Y15">
        <v>9.55871738882372e-10</v>
      </c>
      <c r="Z15">
        <v>2.34670589301219e-11</v>
      </c>
    </row>
    <row r="16" spans="1:26">
      <c r="A16">
        <v>0</v>
      </c>
      <c r="B16">
        <v>1</v>
      </c>
      <c r="C16" s="4">
        <v>2</v>
      </c>
      <c r="D16">
        <v>3</v>
      </c>
      <c r="E16">
        <v>4</v>
      </c>
      <c r="F16">
        <v>5</v>
      </c>
      <c r="G16">
        <v>6</v>
      </c>
      <c r="H16">
        <v>7</v>
      </c>
      <c r="I16" s="4">
        <v>8</v>
      </c>
      <c r="J16">
        <v>9</v>
      </c>
      <c r="K16">
        <v>10</v>
      </c>
      <c r="L16">
        <v>11</v>
      </c>
      <c r="M16">
        <v>12</v>
      </c>
      <c r="N16">
        <v>13</v>
      </c>
      <c r="O16" s="4">
        <v>14</v>
      </c>
      <c r="P16">
        <v>15</v>
      </c>
      <c r="Q16">
        <v>16</v>
      </c>
      <c r="R16">
        <v>17</v>
      </c>
      <c r="S16">
        <v>18</v>
      </c>
      <c r="T16">
        <v>19</v>
      </c>
      <c r="U16" s="4">
        <v>20</v>
      </c>
      <c r="V16">
        <v>21</v>
      </c>
      <c r="W16" s="5">
        <v>22</v>
      </c>
      <c r="X16">
        <v>23</v>
      </c>
      <c r="Y16">
        <v>24</v>
      </c>
      <c r="Z16">
        <v>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"/>
  <sheetViews>
    <sheetView zoomScale="150" zoomScaleNormal="150" topLeftCell="I1" workbookViewId="0">
      <selection activeCell="A7" sqref="A7"/>
    </sheetView>
  </sheetViews>
  <sheetFormatPr defaultColWidth="11" defaultRowHeight="17.6"/>
  <sheetData>
    <row r="1" spans="3:20"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</row>
    <row r="2" spans="1:20">
      <c r="A2" t="s">
        <v>7</v>
      </c>
      <c r="B2" t="s">
        <v>8</v>
      </c>
      <c r="C2">
        <v>3.8513987485246e-9</v>
      </c>
      <c r="D2">
        <v>4.64943786991776e-9</v>
      </c>
      <c r="E2">
        <v>4.29479487370323e-9</v>
      </c>
      <c r="F2">
        <v>4.77435729592026e-10</v>
      </c>
      <c r="G2">
        <v>7.64912444291911e-9</v>
      </c>
      <c r="H2">
        <v>9.67974661455718e-11</v>
      </c>
      <c r="I2">
        <v>7.44956397006667e-8</v>
      </c>
      <c r="J2">
        <v>3.59802183461318e-8</v>
      </c>
      <c r="K2">
        <v>3.56178704201571e-8</v>
      </c>
      <c r="L2">
        <v>5.45224621338375e-11</v>
      </c>
      <c r="M2">
        <v>7.52424807315372e-10</v>
      </c>
      <c r="N2">
        <v>1.8532298210263e-11</v>
      </c>
      <c r="O2">
        <v>3.11280522725396e-8</v>
      </c>
      <c r="P2">
        <v>2.92456306590861e-8</v>
      </c>
      <c r="Q2">
        <v>3.61321692475359e-8</v>
      </c>
      <c r="R2">
        <v>2.24260958205912e-10</v>
      </c>
      <c r="S2">
        <v>1.49696410084222e-10</v>
      </c>
      <c r="T2">
        <v>2.47122784720751e-11</v>
      </c>
    </row>
    <row r="3" spans="1:20">
      <c r="A3" t="s">
        <v>7</v>
      </c>
      <c r="B3" t="s">
        <v>9</v>
      </c>
      <c r="C3">
        <v>1.67646308692567e-9</v>
      </c>
      <c r="D3">
        <v>2.26767089607055e-9</v>
      </c>
      <c r="E3">
        <v>1.96803083667957e-9</v>
      </c>
      <c r="F3">
        <v>1.63887919437845e-10</v>
      </c>
      <c r="G3">
        <v>2.63271664291989e-9</v>
      </c>
      <c r="H3">
        <v>1.6876541615317e-10</v>
      </c>
      <c r="I3">
        <v>6.8606519487493e-9</v>
      </c>
      <c r="J3">
        <v>3.71072641841311e-9</v>
      </c>
      <c r="K3">
        <v>2.57280430187924e-9</v>
      </c>
      <c r="L3">
        <v>0</v>
      </c>
      <c r="M3">
        <v>7.27176135989206e-10</v>
      </c>
      <c r="N3">
        <v>2.88303749701072e-11</v>
      </c>
      <c r="O3">
        <v>1.07510431830693e-9</v>
      </c>
      <c r="P3">
        <v>6.12084579413756e-9</v>
      </c>
      <c r="Q3">
        <v>3.23064281969123e-10</v>
      </c>
      <c r="R3">
        <v>7.3507671263282e-11</v>
      </c>
      <c r="S3">
        <v>5.89588614838286e-11</v>
      </c>
      <c r="T3">
        <v>0</v>
      </c>
    </row>
    <row r="4" spans="1:20">
      <c r="A4" t="s">
        <v>10</v>
      </c>
      <c r="B4" t="s">
        <v>8</v>
      </c>
      <c r="C4">
        <v>6.12092362744484e-9</v>
      </c>
      <c r="D4">
        <v>7.99064683290347e-9</v>
      </c>
      <c r="E4">
        <v>7.79006471994419e-9</v>
      </c>
      <c r="F4">
        <v>2.27063248406332e-10</v>
      </c>
      <c r="G4" s="4">
        <v>4.46753670511253e-9</v>
      </c>
      <c r="H4" s="4">
        <v>8.09572393723527e-11</v>
      </c>
      <c r="I4">
        <v>4.58315726033361e-8</v>
      </c>
      <c r="J4">
        <v>2.31642175957073e-8</v>
      </c>
      <c r="K4">
        <v>2.12116764567824e-8</v>
      </c>
      <c r="L4">
        <v>8.04989630948979e-11</v>
      </c>
      <c r="M4" s="4">
        <v>1.57412728207146e-9</v>
      </c>
      <c r="N4" s="4">
        <v>2.28017885893225e-11</v>
      </c>
      <c r="O4">
        <v>2.48443730571604e-8</v>
      </c>
      <c r="P4">
        <v>2.92640555906507e-8</v>
      </c>
      <c r="Q4">
        <v>2.77093138839986e-8</v>
      </c>
      <c r="R4">
        <v>1.7669045191981e-10</v>
      </c>
      <c r="S4" s="4">
        <v>3.53955063096337e-10</v>
      </c>
      <c r="T4" s="4">
        <v>2.82426039680859e-11</v>
      </c>
    </row>
    <row r="5" spans="1:20">
      <c r="A5" t="s">
        <v>10</v>
      </c>
      <c r="B5" t="s">
        <v>9</v>
      </c>
      <c r="C5">
        <v>1.05214707497746e-9</v>
      </c>
      <c r="D5">
        <v>1.54251845361534e-9</v>
      </c>
      <c r="E5">
        <v>1.62123003771495e-9</v>
      </c>
      <c r="F5">
        <v>1.19682494126941e-10</v>
      </c>
      <c r="G5" s="4">
        <v>1.75449782075307e-9</v>
      </c>
      <c r="H5" s="4">
        <v>7.60034328007647e-11</v>
      </c>
      <c r="I5">
        <v>6.67687175776948e-9</v>
      </c>
      <c r="J5">
        <v>2.60285602772134e-9</v>
      </c>
      <c r="K5">
        <v>3.58229274020716e-9</v>
      </c>
      <c r="L5">
        <v>1.19039281944152e-11</v>
      </c>
      <c r="M5" s="4">
        <v>4.4517612243101e-10</v>
      </c>
      <c r="N5" s="4">
        <v>2.87943683988533e-11</v>
      </c>
      <c r="O5">
        <v>2.16277028103556e-9</v>
      </c>
      <c r="P5">
        <v>3.05373524569363e-9</v>
      </c>
      <c r="Q5">
        <v>2.89259682589123e-9</v>
      </c>
      <c r="R5">
        <v>1.02614127560595e-10</v>
      </c>
      <c r="S5" s="4">
        <v>1.01108489130388e-10</v>
      </c>
      <c r="T5" s="4">
        <v>3.53032549601073e-12</v>
      </c>
    </row>
    <row r="6" spans="1:20">
      <c r="A6" t="s">
        <v>11</v>
      </c>
      <c r="B6" t="s">
        <v>8</v>
      </c>
      <c r="C6">
        <v>1.14986519638862e-8</v>
      </c>
      <c r="D6">
        <v>1.4128124137033e-8</v>
      </c>
      <c r="E6">
        <v>1.54053336600906e-8</v>
      </c>
      <c r="F6">
        <v>1.44309816985734e-10</v>
      </c>
      <c r="G6">
        <v>2.03740145327104e-9</v>
      </c>
      <c r="H6">
        <v>2.73554594802201e-11</v>
      </c>
      <c r="I6">
        <v>4.55478577418717e-8</v>
      </c>
      <c r="J6">
        <v>1.41741515148404e-8</v>
      </c>
      <c r="K6">
        <v>1.35318742345795e-8</v>
      </c>
      <c r="L6">
        <v>9.84741822299324e-11</v>
      </c>
      <c r="M6">
        <v>3.2936385815444e-9</v>
      </c>
      <c r="N6">
        <v>6.27094765974667e-11</v>
      </c>
      <c r="O6">
        <v>1.38486003564037e-8</v>
      </c>
      <c r="P6">
        <v>1.50400084228259e-8</v>
      </c>
      <c r="Q6">
        <v>1.82014155858154e-8</v>
      </c>
      <c r="R6">
        <v>3.22799864084268e-10</v>
      </c>
      <c r="S6">
        <v>6.79090069671787e-9</v>
      </c>
      <c r="T6">
        <v>4.58942314481395e-11</v>
      </c>
    </row>
    <row r="7" spans="1:20">
      <c r="A7" t="s">
        <v>11</v>
      </c>
      <c r="B7" t="s">
        <v>9</v>
      </c>
      <c r="C7">
        <v>2.08738576076101e-9</v>
      </c>
      <c r="D7">
        <v>3.00763926709518e-9</v>
      </c>
      <c r="E7">
        <v>2.33316807701644e-9</v>
      </c>
      <c r="F7">
        <v>1.72296962986714e-11</v>
      </c>
      <c r="G7">
        <v>7.78204194859455e-10</v>
      </c>
      <c r="H7">
        <v>2.7501672735626e-11</v>
      </c>
      <c r="I7">
        <v>2.04286186596799e-8</v>
      </c>
      <c r="J7">
        <v>2.16119026686113e-9</v>
      </c>
      <c r="K7">
        <v>4.76504584687201e-9</v>
      </c>
      <c r="L7">
        <v>3.44634795679575e-11</v>
      </c>
      <c r="M7">
        <v>3.6688114877586e-10</v>
      </c>
      <c r="N7">
        <v>7.16332918352149e-11</v>
      </c>
      <c r="O7">
        <v>6.85526263838276e-10</v>
      </c>
      <c r="P7">
        <v>2.20522530178769e-9</v>
      </c>
      <c r="Q7">
        <v>7.67955934984184e-10</v>
      </c>
      <c r="R7">
        <v>6.78728656317981e-11</v>
      </c>
      <c r="S7">
        <v>4.41223755781838e-9</v>
      </c>
      <c r="T7">
        <v>1.41213019840429e-11</v>
      </c>
    </row>
    <row r="8" spans="1:20">
      <c r="A8" t="s">
        <v>12</v>
      </c>
      <c r="B8" t="s">
        <v>8</v>
      </c>
      <c r="C8">
        <v>6.15346395286543e-9</v>
      </c>
      <c r="D8">
        <v>7.29699446641549e-9</v>
      </c>
      <c r="E8">
        <v>6.12019977601614e-9</v>
      </c>
      <c r="F8">
        <v>2.99025168468296e-10</v>
      </c>
      <c r="G8">
        <v>7.68423333318209e-9</v>
      </c>
      <c r="H8">
        <v>1.02908543546781e-10</v>
      </c>
      <c r="I8">
        <v>3.06882918726709e-8</v>
      </c>
      <c r="J8">
        <v>1.55148636640015e-8</v>
      </c>
      <c r="K8">
        <v>1.29238730591763e-8</v>
      </c>
      <c r="L8">
        <v>1.1251162358428e-10</v>
      </c>
      <c r="M8">
        <v>4.06180977856431e-9</v>
      </c>
      <c r="N8">
        <v>1.13623879536183e-11</v>
      </c>
      <c r="O8">
        <v>1.94823356427652e-8</v>
      </c>
      <c r="P8">
        <v>1.88592335228469e-8</v>
      </c>
      <c r="Q8">
        <v>2.40038802859914e-8</v>
      </c>
      <c r="R8">
        <v>1.15528372409106e-10</v>
      </c>
      <c r="S8">
        <v>3.44721452754694e-9</v>
      </c>
      <c r="T8">
        <v>2.94193791334228e-11</v>
      </c>
    </row>
    <row r="9" spans="1:20">
      <c r="A9" t="s">
        <v>12</v>
      </c>
      <c r="B9" t="s">
        <v>9</v>
      </c>
      <c r="C9">
        <v>1.0112943864199e-9</v>
      </c>
      <c r="D9">
        <v>5.88279001160029e-10</v>
      </c>
      <c r="E9">
        <v>5.57979648006423e-10</v>
      </c>
      <c r="F9">
        <v>1.51741920548726e-10</v>
      </c>
      <c r="G9">
        <v>2.99178363350902e-9</v>
      </c>
      <c r="H9">
        <v>9.06385263468649e-11</v>
      </c>
      <c r="I9">
        <v>7.27242572309609e-9</v>
      </c>
      <c r="J9">
        <v>4.784068819265e-9</v>
      </c>
      <c r="K9">
        <v>1.18527436174305e-9</v>
      </c>
      <c r="L9">
        <v>3.29579374574415e-11</v>
      </c>
      <c r="M9">
        <v>6.02117878860263e-11</v>
      </c>
      <c r="N9">
        <v>1.04753715321353e-11</v>
      </c>
      <c r="O9">
        <v>5.09051673633626e-9</v>
      </c>
      <c r="P9">
        <v>6.59282229655184e-9</v>
      </c>
      <c r="Q9">
        <v>4.86033271400355e-9</v>
      </c>
      <c r="R9">
        <v>2.56535318901487e-11</v>
      </c>
      <c r="S9">
        <v>2.77140974534765e-9</v>
      </c>
      <c r="T9">
        <v>5.39266127110057e-12</v>
      </c>
    </row>
    <row r="10" spans="1:20">
      <c r="A10" t="s">
        <v>13</v>
      </c>
      <c r="B10" t="s">
        <v>8</v>
      </c>
      <c r="C10">
        <v>1.14117768259119e-8</v>
      </c>
      <c r="D10">
        <v>1.31238903232232e-8</v>
      </c>
      <c r="E10">
        <v>1.42803081928585e-8</v>
      </c>
      <c r="F10">
        <v>1.30446437511115e-10</v>
      </c>
      <c r="G10">
        <v>2.25801055103716e-9</v>
      </c>
      <c r="H10">
        <v>7.87505353524329e-11</v>
      </c>
      <c r="I10">
        <v>5.71978992407558e-8</v>
      </c>
      <c r="J10">
        <v>2.18235054465461e-8</v>
      </c>
      <c r="K10">
        <v>2.69594084986757e-8</v>
      </c>
      <c r="L10">
        <v>6.41093495785264e-11</v>
      </c>
      <c r="M10">
        <v>2.16937556441828e-9</v>
      </c>
      <c r="N10">
        <v>1.02256936971022e-10</v>
      </c>
      <c r="O10">
        <v>2.69473678602727e-8</v>
      </c>
      <c r="P10">
        <v>2.44169825226363e-8</v>
      </c>
      <c r="Q10">
        <v>3.10650426951221e-8</v>
      </c>
      <c r="R10">
        <v>1.15528372409106e-10</v>
      </c>
      <c r="S10">
        <v>1.87470270572764e-10</v>
      </c>
      <c r="T10">
        <v>2.5889053637412e-11</v>
      </c>
    </row>
    <row r="11" spans="1:20">
      <c r="A11" t="s">
        <v>13</v>
      </c>
      <c r="B11" t="s">
        <v>9</v>
      </c>
      <c r="C11">
        <v>5.74860761874922e-9</v>
      </c>
      <c r="D11">
        <v>5.72164921427034e-9</v>
      </c>
      <c r="E11">
        <v>7.73311404686511e-9</v>
      </c>
      <c r="F11">
        <v>5.86910457215727e-11</v>
      </c>
      <c r="G11">
        <v>8.21809872330518e-10</v>
      </c>
      <c r="H11">
        <v>8.00671815941293e-11</v>
      </c>
      <c r="I11">
        <v>9.15661883948635e-9</v>
      </c>
      <c r="J11">
        <v>9.54782418724372e-9</v>
      </c>
      <c r="K11">
        <v>7.33419591300589e-9</v>
      </c>
      <c r="L11">
        <v>3.38983270333767e-11</v>
      </c>
      <c r="M11">
        <v>1.7767377619688e-9</v>
      </c>
      <c r="N11">
        <v>1.35318810488884e-10</v>
      </c>
      <c r="O11">
        <v>1.6370686342926e-9</v>
      </c>
      <c r="P11">
        <v>9.80524651470673e-9</v>
      </c>
      <c r="Q11">
        <v>2.24855567675936e-9</v>
      </c>
      <c r="R11">
        <v>5.61424112873201e-11</v>
      </c>
      <c r="S11">
        <v>2.01824591645557e-10</v>
      </c>
      <c r="T11">
        <v>2.0382343754488e-12</v>
      </c>
    </row>
    <row r="12" spans="1:20">
      <c r="A12" t="s">
        <v>14</v>
      </c>
      <c r="B12" t="s">
        <v>8</v>
      </c>
      <c r="C12">
        <v>1.29260907787945e-8</v>
      </c>
      <c r="D12">
        <v>1.55645245267821e-8</v>
      </c>
      <c r="E12">
        <v>1.62732073297328e-8</v>
      </c>
      <c r="F12">
        <v>1.33002026792494e-10</v>
      </c>
      <c r="G12">
        <v>1.08210906530927e-9</v>
      </c>
      <c r="H12">
        <v>1.525934958879e-11</v>
      </c>
      <c r="I12">
        <v>2.77713484532395e-8</v>
      </c>
      <c r="J12">
        <v>2.12726312239077e-8</v>
      </c>
      <c r="K12">
        <v>1.17512993637558e-8</v>
      </c>
      <c r="L12">
        <v>1.0157785456476e-10</v>
      </c>
      <c r="M12">
        <v>4.80597274953229e-9</v>
      </c>
      <c r="N12">
        <v>2.29048060475563e-11</v>
      </c>
      <c r="O12">
        <v>1.62019833944654e-8</v>
      </c>
      <c r="P12">
        <v>1.24368288060644e-8</v>
      </c>
      <c r="Q12">
        <v>1.66313369022383e-8</v>
      </c>
      <c r="R12">
        <v>2.24260958205912e-10</v>
      </c>
      <c r="S12">
        <v>4.39995523098016e-9</v>
      </c>
      <c r="T12">
        <v>6.70761844242039e-11</v>
      </c>
    </row>
    <row r="13" spans="1:20">
      <c r="A13" t="s">
        <v>14</v>
      </c>
      <c r="B13" t="s">
        <v>9</v>
      </c>
      <c r="C13">
        <v>1.0857532984787e-9</v>
      </c>
      <c r="D13">
        <v>1.72551264961549e-9</v>
      </c>
      <c r="E13">
        <v>1.40003096148542e-9</v>
      </c>
      <c r="F13">
        <v>5.9517640711206e-11</v>
      </c>
      <c r="G13">
        <v>3.37998590562287e-10</v>
      </c>
      <c r="H13">
        <v>5.40192154558128e-12</v>
      </c>
      <c r="I13">
        <v>8.34924400013667e-9</v>
      </c>
      <c r="J13">
        <v>6.23117086955344e-9</v>
      </c>
      <c r="K13">
        <v>1.92151242317743e-9</v>
      </c>
      <c r="L13">
        <v>2.37645765793603e-11</v>
      </c>
      <c r="M13">
        <v>6.69495531867201e-10</v>
      </c>
      <c r="N13">
        <v>2.01750148894889e-11</v>
      </c>
      <c r="O13">
        <v>3.23544155275538e-9</v>
      </c>
      <c r="P13">
        <v>1.30572041375637e-9</v>
      </c>
      <c r="Q13">
        <v>1.72943003579331e-10</v>
      </c>
      <c r="R13">
        <v>5.67560077760451e-11</v>
      </c>
      <c r="S13">
        <v>4.71315959435313e-10</v>
      </c>
      <c r="T13">
        <v>3.53032549601074e-12</v>
      </c>
    </row>
    <row r="14" spans="1:20">
      <c r="A14" t="s">
        <v>15</v>
      </c>
      <c r="B14" t="s">
        <v>8</v>
      </c>
      <c r="C14">
        <v>9.55281739787475e-9</v>
      </c>
      <c r="D14">
        <v>1.15615770295273e-8</v>
      </c>
      <c r="E14">
        <v>1.17886817237584e-8</v>
      </c>
      <c r="F14">
        <v>1.84019490593405e-10</v>
      </c>
      <c r="G14">
        <v>1.78554200242995e-9</v>
      </c>
      <c r="H14">
        <v>3.92081151760016e-11</v>
      </c>
      <c r="I14">
        <v>4.57040207535594e-8</v>
      </c>
      <c r="J14">
        <v>2.02495891873237e-8</v>
      </c>
      <c r="K14">
        <v>2.32091437908112e-8</v>
      </c>
      <c r="L14">
        <v>1.42410402932165e-10</v>
      </c>
      <c r="M14">
        <v>4.21479682442342e-9</v>
      </c>
      <c r="N14">
        <v>1.65534875113881e-11</v>
      </c>
      <c r="O14">
        <v>2.76532495864599e-8</v>
      </c>
      <c r="P14">
        <v>3.07643714466203e-8</v>
      </c>
      <c r="Q14">
        <v>3.31860261799543e-8</v>
      </c>
      <c r="R14">
        <v>1.15528372409106e-10</v>
      </c>
      <c r="S14">
        <v>3.87531827975041e-10</v>
      </c>
      <c r="T14">
        <v>2.82426039680859e-11</v>
      </c>
    </row>
    <row r="15" spans="1:20">
      <c r="A15" t="s">
        <v>15</v>
      </c>
      <c r="B15" t="s">
        <v>9</v>
      </c>
      <c r="C15">
        <v>3.14076792680381e-9</v>
      </c>
      <c r="D15">
        <v>4.23895815547597e-9</v>
      </c>
      <c r="E15">
        <v>4.26507211468352e-9</v>
      </c>
      <c r="F15">
        <v>1.01562823782463e-10</v>
      </c>
      <c r="G15">
        <v>2.52207070574708e-10</v>
      </c>
      <c r="H15">
        <v>6.83104666224456e-11</v>
      </c>
      <c r="I15">
        <v>1.80879281151928e-8</v>
      </c>
      <c r="J15">
        <v>8.84076892575738e-9</v>
      </c>
      <c r="K15">
        <v>8.81590726382423e-9</v>
      </c>
      <c r="L15">
        <v>1.10797234462452e-10</v>
      </c>
      <c r="M15">
        <v>1.59816367378988e-9</v>
      </c>
      <c r="N15">
        <v>2.9589886150226e-11</v>
      </c>
      <c r="O15">
        <v>1.02793031108441e-9</v>
      </c>
      <c r="P15">
        <v>2.36134026441973e-10</v>
      </c>
      <c r="Q15">
        <v>1.12100797401491e-9</v>
      </c>
      <c r="R15">
        <v>5.61424112873201e-11</v>
      </c>
      <c r="S15">
        <v>2.02869269408382e-10</v>
      </c>
      <c r="T15">
        <v>3.53032549601073e-12</v>
      </c>
    </row>
    <row r="16" spans="1:26">
      <c r="A16">
        <v>0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9</v>
      </c>
      <c r="K16">
        <v>10</v>
      </c>
      <c r="L16">
        <v>11</v>
      </c>
      <c r="M16">
        <v>12</v>
      </c>
      <c r="N16">
        <v>13</v>
      </c>
      <c r="O16">
        <v>14</v>
      </c>
      <c r="P16">
        <v>15</v>
      </c>
      <c r="Q16">
        <v>16</v>
      </c>
      <c r="R16">
        <v>17</v>
      </c>
      <c r="S16">
        <v>18</v>
      </c>
      <c r="T16">
        <v>19</v>
      </c>
      <c r="U16">
        <v>20</v>
      </c>
      <c r="V16">
        <v>21</v>
      </c>
      <c r="W16">
        <v>22</v>
      </c>
      <c r="X16">
        <v>23</v>
      </c>
      <c r="Y16">
        <v>24</v>
      </c>
      <c r="Z16">
        <v>25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90"/>
  <sheetViews>
    <sheetView zoomScale="150" zoomScaleNormal="150" topLeftCell="A130" workbookViewId="0">
      <selection activeCell="C35" sqref="C35"/>
    </sheetView>
  </sheetViews>
  <sheetFormatPr defaultColWidth="11" defaultRowHeight="17.6"/>
  <cols>
    <col min="4" max="5" width="10.8333333333333" style="2"/>
    <col min="6" max="6" width="12.1666666666667" style="3" customWidth="1"/>
    <col min="7" max="8" width="10.8333333333333" style="2"/>
    <col min="9" max="9" width="10.8333333333333" style="3"/>
  </cols>
  <sheetData>
    <row r="2" spans="1:9">
      <c r="A2" t="s">
        <v>16</v>
      </c>
      <c r="B2" t="s">
        <v>17</v>
      </c>
      <c r="C2">
        <v>0</v>
      </c>
      <c r="D2">
        <v>15</v>
      </c>
      <c r="E2">
        <v>17</v>
      </c>
      <c r="F2" s="4">
        <v>15</v>
      </c>
      <c r="G2">
        <v>28</v>
      </c>
      <c r="H2">
        <v>28</v>
      </c>
      <c r="I2" s="4">
        <v>28</v>
      </c>
    </row>
    <row r="3" spans="1:10">
      <c r="A3" t="s">
        <v>18</v>
      </c>
      <c r="B3" t="s">
        <v>19</v>
      </c>
      <c r="C3">
        <v>0</v>
      </c>
      <c r="D3" s="2">
        <v>1.1156</v>
      </c>
      <c r="E3" s="2">
        <v>1.0152</v>
      </c>
      <c r="G3" s="2">
        <v>0.6709</v>
      </c>
      <c r="J3" t="s">
        <v>20</v>
      </c>
    </row>
    <row r="4" spans="1:10">
      <c r="A4" t="s">
        <v>18</v>
      </c>
      <c r="B4" t="s">
        <v>19</v>
      </c>
      <c r="C4">
        <v>0</v>
      </c>
      <c r="D4" s="2">
        <v>6.1840354767184e-5</v>
      </c>
      <c r="E4" s="2">
        <v>5.62749445676275e-5</v>
      </c>
      <c r="G4" s="2">
        <v>3.7189578713969e-5</v>
      </c>
      <c r="H4" s="2">
        <v>0</v>
      </c>
      <c r="J4" t="s">
        <v>21</v>
      </c>
    </row>
    <row r="5" spans="2:10">
      <c r="B5" t="s">
        <v>22</v>
      </c>
      <c r="C5">
        <v>0</v>
      </c>
      <c r="F5" s="3">
        <f>AVERAGE(D4:E4)</f>
        <v>5.90576496674058e-5</v>
      </c>
      <c r="I5" s="3">
        <v>3.7189578713969e-5</v>
      </c>
      <c r="J5" t="s">
        <v>21</v>
      </c>
    </row>
    <row r="6" spans="2:10">
      <c r="B6" t="s">
        <v>23</v>
      </c>
      <c r="C6">
        <v>0</v>
      </c>
      <c r="F6" s="3">
        <f>STDEV(D4:E4)</f>
        <v>3.93533929219121e-6</v>
      </c>
      <c r="I6" s="3">
        <v>0</v>
      </c>
      <c r="J6" t="s">
        <v>21</v>
      </c>
    </row>
    <row r="7" spans="1:10">
      <c r="A7" t="s">
        <v>18</v>
      </c>
      <c r="B7" t="s">
        <v>24</v>
      </c>
      <c r="C7">
        <v>0</v>
      </c>
      <c r="D7" s="2">
        <v>6.4396</v>
      </c>
      <c r="E7" s="2">
        <v>6.5908</v>
      </c>
      <c r="G7" s="2">
        <v>3.4609</v>
      </c>
      <c r="H7" s="2">
        <v>1.7932</v>
      </c>
      <c r="J7" t="s">
        <v>20</v>
      </c>
    </row>
    <row r="8" spans="1:10">
      <c r="A8" t="s">
        <v>18</v>
      </c>
      <c r="B8" t="s">
        <v>24</v>
      </c>
      <c r="C8">
        <v>0</v>
      </c>
      <c r="D8" s="2">
        <v>0.000356962305986696</v>
      </c>
      <c r="E8" s="2">
        <v>0.000365343680709534</v>
      </c>
      <c r="G8" s="2">
        <v>0.000191845898004435</v>
      </c>
      <c r="H8" s="2">
        <v>9.94013303769401e-5</v>
      </c>
      <c r="J8" t="s">
        <v>21</v>
      </c>
    </row>
    <row r="9" spans="2:10">
      <c r="B9" t="s">
        <v>22</v>
      </c>
      <c r="C9">
        <v>0</v>
      </c>
      <c r="F9" s="3">
        <f>AVERAGE(D8:E8)</f>
        <v>0.000361152993348115</v>
      </c>
      <c r="I9" s="3">
        <f>AVERAGE(G8:H8)</f>
        <v>0.000145623614190687</v>
      </c>
      <c r="J9" t="s">
        <v>21</v>
      </c>
    </row>
    <row r="10" spans="2:10">
      <c r="B10" t="s">
        <v>23</v>
      </c>
      <c r="C10">
        <v>0</v>
      </c>
      <c r="F10" s="3">
        <f>STDEV(D8:E8)</f>
        <v>5.92652690218435e-6</v>
      </c>
      <c r="I10" s="3">
        <f>STDEV(G8:H8)</f>
        <v>6.53681806532597e-5</v>
      </c>
      <c r="J10" t="s">
        <v>21</v>
      </c>
    </row>
    <row r="11" spans="1:10">
      <c r="A11" t="s">
        <v>25</v>
      </c>
      <c r="B11" t="s">
        <v>26</v>
      </c>
      <c r="C11">
        <v>0</v>
      </c>
      <c r="D11" s="2">
        <v>3.0584</v>
      </c>
      <c r="E11" s="2">
        <v>2.6526</v>
      </c>
      <c r="G11" s="2">
        <v>6.7859</v>
      </c>
      <c r="H11" s="2">
        <v>7.5142</v>
      </c>
      <c r="J11" t="s">
        <v>20</v>
      </c>
    </row>
    <row r="12" spans="1:10">
      <c r="A12" t="s">
        <v>25</v>
      </c>
      <c r="B12" t="s">
        <v>26</v>
      </c>
      <c r="C12">
        <v>0</v>
      </c>
      <c r="D12" s="2">
        <v>0.000169534368070953</v>
      </c>
      <c r="E12" s="2">
        <v>0.000147039911308204</v>
      </c>
      <c r="G12" s="2">
        <v>0.000376158536585366</v>
      </c>
      <c r="H12" s="2">
        <v>0.000416529933481153</v>
      </c>
      <c r="J12" t="s">
        <v>21</v>
      </c>
    </row>
    <row r="13" spans="2:10">
      <c r="B13" t="s">
        <v>22</v>
      </c>
      <c r="C13">
        <v>0</v>
      </c>
      <c r="F13" s="3">
        <f>AVERAGE(D12:E12)</f>
        <v>0.000158287139689579</v>
      </c>
      <c r="I13" s="3">
        <f>AVERAGE(G12:H12)</f>
        <v>0.000396344235033259</v>
      </c>
      <c r="J13" t="s">
        <v>21</v>
      </c>
    </row>
    <row r="14" spans="2:10">
      <c r="B14" t="s">
        <v>23</v>
      </c>
      <c r="C14">
        <v>0</v>
      </c>
      <c r="F14" s="3">
        <f>STDEV(D12:E12)</f>
        <v>1.59059829160477e-5</v>
      </c>
      <c r="I14" s="3">
        <f>STDEV(G12:H12)</f>
        <v>2.85468885109846e-5</v>
      </c>
      <c r="J14" t="s">
        <v>21</v>
      </c>
    </row>
    <row r="15" spans="1:10">
      <c r="A15" t="s">
        <v>27</v>
      </c>
      <c r="B15" t="s">
        <v>24</v>
      </c>
      <c r="C15">
        <v>0</v>
      </c>
      <c r="D15" s="2">
        <v>2.11</v>
      </c>
      <c r="E15" s="2">
        <v>2.357</v>
      </c>
      <c r="G15" s="2">
        <v>3.2323</v>
      </c>
      <c r="H15" s="2">
        <v>2.6509</v>
      </c>
      <c r="J15" t="s">
        <v>20</v>
      </c>
    </row>
    <row r="16" spans="1:10">
      <c r="A16" t="s">
        <v>27</v>
      </c>
      <c r="B16" t="s">
        <v>24</v>
      </c>
      <c r="C16">
        <v>0</v>
      </c>
      <c r="D16" s="2">
        <v>0.000116962305986696</v>
      </c>
      <c r="E16" s="2">
        <v>0.000130654101995565</v>
      </c>
      <c r="G16" s="2">
        <v>0.000179174057649667</v>
      </c>
      <c r="H16" s="2">
        <v>0.000146945676274945</v>
      </c>
      <c r="J16" t="s">
        <v>21</v>
      </c>
    </row>
    <row r="17" spans="2:10">
      <c r="B17" t="s">
        <v>22</v>
      </c>
      <c r="C17">
        <v>0</v>
      </c>
      <c r="F17" s="3">
        <f>AVERAGE(D16:E16)</f>
        <v>0.000123808203991131</v>
      </c>
      <c r="I17" s="3">
        <f>AVERAGE(G16:H16)</f>
        <v>0.000163059866962306</v>
      </c>
      <c r="J17" t="s">
        <v>21</v>
      </c>
    </row>
    <row r="18" spans="2:10">
      <c r="B18" t="s">
        <v>23</v>
      </c>
      <c r="C18">
        <v>0</v>
      </c>
      <c r="F18" s="3">
        <f>STDEV(D16:E16)</f>
        <v>9.68156180449431e-6</v>
      </c>
      <c r="I18" s="3">
        <f>STDEV(G16:H16)</f>
        <v>2.27889070167328e-5</v>
      </c>
      <c r="J18" t="s">
        <v>21</v>
      </c>
    </row>
    <row r="19" spans="1:10">
      <c r="A19" t="s">
        <v>27</v>
      </c>
      <c r="B19" t="s">
        <v>26</v>
      </c>
      <c r="C19">
        <v>0</v>
      </c>
      <c r="D19" s="2">
        <v>3.0842</v>
      </c>
      <c r="E19" s="2">
        <v>2.8936</v>
      </c>
      <c r="G19" s="2">
        <v>2.1699</v>
      </c>
      <c r="H19" s="2">
        <v>2.5711</v>
      </c>
      <c r="J19" t="s">
        <v>20</v>
      </c>
    </row>
    <row r="20" spans="1:10">
      <c r="A20" t="s">
        <v>27</v>
      </c>
      <c r="B20" t="s">
        <v>26</v>
      </c>
      <c r="C20">
        <v>0</v>
      </c>
      <c r="D20" s="2">
        <v>0.000170964523281596</v>
      </c>
      <c r="E20" s="2">
        <v>0.00016039911308204</v>
      </c>
      <c r="G20" s="2">
        <v>0.000120282705099778</v>
      </c>
      <c r="H20" s="2">
        <v>0.000142522172949002</v>
      </c>
      <c r="J20" t="s">
        <v>21</v>
      </c>
    </row>
    <row r="21" spans="2:10">
      <c r="B21" t="s">
        <v>22</v>
      </c>
      <c r="C21">
        <v>0</v>
      </c>
      <c r="F21" s="3">
        <f>AVERAGE(D20:E20)</f>
        <v>0.000165681818181818</v>
      </c>
      <c r="I21" s="3">
        <f>AVERAGE(G20:H20)</f>
        <v>0.00013140243902439</v>
      </c>
      <c r="J21" t="s">
        <v>21</v>
      </c>
    </row>
    <row r="22" spans="2:10">
      <c r="B22" t="s">
        <v>23</v>
      </c>
      <c r="C22">
        <v>0</v>
      </c>
      <c r="F22" s="3">
        <f>STDEV(D20:E20)</f>
        <v>7.47087319812394e-6</v>
      </c>
      <c r="I22" s="3">
        <f>STDEV(G20:H20)</f>
        <v>1.57256785261665e-5</v>
      </c>
      <c r="J22" t="s">
        <v>21</v>
      </c>
    </row>
    <row r="23" spans="1:10">
      <c r="A23" t="s">
        <v>28</v>
      </c>
      <c r="B23" t="s">
        <v>24</v>
      </c>
      <c r="C23">
        <v>0</v>
      </c>
      <c r="D23" s="2">
        <v>0.0414</v>
      </c>
      <c r="E23" s="2">
        <v>0.0464</v>
      </c>
      <c r="G23" s="2">
        <v>3.3163</v>
      </c>
      <c r="H23" s="2">
        <v>2.2422</v>
      </c>
      <c r="J23" t="s">
        <v>20</v>
      </c>
    </row>
    <row r="24" spans="1:10">
      <c r="A24" t="s">
        <v>28</v>
      </c>
      <c r="B24" t="s">
        <v>24</v>
      </c>
      <c r="C24">
        <v>0</v>
      </c>
      <c r="D24" s="2">
        <v>2.29490022172949e-6</v>
      </c>
      <c r="E24" s="2">
        <v>2.57206208425721e-6</v>
      </c>
      <c r="G24" s="2">
        <v>0.000183830376940133</v>
      </c>
      <c r="H24" s="2">
        <v>0.000124290465631929</v>
      </c>
      <c r="J24" t="s">
        <v>21</v>
      </c>
    </row>
    <row r="25" spans="2:10">
      <c r="B25" t="s">
        <v>22</v>
      </c>
      <c r="C25">
        <v>0</v>
      </c>
      <c r="F25" s="3">
        <f>AVERAGE(D24:E24)</f>
        <v>2.43348115299335e-6</v>
      </c>
      <c r="I25" s="3">
        <f>AVERAGE(G24:H24)</f>
        <v>0.000154060421286031</v>
      </c>
      <c r="J25" t="s">
        <v>21</v>
      </c>
    </row>
    <row r="26" spans="2:10">
      <c r="B26" t="s">
        <v>23</v>
      </c>
      <c r="C26">
        <v>0</v>
      </c>
      <c r="F26" s="3">
        <f>STDEV(D24:E24)</f>
        <v>1.95983032479642e-7</v>
      </c>
      <c r="I26" s="3">
        <f>STDEV(G24:H24)</f>
        <v>4.21010750372766e-5</v>
      </c>
      <c r="J26" t="s">
        <v>21</v>
      </c>
    </row>
    <row r="27" spans="1:10">
      <c r="A27" t="s">
        <v>28</v>
      </c>
      <c r="B27" t="s">
        <v>26</v>
      </c>
      <c r="C27">
        <v>0</v>
      </c>
      <c r="D27" s="2">
        <v>3.9056</v>
      </c>
      <c r="E27" s="2">
        <v>3.987</v>
      </c>
      <c r="G27" s="2">
        <v>0.0136</v>
      </c>
      <c r="H27" s="2">
        <v>0.0395</v>
      </c>
      <c r="J27" t="s">
        <v>20</v>
      </c>
    </row>
    <row r="28" spans="1:10">
      <c r="A28" t="s">
        <v>28</v>
      </c>
      <c r="B28" t="s">
        <v>26</v>
      </c>
      <c r="C28">
        <v>0</v>
      </c>
      <c r="D28" s="2">
        <v>0.00021649667405765</v>
      </c>
      <c r="E28" s="2">
        <v>0.000221008869179601</v>
      </c>
      <c r="G28" s="2">
        <v>7.53880266075388e-7</v>
      </c>
      <c r="H28" s="2">
        <v>2.18957871396896e-6</v>
      </c>
      <c r="J28" t="s">
        <v>21</v>
      </c>
    </row>
    <row r="29" spans="2:10">
      <c r="B29" t="s">
        <v>22</v>
      </c>
      <c r="C29">
        <v>0</v>
      </c>
      <c r="F29" s="3">
        <f>AVERAGE(D28:E28)</f>
        <v>0.000218752771618625</v>
      </c>
      <c r="I29" s="3">
        <f>AVERAGE(G28:H28)</f>
        <v>1.47172949002217e-6</v>
      </c>
      <c r="J29" t="s">
        <v>21</v>
      </c>
    </row>
    <row r="30" spans="2:10">
      <c r="B30" t="s">
        <v>23</v>
      </c>
      <c r="C30">
        <v>0</v>
      </c>
      <c r="F30" s="3">
        <f>STDEV(D28:E28)</f>
        <v>3.19060376876859e-6</v>
      </c>
      <c r="I30" s="3">
        <f>STDEV(G28:H28)</f>
        <v>1.01519210824454e-6</v>
      </c>
      <c r="J30" t="s">
        <v>21</v>
      </c>
    </row>
    <row r="32" spans="1:9">
      <c r="A32" t="s">
        <v>29</v>
      </c>
      <c r="B32" t="s">
        <v>17</v>
      </c>
      <c r="C32">
        <v>0</v>
      </c>
      <c r="D32">
        <v>15</v>
      </c>
      <c r="E32">
        <v>17</v>
      </c>
      <c r="F32" s="4">
        <v>15</v>
      </c>
      <c r="G32">
        <v>28</v>
      </c>
      <c r="H32">
        <v>28</v>
      </c>
      <c r="I32" s="4">
        <v>28</v>
      </c>
    </row>
    <row r="33" spans="1:10">
      <c r="A33" t="s">
        <v>18</v>
      </c>
      <c r="B33" t="s">
        <v>19</v>
      </c>
      <c r="C33">
        <v>0</v>
      </c>
      <c r="D33" s="2">
        <v>2.5348</v>
      </c>
      <c r="E33" s="2">
        <v>0.0496</v>
      </c>
      <c r="G33" s="2">
        <v>1.8016</v>
      </c>
      <c r="J33" t="s">
        <v>20</v>
      </c>
    </row>
    <row r="34" spans="1:10">
      <c r="A34" t="s">
        <v>18</v>
      </c>
      <c r="B34" t="s">
        <v>19</v>
      </c>
      <c r="C34">
        <v>0</v>
      </c>
      <c r="D34" s="2">
        <v>5.50983588740354e-5</v>
      </c>
      <c r="E34" s="2">
        <v>1.07814368003478e-6</v>
      </c>
      <c r="G34" s="2">
        <v>3.91609607651342e-5</v>
      </c>
      <c r="H34" s="2">
        <v>0</v>
      </c>
      <c r="J34" t="s">
        <v>21</v>
      </c>
    </row>
    <row r="35" spans="2:10">
      <c r="B35" t="s">
        <v>22</v>
      </c>
      <c r="C35">
        <v>0</v>
      </c>
      <c r="F35" s="3">
        <f>AVERAGE(D34:E34)</f>
        <v>2.80882512770351e-5</v>
      </c>
      <c r="I35" s="3">
        <v>3.91609607651342e-5</v>
      </c>
      <c r="J35" t="s">
        <v>21</v>
      </c>
    </row>
    <row r="36" spans="2:10">
      <c r="B36" t="s">
        <v>23</v>
      </c>
      <c r="C36">
        <v>0</v>
      </c>
      <c r="F36" s="3">
        <f>STDEV(D34:E34)</f>
        <v>3.81980604848344e-5</v>
      </c>
      <c r="I36" s="3">
        <v>0</v>
      </c>
      <c r="J36" t="s">
        <v>21</v>
      </c>
    </row>
    <row r="37" spans="1:10">
      <c r="A37" t="s">
        <v>18</v>
      </c>
      <c r="B37" t="s">
        <v>24</v>
      </c>
      <c r="C37">
        <v>0</v>
      </c>
      <c r="D37" s="2">
        <v>1.586</v>
      </c>
      <c r="E37" s="2">
        <v>0.1952</v>
      </c>
      <c r="G37" s="2">
        <v>0.0106</v>
      </c>
      <c r="H37" s="2">
        <v>0.005</v>
      </c>
      <c r="J37" t="s">
        <v>20</v>
      </c>
    </row>
    <row r="38" spans="1:10">
      <c r="A38" t="s">
        <v>18</v>
      </c>
      <c r="B38" t="s">
        <v>24</v>
      </c>
      <c r="C38">
        <v>0</v>
      </c>
      <c r="D38" s="2">
        <v>3.44745136398218e-5</v>
      </c>
      <c r="E38" s="2">
        <v>4.24301706336268e-6</v>
      </c>
      <c r="G38" s="2">
        <v>2.30409738071949e-7</v>
      </c>
      <c r="H38" s="2">
        <v>1.08683838713183e-7</v>
      </c>
      <c r="J38" t="s">
        <v>21</v>
      </c>
    </row>
    <row r="39" spans="2:10">
      <c r="B39" t="s">
        <v>22</v>
      </c>
      <c r="C39">
        <v>0</v>
      </c>
      <c r="F39" s="3">
        <f>AVERAGE(D38:E38)</f>
        <v>1.93587653515922e-5</v>
      </c>
      <c r="I39" s="3">
        <f>AVERAGE(G38:H38)</f>
        <v>1.69546788392566e-7</v>
      </c>
      <c r="J39" t="s">
        <v>21</v>
      </c>
    </row>
    <row r="40" spans="2:10">
      <c r="B40" t="s">
        <v>23</v>
      </c>
      <c r="C40">
        <v>0</v>
      </c>
      <c r="F40" s="3">
        <f>STDEV(D38:E38)</f>
        <v>2.13768962346321e-5</v>
      </c>
      <c r="I40" s="3">
        <f>STDEV(G38:H38)</f>
        <v>8.60732088826142e-8</v>
      </c>
      <c r="J40" t="s">
        <v>21</v>
      </c>
    </row>
    <row r="41" spans="1:10">
      <c r="A41" t="s">
        <v>25</v>
      </c>
      <c r="B41" t="s">
        <v>26</v>
      </c>
      <c r="C41">
        <v>0</v>
      </c>
      <c r="D41" s="2">
        <v>0.6432</v>
      </c>
      <c r="E41" s="2">
        <v>1.2138</v>
      </c>
      <c r="G41" s="2">
        <v>0.005</v>
      </c>
      <c r="H41" s="2">
        <v>1.1433</v>
      </c>
      <c r="J41" t="s">
        <v>20</v>
      </c>
    </row>
    <row r="42" spans="1:10">
      <c r="A42" t="s">
        <v>25</v>
      </c>
      <c r="B42" t="s">
        <v>26</v>
      </c>
      <c r="C42">
        <v>0</v>
      </c>
      <c r="D42" s="2">
        <v>1.39810890120639e-5</v>
      </c>
      <c r="E42" s="2">
        <v>2.63840886860124e-5</v>
      </c>
      <c r="G42" s="2">
        <v>1.08683838713183e-7</v>
      </c>
      <c r="H42" s="2">
        <v>2.48516465601565e-5</v>
      </c>
      <c r="J42" t="s">
        <v>21</v>
      </c>
    </row>
    <row r="43" spans="2:10">
      <c r="B43" t="s">
        <v>22</v>
      </c>
      <c r="C43">
        <v>0</v>
      </c>
      <c r="F43" s="3">
        <f>AVERAGE(D42:E42)</f>
        <v>2.01825888490381e-5</v>
      </c>
      <c r="I43" s="3">
        <f>AVERAGE(G42:H42)</f>
        <v>1.24801651994348e-5</v>
      </c>
      <c r="J43" t="s">
        <v>21</v>
      </c>
    </row>
    <row r="44" spans="2:10">
      <c r="B44" t="s">
        <v>23</v>
      </c>
      <c r="C44">
        <v>0</v>
      </c>
      <c r="F44" s="3">
        <f>STDEV(D42:E42)</f>
        <v>8.77024517650351e-6</v>
      </c>
      <c r="I44" s="3">
        <f>STDEV(G42:H42)</f>
        <v>1.74959167269785e-5</v>
      </c>
      <c r="J44" t="s">
        <v>21</v>
      </c>
    </row>
    <row r="45" spans="1:10">
      <c r="A45" t="s">
        <v>27</v>
      </c>
      <c r="B45" t="s">
        <v>24</v>
      </c>
      <c r="C45">
        <v>0</v>
      </c>
      <c r="D45" s="2">
        <v>2.3866</v>
      </c>
      <c r="E45" s="2">
        <v>1.0864</v>
      </c>
      <c r="G45" s="2">
        <v>0.4924</v>
      </c>
      <c r="H45" s="2">
        <v>0.005</v>
      </c>
      <c r="J45" t="s">
        <v>20</v>
      </c>
    </row>
    <row r="46" spans="1:10">
      <c r="A46" t="s">
        <v>27</v>
      </c>
      <c r="B46" t="s">
        <v>24</v>
      </c>
      <c r="C46">
        <v>0</v>
      </c>
      <c r="D46" s="2">
        <v>5.18769698945767e-5</v>
      </c>
      <c r="E46" s="2">
        <v>2.36148244756005e-5</v>
      </c>
      <c r="G46" s="2">
        <v>1.07031844364743e-5</v>
      </c>
      <c r="H46" s="2">
        <v>1.08683838713183e-7</v>
      </c>
      <c r="J46" t="s">
        <v>21</v>
      </c>
    </row>
    <row r="47" spans="2:10">
      <c r="B47" t="s">
        <v>22</v>
      </c>
      <c r="C47">
        <v>0</v>
      </c>
      <c r="F47" s="3">
        <f>AVERAGE(D46:E46)</f>
        <v>3.77458971850886e-5</v>
      </c>
      <c r="I47" s="3">
        <f>AVERAGE(G46:H46)</f>
        <v>5.40593413759374e-6</v>
      </c>
      <c r="J47" t="s">
        <v>21</v>
      </c>
    </row>
    <row r="48" spans="2:10">
      <c r="B48" t="s">
        <v>23</v>
      </c>
      <c r="C48">
        <v>0</v>
      </c>
      <c r="F48" s="3">
        <f>STDEV(D46:E46)</f>
        <v>1.99843546766384e-5</v>
      </c>
      <c r="I48" s="3">
        <f>STDEV(G46:H46)</f>
        <v>7.49144321596182e-6</v>
      </c>
      <c r="J48" t="s">
        <v>21</v>
      </c>
    </row>
    <row r="49" spans="1:10">
      <c r="A49" t="s">
        <v>27</v>
      </c>
      <c r="B49" t="s">
        <v>26</v>
      </c>
      <c r="C49">
        <v>0</v>
      </c>
      <c r="D49" s="2">
        <v>2.0712</v>
      </c>
      <c r="E49" s="2">
        <v>0.025</v>
      </c>
      <c r="G49" s="2">
        <v>0.0306</v>
      </c>
      <c r="H49" s="2">
        <v>0.005</v>
      </c>
      <c r="J49" t="s">
        <v>20</v>
      </c>
    </row>
    <row r="50" spans="1:10">
      <c r="A50" t="s">
        <v>27</v>
      </c>
      <c r="B50" t="s">
        <v>26</v>
      </c>
      <c r="C50">
        <v>0</v>
      </c>
      <c r="D50" s="2">
        <v>4.50211933485491e-5</v>
      </c>
      <c r="E50" s="2">
        <v>5.43419193565917e-7</v>
      </c>
      <c r="G50" s="2">
        <v>6.65145092924682e-7</v>
      </c>
      <c r="H50" s="2">
        <v>1.08683838713183e-7</v>
      </c>
      <c r="J50" t="s">
        <v>21</v>
      </c>
    </row>
    <row r="51" spans="2:10">
      <c r="B51" t="s">
        <v>22</v>
      </c>
      <c r="C51">
        <v>0</v>
      </c>
      <c r="F51" s="3">
        <f>AVERAGE(D50:E50)</f>
        <v>2.27823062710575e-5</v>
      </c>
      <c r="I51" s="3">
        <f>AVERAGE(G50:H50)</f>
        <v>3.86914465818933e-7</v>
      </c>
      <c r="J51" t="s">
        <v>21</v>
      </c>
    </row>
    <row r="52" spans="2:10">
      <c r="B52" t="s">
        <v>23</v>
      </c>
      <c r="C52">
        <v>0</v>
      </c>
      <c r="F52" s="3">
        <f>STDEV(D50:E50)</f>
        <v>3.14505357170724e-5</v>
      </c>
      <c r="I52" s="3">
        <f>STDEV(G50:H50)</f>
        <v>3.93477526320522e-7</v>
      </c>
      <c r="J52" t="s">
        <v>21</v>
      </c>
    </row>
    <row r="53" spans="1:10">
      <c r="A53" t="s">
        <v>28</v>
      </c>
      <c r="B53" t="s">
        <v>24</v>
      </c>
      <c r="C53">
        <v>0</v>
      </c>
      <c r="D53" s="2">
        <v>0.1202</v>
      </c>
      <c r="E53" s="2">
        <v>0.7992</v>
      </c>
      <c r="G53" s="2">
        <v>0.1303</v>
      </c>
      <c r="H53" s="2">
        <v>1.9582</v>
      </c>
      <c r="J53" t="s">
        <v>20</v>
      </c>
    </row>
    <row r="54" spans="1:10">
      <c r="A54" t="s">
        <v>28</v>
      </c>
      <c r="B54" t="s">
        <v>24</v>
      </c>
      <c r="C54">
        <v>0</v>
      </c>
      <c r="D54" s="2">
        <v>2.61275948266493e-6</v>
      </c>
      <c r="E54" s="2">
        <v>1.73720247799152e-5</v>
      </c>
      <c r="G54" s="2">
        <v>2.83230083686556e-6</v>
      </c>
      <c r="H54" s="2">
        <v>4.25649385936311e-5</v>
      </c>
      <c r="J54" t="s">
        <v>21</v>
      </c>
    </row>
    <row r="55" spans="2:10">
      <c r="B55" t="s">
        <v>22</v>
      </c>
      <c r="C55">
        <v>0</v>
      </c>
      <c r="F55" s="3">
        <f>AVERAGE(D54:E54)</f>
        <v>9.99239213129008e-6</v>
      </c>
      <c r="I55" s="3">
        <f>AVERAGE(G54:H54)</f>
        <v>2.26986197152483e-5</v>
      </c>
      <c r="J55" t="s">
        <v>21</v>
      </c>
    </row>
    <row r="56" spans="2:10">
      <c r="B56" t="s">
        <v>23</v>
      </c>
      <c r="C56">
        <v>0</v>
      </c>
      <c r="F56" s="3">
        <f>STDEV(D54:E54)</f>
        <v>1.0436376577017e-5</v>
      </c>
      <c r="I56" s="3">
        <f>STDEV(G54:H54)</f>
        <v>2.80952175922376e-5</v>
      </c>
      <c r="J56" t="s">
        <v>21</v>
      </c>
    </row>
    <row r="57" spans="1:8">
      <c r="A57" t="s">
        <v>28</v>
      </c>
      <c r="B57" t="s">
        <v>26</v>
      </c>
      <c r="C57">
        <v>0</v>
      </c>
      <c r="D57" s="2">
        <v>2.1148</v>
      </c>
      <c r="E57" s="2">
        <v>0.0414</v>
      </c>
      <c r="G57" s="2">
        <v>0.6985</v>
      </c>
      <c r="H57" s="2">
        <v>0.005</v>
      </c>
    </row>
    <row r="58" spans="1:8">
      <c r="A58" t="s">
        <v>28</v>
      </c>
      <c r="B58" t="s">
        <v>26</v>
      </c>
      <c r="C58">
        <v>0</v>
      </c>
      <c r="D58" s="2">
        <v>4.5968916422128e-5</v>
      </c>
      <c r="E58" s="2">
        <v>8.99902184545158e-7</v>
      </c>
      <c r="G58" s="2">
        <v>1.51831322682317e-5</v>
      </c>
      <c r="H58" s="2">
        <v>1.08683838713183e-7</v>
      </c>
    </row>
    <row r="59" spans="2:10">
      <c r="B59" t="s">
        <v>22</v>
      </c>
      <c r="C59">
        <v>0</v>
      </c>
      <c r="F59" s="3">
        <f>AVERAGE(D58:E58)</f>
        <v>2.34344093033366e-5</v>
      </c>
      <c r="I59" s="3">
        <f>AVERAGE(G58:H58)</f>
        <v>7.64590805347245e-6</v>
      </c>
      <c r="J59" t="s">
        <v>21</v>
      </c>
    </row>
    <row r="60" spans="2:10">
      <c r="B60" t="s">
        <v>23</v>
      </c>
      <c r="C60">
        <v>0</v>
      </c>
      <c r="F60" s="3">
        <f>STDEV(D58:E58)</f>
        <v>3.18686055887879e-5</v>
      </c>
      <c r="I60" s="3">
        <f>STDEV(G58:H58)</f>
        <v>1.06592447071595e-5</v>
      </c>
      <c r="J60" t="s">
        <v>21</v>
      </c>
    </row>
    <row r="62" spans="1:10">
      <c r="A62" t="s">
        <v>30</v>
      </c>
      <c r="B62" t="s">
        <v>17</v>
      </c>
      <c r="C62">
        <v>0</v>
      </c>
      <c r="D62">
        <v>15</v>
      </c>
      <c r="E62">
        <v>17</v>
      </c>
      <c r="F62" s="4">
        <v>15</v>
      </c>
      <c r="G62">
        <v>28</v>
      </c>
      <c r="H62">
        <v>28</v>
      </c>
      <c r="I62" s="4">
        <v>28</v>
      </c>
      <c r="J62" t="s">
        <v>21</v>
      </c>
    </row>
    <row r="63" spans="1:10">
      <c r="A63" t="s">
        <v>18</v>
      </c>
      <c r="B63" t="s">
        <v>19</v>
      </c>
      <c r="C63">
        <v>13.57</v>
      </c>
      <c r="D63" s="2">
        <v>1.9304</v>
      </c>
      <c r="E63" s="2">
        <v>0.1352</v>
      </c>
      <c r="G63" s="2">
        <v>0.2664</v>
      </c>
      <c r="J63" t="s">
        <v>20</v>
      </c>
    </row>
    <row r="64" spans="1:10">
      <c r="A64" t="s">
        <v>18</v>
      </c>
      <c r="B64" t="s">
        <v>19</v>
      </c>
      <c r="C64">
        <v>0.000218853671242112</v>
      </c>
      <c r="D64" s="2">
        <v>3.11330233578314e-5</v>
      </c>
      <c r="E64" s="2">
        <v>2.18047283359863e-6</v>
      </c>
      <c r="G64" s="2">
        <v>4.29643463661743e-6</v>
      </c>
      <c r="H64" s="2">
        <v>0</v>
      </c>
      <c r="J64" t="s">
        <v>21</v>
      </c>
    </row>
    <row r="65" spans="2:10">
      <c r="B65" t="s">
        <v>22</v>
      </c>
      <c r="C65">
        <v>0.000218853671242112</v>
      </c>
      <c r="F65" s="3">
        <f>AVERAGE(D64:E64)</f>
        <v>1.6656748095715e-5</v>
      </c>
      <c r="I65" s="2">
        <v>4.29643463661743e-6</v>
      </c>
      <c r="J65" t="s">
        <v>21</v>
      </c>
    </row>
    <row r="66" spans="2:10">
      <c r="B66" t="s">
        <v>23</v>
      </c>
      <c r="C66">
        <v>0</v>
      </c>
      <c r="F66" s="3">
        <f>STDEV(D64:E64)</f>
        <v>2.04725448083311e-5</v>
      </c>
      <c r="I66" s="3">
        <v>0</v>
      </c>
      <c r="J66" t="s">
        <v>21</v>
      </c>
    </row>
    <row r="67" spans="1:10">
      <c r="A67" t="s">
        <v>18</v>
      </c>
      <c r="B67" t="s">
        <v>24</v>
      </c>
      <c r="C67">
        <v>13.57</v>
      </c>
      <c r="D67" s="2">
        <v>8.076</v>
      </c>
      <c r="E67" s="2">
        <v>7.3892</v>
      </c>
      <c r="G67" s="2">
        <v>5.4656</v>
      </c>
      <c r="H67" s="2">
        <v>7.4952</v>
      </c>
      <c r="J67" t="s">
        <v>20</v>
      </c>
    </row>
    <row r="68" spans="1:10">
      <c r="A68" t="s">
        <v>18</v>
      </c>
      <c r="B68" t="s">
        <v>24</v>
      </c>
      <c r="C68">
        <v>0.000218853671242112</v>
      </c>
      <c r="D68" s="2">
        <v>0.0001302477707407</v>
      </c>
      <c r="E68" s="2">
        <v>0.000119171226790141</v>
      </c>
      <c r="G68" s="2">
        <v>8.81478721842951e-5</v>
      </c>
      <c r="H68" s="2">
        <v>0.000120880769100507</v>
      </c>
      <c r="J68" t="s">
        <v>21</v>
      </c>
    </row>
    <row r="69" spans="2:10">
      <c r="B69" t="s">
        <v>22</v>
      </c>
      <c r="C69">
        <v>0.000218853671242112</v>
      </c>
      <c r="F69" s="3">
        <f>AVERAGE(D68:E68)</f>
        <v>0.00012470949876542</v>
      </c>
      <c r="I69" s="3">
        <f>AVERAGE(G68:H68)</f>
        <v>0.000104514320642401</v>
      </c>
      <c r="J69" t="s">
        <v>21</v>
      </c>
    </row>
    <row r="70" spans="2:10">
      <c r="B70" t="s">
        <v>23</v>
      </c>
      <c r="C70">
        <v>0</v>
      </c>
      <c r="F70" s="3">
        <f>STDEV(D68:E68)</f>
        <v>7.83229933955092e-6</v>
      </c>
      <c r="I70" s="3">
        <f>STDEV(G68:H68)</f>
        <v>2.31456533773333e-5</v>
      </c>
      <c r="J70" t="s">
        <v>21</v>
      </c>
    </row>
    <row r="71" spans="1:10">
      <c r="A71" t="s">
        <v>25</v>
      </c>
      <c r="B71" t="s">
        <v>26</v>
      </c>
      <c r="C71">
        <v>13.57</v>
      </c>
      <c r="D71" s="2">
        <v>12.5296</v>
      </c>
      <c r="E71" s="2">
        <v>11.6598</v>
      </c>
      <c r="G71" s="2">
        <v>14.438</v>
      </c>
      <c r="H71" s="2">
        <v>10.1195</v>
      </c>
      <c r="J71" t="s">
        <v>20</v>
      </c>
    </row>
    <row r="72" spans="1:10">
      <c r="A72" t="s">
        <v>25</v>
      </c>
      <c r="B72" t="s">
        <v>26</v>
      </c>
      <c r="C72">
        <v>0.000218853671242112</v>
      </c>
      <c r="D72" s="2">
        <v>0.000202074352188295</v>
      </c>
      <c r="E72" s="2">
        <v>0.000188046428588708</v>
      </c>
      <c r="G72" s="2">
        <v>0.000232852564877937</v>
      </c>
      <c r="H72" s="2">
        <v>0.000163204843488176</v>
      </c>
      <c r="J72" t="s">
        <v>21</v>
      </c>
    </row>
    <row r="73" spans="2:10">
      <c r="B73" t="s">
        <v>22</v>
      </c>
      <c r="C73">
        <v>0.000218853671242112</v>
      </c>
      <c r="F73" s="3">
        <f>AVERAGE(D72:E72)</f>
        <v>0.000195060390388502</v>
      </c>
      <c r="I73" s="3">
        <f>AVERAGE(G72:H72)</f>
        <v>0.000198028704183057</v>
      </c>
      <c r="J73" t="s">
        <v>21</v>
      </c>
    </row>
    <row r="74" spans="2:10">
      <c r="B74" t="s">
        <v>23</v>
      </c>
      <c r="C74">
        <v>0</v>
      </c>
      <c r="F74" s="3">
        <f>STDEV(D72:E72)</f>
        <v>9.91923990323443e-6</v>
      </c>
      <c r="I74" s="3">
        <f>STDEV(G72:H72)</f>
        <v>4.92483760888914e-5</v>
      </c>
      <c r="J74" t="s">
        <v>21</v>
      </c>
    </row>
    <row r="75" spans="1:10">
      <c r="A75" t="s">
        <v>27</v>
      </c>
      <c r="B75" t="s">
        <v>24</v>
      </c>
      <c r="C75">
        <v>13.57</v>
      </c>
      <c r="D75" s="2">
        <v>4.5862</v>
      </c>
      <c r="E75" s="2">
        <v>7.5384</v>
      </c>
      <c r="G75" s="2">
        <v>0.244</v>
      </c>
      <c r="H75" s="2">
        <v>0.1518</v>
      </c>
      <c r="J75" t="s">
        <v>20</v>
      </c>
    </row>
    <row r="76" spans="1:10">
      <c r="A76" t="s">
        <v>27</v>
      </c>
      <c r="B76" t="s">
        <v>24</v>
      </c>
      <c r="C76">
        <v>0.000218853671242112</v>
      </c>
      <c r="D76" s="2">
        <v>7.3965122111317e-5</v>
      </c>
      <c r="E76" s="2">
        <v>0.000121577488230769</v>
      </c>
      <c r="G76" s="2">
        <v>3.93517286537032e-6</v>
      </c>
      <c r="H76" s="2">
        <v>2.44819361050498e-6</v>
      </c>
      <c r="J76" t="s">
        <v>21</v>
      </c>
    </row>
    <row r="77" spans="2:10">
      <c r="B77" t="s">
        <v>22</v>
      </c>
      <c r="C77">
        <v>0.000218853671242112</v>
      </c>
      <c r="F77" s="3">
        <f>AVERAGE(D76:E76)</f>
        <v>9.77713051710429e-5</v>
      </c>
      <c r="I77" s="3">
        <f>AVERAGE(G76:H76)</f>
        <v>3.19168323793765e-6</v>
      </c>
      <c r="J77" t="s">
        <v>21</v>
      </c>
    </row>
    <row r="78" spans="2:10">
      <c r="B78" t="s">
        <v>23</v>
      </c>
      <c r="C78">
        <v>0</v>
      </c>
      <c r="F78" s="3">
        <f>STDEV(D76:E76)</f>
        <v>3.3667026951401e-5</v>
      </c>
      <c r="I78" s="3">
        <f>STDEV(G76:H76)</f>
        <v>1.051453114599e-6</v>
      </c>
      <c r="J78" t="s">
        <v>21</v>
      </c>
    </row>
    <row r="79" spans="1:10">
      <c r="A79" t="s">
        <v>27</v>
      </c>
      <c r="B79" t="s">
        <v>26</v>
      </c>
      <c r="C79">
        <v>13.57</v>
      </c>
      <c r="D79" s="2">
        <v>7.3824</v>
      </c>
      <c r="E79" s="2">
        <v>0.243</v>
      </c>
      <c r="G79" s="2">
        <v>9.7456</v>
      </c>
      <c r="H79" s="2">
        <v>0.0166</v>
      </c>
      <c r="J79" t="s">
        <v>20</v>
      </c>
    </row>
    <row r="80" spans="1:10">
      <c r="A80" t="s">
        <v>27</v>
      </c>
      <c r="B80" t="s">
        <v>26</v>
      </c>
      <c r="C80">
        <v>0.000218853671242112</v>
      </c>
      <c r="D80" s="2">
        <v>0.000119061558038155</v>
      </c>
      <c r="E80" s="2">
        <v>3.91904510772536e-6</v>
      </c>
      <c r="G80" s="2">
        <v>0.000157174674904725</v>
      </c>
      <c r="H80" s="2">
        <v>2.67720776906341e-7</v>
      </c>
      <c r="J80" t="s">
        <v>21</v>
      </c>
    </row>
    <row r="81" spans="2:10">
      <c r="B81" t="s">
        <v>22</v>
      </c>
      <c r="C81">
        <v>0.000218853671242112</v>
      </c>
      <c r="F81" s="3">
        <f>AVERAGE(D80:E80)</f>
        <v>6.14903015729402e-5</v>
      </c>
      <c r="I81" s="3">
        <f>AVERAGE(G80:H80)</f>
        <v>7.87211978408158e-5</v>
      </c>
      <c r="J81" t="s">
        <v>21</v>
      </c>
    </row>
    <row r="82" spans="2:10">
      <c r="B82" t="s">
        <v>23</v>
      </c>
      <c r="C82">
        <v>0</v>
      </c>
      <c r="F82" s="3">
        <f>STDEV(D80:E80)</f>
        <v>8.14180516959666e-5</v>
      </c>
      <c r="I82" s="3">
        <f>STDEV(G80:H80)</f>
        <v>0.000110949971279107</v>
      </c>
      <c r="J82" t="s">
        <v>21</v>
      </c>
    </row>
    <row r="83" spans="1:10">
      <c r="A83" t="s">
        <v>28</v>
      </c>
      <c r="B83" t="s">
        <v>24</v>
      </c>
      <c r="C83">
        <v>13.57</v>
      </c>
      <c r="D83" s="2">
        <v>14.8</v>
      </c>
      <c r="E83" s="2">
        <v>10.4668</v>
      </c>
      <c r="G83" s="2">
        <v>14.99</v>
      </c>
      <c r="H83" s="2">
        <v>10.7696</v>
      </c>
      <c r="J83" t="s">
        <v>20</v>
      </c>
    </row>
    <row r="84" spans="1:10">
      <c r="A84" t="s">
        <v>28</v>
      </c>
      <c r="B84" t="s">
        <v>24</v>
      </c>
      <c r="C84">
        <v>0.000218853671242112</v>
      </c>
      <c r="D84" s="2">
        <v>0.000238690813145413</v>
      </c>
      <c r="E84" s="2">
        <v>0.000168806013718271</v>
      </c>
      <c r="G84" s="2">
        <v>0.000241755087097955</v>
      </c>
      <c r="H84" s="2">
        <v>0.000173689498733165</v>
      </c>
      <c r="J84" t="s">
        <v>21</v>
      </c>
    </row>
    <row r="85" spans="2:10">
      <c r="B85" t="s">
        <v>22</v>
      </c>
      <c r="C85">
        <v>0.000218853671242112</v>
      </c>
      <c r="F85" s="3">
        <f>AVERAGE(D84:E84)</f>
        <v>0.000203748413431842</v>
      </c>
      <c r="I85" s="3">
        <f>AVERAGE(G84:H84)</f>
        <v>0.00020772229291556</v>
      </c>
      <c r="J85" t="s">
        <v>21</v>
      </c>
    </row>
    <row r="86" spans="2:10">
      <c r="B86" t="s">
        <v>23</v>
      </c>
      <c r="C86">
        <v>0</v>
      </c>
      <c r="F86" s="3">
        <f>STDEV(D84:E84)</f>
        <v>4.94160155767939e-5</v>
      </c>
      <c r="I86" s="3">
        <f>STDEV(G84:H84)</f>
        <v>4.81296390981956e-5</v>
      </c>
      <c r="J86" t="s">
        <v>21</v>
      </c>
    </row>
    <row r="87" spans="1:8">
      <c r="A87" t="s">
        <v>28</v>
      </c>
      <c r="B87" t="s">
        <v>26</v>
      </c>
      <c r="C87">
        <v>13.57</v>
      </c>
      <c r="D87" s="2">
        <v>5.214</v>
      </c>
      <c r="E87" s="2">
        <v>0.2758</v>
      </c>
      <c r="G87" s="2">
        <v>3.5873</v>
      </c>
      <c r="H87" s="2">
        <v>2.9578</v>
      </c>
    </row>
    <row r="88" spans="1:8">
      <c r="A88" t="s">
        <v>28</v>
      </c>
      <c r="B88" t="s">
        <v>26</v>
      </c>
      <c r="C88">
        <v>0.000218853671242112</v>
      </c>
      <c r="D88" s="2">
        <v>8.40901283608231e-5</v>
      </c>
      <c r="E88" s="2">
        <v>4.44803555848005e-6</v>
      </c>
      <c r="G88" s="2">
        <v>5.78551049997662e-5</v>
      </c>
      <c r="H88" s="2">
        <v>4.77026815622636e-5</v>
      </c>
    </row>
    <row r="89" spans="2:10">
      <c r="B89" t="s">
        <v>22</v>
      </c>
      <c r="C89">
        <v>0.000218853671242112</v>
      </c>
      <c r="F89" s="3">
        <f>AVERAGE(D88:E88)</f>
        <v>4.42690819596516e-5</v>
      </c>
      <c r="I89" s="3">
        <f>AVERAGE(G88:H88)</f>
        <v>5.27788932810149e-5</v>
      </c>
      <c r="J89" t="s">
        <v>21</v>
      </c>
    </row>
    <row r="90" spans="2:10">
      <c r="B90" t="s">
        <v>23</v>
      </c>
      <c r="C90">
        <v>0</v>
      </c>
      <c r="F90" s="3">
        <f>STDEV(D88:E88)</f>
        <v>5.63154638884251e-5</v>
      </c>
      <c r="I90" s="3">
        <f>STDEV(G88:H88)</f>
        <v>7.17884745813528e-6</v>
      </c>
      <c r="J90" t="s">
        <v>21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F31" sqref="F31"/>
    </sheetView>
  </sheetViews>
  <sheetFormatPr defaultColWidth="8.88888888888889" defaultRowHeight="17.6"/>
  <cols>
    <col min="3" max="10" width="12.5555555555556"/>
  </cols>
  <sheetData>
    <row r="1" spans="1:10">
      <c r="A1" s="1" t="s">
        <v>31</v>
      </c>
      <c r="B1" s="1"/>
      <c r="C1" s="1" t="s">
        <v>18</v>
      </c>
      <c r="D1" s="1"/>
      <c r="E1" s="1" t="s">
        <v>25</v>
      </c>
      <c r="F1" s="1" t="s">
        <v>27</v>
      </c>
      <c r="G1" s="1"/>
      <c r="H1" s="1" t="s">
        <v>28</v>
      </c>
      <c r="I1" s="1"/>
      <c r="J1" s="1" t="s">
        <v>32</v>
      </c>
    </row>
    <row r="2" spans="1:10">
      <c r="A2" s="1" t="s">
        <v>20</v>
      </c>
      <c r="B2" s="1" t="s">
        <v>33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/>
    </row>
    <row r="3" spans="1:10">
      <c r="A3" s="1"/>
      <c r="B3" s="1" t="s">
        <v>34</v>
      </c>
      <c r="C3" s="1" t="s">
        <v>35</v>
      </c>
      <c r="D3" s="1" t="s">
        <v>36</v>
      </c>
      <c r="E3" s="1" t="s">
        <v>35</v>
      </c>
      <c r="F3" s="1" t="s">
        <v>36</v>
      </c>
      <c r="G3" s="1" t="s">
        <v>35</v>
      </c>
      <c r="H3" s="1" t="s">
        <v>36</v>
      </c>
      <c r="I3" s="1" t="s">
        <v>35</v>
      </c>
      <c r="J3" s="1" t="s">
        <v>37</v>
      </c>
    </row>
    <row r="4" spans="1:10">
      <c r="A4" s="1" t="s">
        <v>38</v>
      </c>
      <c r="B4" s="1">
        <v>1</v>
      </c>
      <c r="C4" s="1">
        <v>8.2</v>
      </c>
      <c r="D4" s="1">
        <v>9.32</v>
      </c>
      <c r="E4" s="1">
        <v>7.9</v>
      </c>
      <c r="F4" s="1">
        <v>9.47</v>
      </c>
      <c r="G4" s="1">
        <v>9.06</v>
      </c>
      <c r="H4" s="1">
        <v>8.62</v>
      </c>
      <c r="I4" s="1">
        <v>9.35</v>
      </c>
      <c r="J4" s="1">
        <v>9.8</v>
      </c>
    </row>
    <row r="5" spans="1:10">
      <c r="A5" s="1"/>
      <c r="B5" s="1">
        <v>4</v>
      </c>
      <c r="C5" s="1">
        <v>7.78</v>
      </c>
      <c r="D5" s="1">
        <v>7.5</v>
      </c>
      <c r="E5" s="1">
        <v>8.22</v>
      </c>
      <c r="F5" s="1">
        <v>8.5</v>
      </c>
      <c r="G5" s="1">
        <v>7.5</v>
      </c>
      <c r="H5" s="1">
        <v>9</v>
      </c>
      <c r="I5" s="1">
        <v>8.7</v>
      </c>
      <c r="J5" s="1">
        <v>9.6</v>
      </c>
    </row>
    <row r="6" spans="1:10">
      <c r="A6" s="1"/>
      <c r="B6" s="1">
        <v>7</v>
      </c>
      <c r="C6" s="1">
        <v>8.02</v>
      </c>
      <c r="D6" s="1">
        <v>7.64</v>
      </c>
      <c r="E6" s="1">
        <v>8.6</v>
      </c>
      <c r="F6" s="1">
        <v>8.62</v>
      </c>
      <c r="G6" s="1">
        <v>7.43</v>
      </c>
      <c r="H6" s="1">
        <v>9.15</v>
      </c>
      <c r="I6" s="1">
        <v>8.23</v>
      </c>
      <c r="J6" s="1">
        <v>9.4</v>
      </c>
    </row>
    <row r="7" spans="1:10">
      <c r="A7" s="1"/>
      <c r="B7" s="1">
        <v>11</v>
      </c>
      <c r="C7" s="1">
        <v>7.84</v>
      </c>
      <c r="D7" s="1">
        <v>7.38</v>
      </c>
      <c r="E7" s="1">
        <v>8.52</v>
      </c>
      <c r="F7" s="1">
        <v>8.54</v>
      </c>
      <c r="G7" s="1">
        <v>7.1</v>
      </c>
      <c r="H7" s="1">
        <v>8.88</v>
      </c>
      <c r="I7" s="1">
        <v>8.07</v>
      </c>
      <c r="J7" s="1">
        <v>9.07</v>
      </c>
    </row>
    <row r="8" spans="1:10">
      <c r="A8" s="1"/>
      <c r="B8" s="1">
        <v>14</v>
      </c>
      <c r="C8" s="1">
        <v>7.76</v>
      </c>
      <c r="D8" s="1">
        <v>7.16</v>
      </c>
      <c r="E8" s="1">
        <v>8.89</v>
      </c>
      <c r="F8" s="1">
        <v>8.62</v>
      </c>
      <c r="G8" s="1">
        <v>7.01</v>
      </c>
      <c r="H8" s="1">
        <v>8.86</v>
      </c>
      <c r="I8" s="1">
        <v>8.05</v>
      </c>
      <c r="J8" s="1">
        <v>9.31</v>
      </c>
    </row>
    <row r="9" spans="1:10">
      <c r="A9" s="1"/>
      <c r="B9" s="1">
        <v>20</v>
      </c>
      <c r="C9" s="1">
        <v>7.4</v>
      </c>
      <c r="D9" s="1">
        <v>6.29</v>
      </c>
      <c r="E9" s="1">
        <v>8.49</v>
      </c>
      <c r="F9" s="1">
        <v>8.16</v>
      </c>
      <c r="G9" s="1">
        <v>6.75</v>
      </c>
      <c r="H9" s="1">
        <v>8.38</v>
      </c>
      <c r="I9" s="1">
        <v>7.36</v>
      </c>
      <c r="J9" s="1">
        <v>8.74</v>
      </c>
    </row>
    <row r="10" spans="1:10">
      <c r="A10" s="1"/>
      <c r="B10" s="1">
        <v>30</v>
      </c>
      <c r="C10" s="1">
        <v>7.12</v>
      </c>
      <c r="D10" s="1">
        <v>5.72</v>
      </c>
      <c r="E10" s="1">
        <v>8.51</v>
      </c>
      <c r="F10" s="1">
        <v>8.03</v>
      </c>
      <c r="G10" s="1">
        <v>6.28</v>
      </c>
      <c r="H10" s="1">
        <v>8.41</v>
      </c>
      <c r="I10" s="1">
        <v>7.06</v>
      </c>
      <c r="J10" s="1">
        <v>8.94</v>
      </c>
    </row>
    <row r="13" spans="1:1">
      <c r="A13" t="s">
        <v>21</v>
      </c>
    </row>
    <row r="14" spans="1:10">
      <c r="A14">
        <f>32*1000</f>
        <v>32000</v>
      </c>
      <c r="C14">
        <f>C4/$A$14</f>
        <v>0.00025625</v>
      </c>
      <c r="D14">
        <f t="shared" ref="D14:J14" si="0">D4/$A$14</f>
        <v>0.00029125</v>
      </c>
      <c r="E14">
        <f t="shared" si="0"/>
        <v>0.000246875</v>
      </c>
      <c r="F14">
        <f t="shared" si="0"/>
        <v>0.0002959375</v>
      </c>
      <c r="G14">
        <f>G4/$A$14</f>
        <v>0.000283125</v>
      </c>
      <c r="H14">
        <f t="shared" si="0"/>
        <v>0.000269375</v>
      </c>
      <c r="I14">
        <f t="shared" si="0"/>
        <v>0.0002921875</v>
      </c>
      <c r="J14">
        <f t="shared" si="0"/>
        <v>0.00030625</v>
      </c>
    </row>
    <row r="15" spans="3:10">
      <c r="C15">
        <f t="shared" ref="C15:C20" si="1">C5/A$14</f>
        <v>0.000243125</v>
      </c>
      <c r="D15">
        <f t="shared" ref="D15:D20" si="2">D5/$A$14</f>
        <v>0.000234375</v>
      </c>
      <c r="E15">
        <f t="shared" ref="E15:E20" si="3">E5/$A$14</f>
        <v>0.000256875</v>
      </c>
      <c r="F15">
        <f t="shared" ref="F15:F20" si="4">F5/$A$14</f>
        <v>0.000265625</v>
      </c>
      <c r="G15">
        <f t="shared" ref="G15:G20" si="5">G5/$A$14</f>
        <v>0.000234375</v>
      </c>
      <c r="H15">
        <f t="shared" ref="H15:H20" si="6">H5/$A$14</f>
        <v>0.00028125</v>
      </c>
      <c r="I15">
        <f t="shared" ref="I15:I20" si="7">I5/$A$14</f>
        <v>0.000271875</v>
      </c>
      <c r="J15">
        <f t="shared" ref="J15:J20" si="8">J5/$A$14</f>
        <v>0.0003</v>
      </c>
    </row>
    <row r="16" spans="3:10">
      <c r="C16">
        <f t="shared" si="1"/>
        <v>0.000250625</v>
      </c>
      <c r="D16">
        <f t="shared" si="2"/>
        <v>0.00023875</v>
      </c>
      <c r="E16">
        <f t="shared" si="3"/>
        <v>0.00026875</v>
      </c>
      <c r="F16">
        <f t="shared" si="4"/>
        <v>0.000269375</v>
      </c>
      <c r="G16">
        <f t="shared" si="5"/>
        <v>0.0002321875</v>
      </c>
      <c r="H16">
        <f t="shared" si="6"/>
        <v>0.0002859375</v>
      </c>
      <c r="I16">
        <f t="shared" si="7"/>
        <v>0.0002571875</v>
      </c>
      <c r="J16">
        <f t="shared" si="8"/>
        <v>0.00029375</v>
      </c>
    </row>
    <row r="17" spans="3:10">
      <c r="C17">
        <f t="shared" si="1"/>
        <v>0.000245</v>
      </c>
      <c r="D17">
        <f t="shared" si="2"/>
        <v>0.000230625</v>
      </c>
      <c r="E17">
        <f t="shared" si="3"/>
        <v>0.00026625</v>
      </c>
      <c r="F17">
        <f t="shared" si="4"/>
        <v>0.000266875</v>
      </c>
      <c r="G17">
        <f t="shared" si="5"/>
        <v>0.000221875</v>
      </c>
      <c r="H17">
        <f t="shared" si="6"/>
        <v>0.0002775</v>
      </c>
      <c r="I17">
        <f t="shared" si="7"/>
        <v>0.0002521875</v>
      </c>
      <c r="J17">
        <f t="shared" si="8"/>
        <v>0.0002834375</v>
      </c>
    </row>
    <row r="18" spans="3:10">
      <c r="C18">
        <f t="shared" si="1"/>
        <v>0.0002425</v>
      </c>
      <c r="D18">
        <f t="shared" si="2"/>
        <v>0.00022375</v>
      </c>
      <c r="E18">
        <f t="shared" si="3"/>
        <v>0.0002778125</v>
      </c>
      <c r="F18">
        <f t="shared" si="4"/>
        <v>0.000269375</v>
      </c>
      <c r="G18">
        <f t="shared" si="5"/>
        <v>0.0002190625</v>
      </c>
      <c r="H18">
        <f t="shared" si="6"/>
        <v>0.000276875</v>
      </c>
      <c r="I18">
        <f t="shared" si="7"/>
        <v>0.0002515625</v>
      </c>
      <c r="J18">
        <f t="shared" si="8"/>
        <v>0.0002909375</v>
      </c>
    </row>
    <row r="19" spans="3:10">
      <c r="C19">
        <f t="shared" si="1"/>
        <v>0.00023125</v>
      </c>
      <c r="D19">
        <f t="shared" si="2"/>
        <v>0.0001965625</v>
      </c>
      <c r="E19">
        <f t="shared" si="3"/>
        <v>0.0002653125</v>
      </c>
      <c r="F19">
        <f t="shared" si="4"/>
        <v>0.000255</v>
      </c>
      <c r="G19">
        <f t="shared" si="5"/>
        <v>0.0002109375</v>
      </c>
      <c r="H19">
        <f t="shared" si="6"/>
        <v>0.000261875</v>
      </c>
      <c r="I19">
        <f t="shared" si="7"/>
        <v>0.00023</v>
      </c>
      <c r="J19">
        <f t="shared" si="8"/>
        <v>0.000273125</v>
      </c>
    </row>
    <row r="20" spans="3:10">
      <c r="C20">
        <f t="shared" si="1"/>
        <v>0.0002225</v>
      </c>
      <c r="D20">
        <f t="shared" si="2"/>
        <v>0.00017875</v>
      </c>
      <c r="E20">
        <f t="shared" si="3"/>
        <v>0.0002659375</v>
      </c>
      <c r="F20">
        <f t="shared" si="4"/>
        <v>0.0002509375</v>
      </c>
      <c r="G20">
        <f t="shared" si="5"/>
        <v>0.00019625</v>
      </c>
      <c r="H20">
        <f t="shared" si="6"/>
        <v>0.0002628125</v>
      </c>
      <c r="I20">
        <f t="shared" si="7"/>
        <v>0.000220625</v>
      </c>
      <c r="J20">
        <f t="shared" si="8"/>
        <v>0.000279375</v>
      </c>
    </row>
  </sheetData>
  <mergeCells count="3">
    <mergeCell ref="C1:D1"/>
    <mergeCell ref="F1:G1"/>
    <mergeCell ref="H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oxic</vt:lpstr>
      <vt:lpstr>anoxic</vt:lpstr>
      <vt:lpstr>Nitrogen</vt:lpstr>
      <vt:lpstr>oxygen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Imig</dc:creator>
  <cp:lastModifiedBy>AnneImig</cp:lastModifiedBy>
  <dcterms:created xsi:type="dcterms:W3CDTF">2024-05-31T11:26:00Z</dcterms:created>
  <dcterms:modified xsi:type="dcterms:W3CDTF">2025-03-26T11:43:37Z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4F19B0357AC3B2E31A78E267D54A0C9C_42</vt:lpwstr>
  </property>
  <property fmtid="{D5CDD505-2E9C-101B-9397-08002B2CF9AE}" pid="3" name="KSOProductBuildVer">
    <vt:lpwstr>1033-6.12.2.8699</vt:lpwstr>
  </property>
</Properties>
</file>